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HSU\Desktop\Workspace\CycleView\data\"/>
    </mc:Choice>
  </mc:AlternateContent>
  <xr:revisionPtr revIDLastSave="0" documentId="13_ncr:1_{48CE6485-1A6B-4AFA-A372-3854E0B3F401}" xr6:coauthVersionLast="47" xr6:coauthVersionMax="47" xr10:uidLastSave="{00000000-0000-0000-0000-000000000000}"/>
  <bookViews>
    <workbookView xWindow="-120" yWindow="-120" windowWidth="29040" windowHeight="15720" firstSheet="1" activeTab="5" xr2:uid="{EB11FF79-EF06-B64E-AA6A-0CFF391A8BD1}"/>
  </bookViews>
  <sheets>
    <sheet name="TestAutomationProgress" sheetId="1" r:id="rId1"/>
    <sheet name="Humi-TestResult" sheetId="4" r:id="rId2"/>
    <sheet name="SOVA-TestResult" sheetId="2" r:id="rId3"/>
    <sheet name="Humi-BugTrend" sheetId="3" r:id="rId4"/>
    <sheet name="SOVA-BugTrend" sheetId="5" r:id="rId5"/>
    <sheet name="SOVA-UIAutomation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5" i="2" l="1"/>
  <c r="E22" i="6"/>
  <c r="I21" i="5"/>
  <c r="H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E21" i="1"/>
  <c r="H18" i="4"/>
  <c r="H34" i="2"/>
  <c r="E21" i="6"/>
  <c r="E20" i="1"/>
  <c r="H36" i="2"/>
  <c r="H32" i="2"/>
  <c r="H33" i="2"/>
  <c r="E20" i="6"/>
  <c r="E19" i="6"/>
  <c r="E19" i="1"/>
  <c r="H31" i="2"/>
  <c r="E18" i="1"/>
  <c r="H19" i="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30" i="2"/>
  <c r="E23" i="6"/>
  <c r="E18" i="6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" i="5"/>
  <c r="E17" i="1"/>
  <c r="E17" i="6"/>
  <c r="H29" i="2"/>
  <c r="E16" i="1"/>
  <c r="E16" i="6"/>
  <c r="H28" i="2"/>
  <c r="H27" i="2"/>
  <c r="E15" i="1"/>
  <c r="E15" i="6"/>
  <c r="E14" i="1"/>
  <c r="E14" i="6"/>
  <c r="E13" i="6"/>
  <c r="H25" i="2"/>
  <c r="E13" i="1"/>
  <c r="E12" i="6"/>
  <c r="E12" i="1"/>
  <c r="E11" i="1"/>
  <c r="H24" i="2"/>
  <c r="H23" i="2"/>
  <c r="E10" i="1"/>
  <c r="E10" i="6"/>
  <c r="E9" i="1"/>
  <c r="H26" i="2"/>
  <c r="E9" i="6"/>
  <c r="H22" i="2"/>
  <c r="H21" i="2"/>
  <c r="E8" i="6"/>
  <c r="H19" i="2"/>
  <c r="E6" i="6"/>
  <c r="E7" i="1"/>
  <c r="E5" i="6"/>
  <c r="E8" i="1"/>
  <c r="H18" i="2"/>
  <c r="E7" i="6"/>
  <c r="E6" i="1"/>
  <c r="H20" i="2"/>
  <c r="E5" i="1"/>
  <c r="E4" i="1"/>
  <c r="E3" i="6"/>
  <c r="E2" i="6"/>
  <c r="E4" i="6"/>
  <c r="H16" i="2"/>
  <c r="E2" i="1"/>
  <c r="E3" i="1"/>
  <c r="H14" i="2"/>
  <c r="H6" i="2"/>
  <c r="H2" i="2"/>
  <c r="H4" i="2"/>
  <c r="H8" i="2"/>
  <c r="H10" i="2"/>
  <c r="H12" i="2"/>
</calcChain>
</file>

<file path=xl/sharedStrings.xml><?xml version="1.0" encoding="utf-8"?>
<sst xmlns="http://schemas.openxmlformats.org/spreadsheetml/2006/main" count="181" uniqueCount="103">
  <si>
    <t>TODO (P1)</t>
  </si>
  <si>
    <t>Done</t>
  </si>
  <si>
    <t>In Review/Progress</t>
  </si>
  <si>
    <t>Total</t>
  </si>
  <si>
    <t>v1.22</t>
  </si>
  <si>
    <t>v1.23</t>
  </si>
  <si>
    <t>v1.24</t>
  </si>
  <si>
    <t>v1.25</t>
  </si>
  <si>
    <t>v1.26</t>
  </si>
  <si>
    <t>v1.27</t>
  </si>
  <si>
    <t>v1.28</t>
  </si>
  <si>
    <t>Passed</t>
  </si>
  <si>
    <t>Known Issue</t>
  </si>
  <si>
    <t>Failed</t>
  </si>
  <si>
    <t>Partially Failed</t>
  </si>
  <si>
    <t>Untested</t>
  </si>
  <si>
    <t>Blocked</t>
  </si>
  <si>
    <t>In Review</t>
  </si>
  <si>
    <t>To Do</t>
  </si>
  <si>
    <t>v1.20</t>
  </si>
  <si>
    <t>v1.21</t>
  </si>
  <si>
    <t>Version</t>
  </si>
  <si>
    <t>Sprint</t>
  </si>
  <si>
    <t>To Do (0%)</t>
  </si>
  <si>
    <t>Done (100%)</t>
  </si>
  <si>
    <t>IN REVIEW (80%)</t>
  </si>
  <si>
    <t>WON'T DO (100%)</t>
  </si>
  <si>
    <t>STARTING (10 ~ 40%)</t>
  </si>
  <si>
    <t>y25w30</t>
  </si>
  <si>
    <t>y25w32</t>
  </si>
  <si>
    <t>y25w34</t>
  </si>
  <si>
    <t>y25w36</t>
  </si>
  <si>
    <t>Versions</t>
  </si>
  <si>
    <t>y25w38</t>
  </si>
  <si>
    <t>y25w40</t>
  </si>
  <si>
    <t>In Progress</t>
  </si>
  <si>
    <t>Week</t>
  </si>
  <si>
    <t>v1.29</t>
  </si>
  <si>
    <t>In QA</t>
  </si>
  <si>
    <t>Internal Test</t>
  </si>
  <si>
    <t>In Progress (50 ~ 70%)</t>
  </si>
  <si>
    <t>y25w42</t>
  </si>
  <si>
    <t>v1.30</t>
  </si>
  <si>
    <t>v1.31</t>
  </si>
  <si>
    <t>y25w44</t>
  </si>
  <si>
    <t>y25w46</t>
  </si>
  <si>
    <t>v1.32</t>
  </si>
  <si>
    <t>v1.33</t>
  </si>
  <si>
    <t>y25w48</t>
  </si>
  <si>
    <t>v1.34</t>
  </si>
  <si>
    <t>y25w50</t>
  </si>
  <si>
    <t>y25w52</t>
  </si>
  <si>
    <t>v1.35</t>
  </si>
  <si>
    <t>v1.36</t>
  </si>
  <si>
    <t>READY FOR TESTING (90%)</t>
  </si>
  <si>
    <t>26W01</t>
  </si>
  <si>
    <t>25W41</t>
  </si>
  <si>
    <t>25W42</t>
  </si>
  <si>
    <t>25W43</t>
  </si>
  <si>
    <t>25W44</t>
  </si>
  <si>
    <t>25W45</t>
  </si>
  <si>
    <t>25W46</t>
  </si>
  <si>
    <t>25W47</t>
  </si>
  <si>
    <t>25W48</t>
  </si>
  <si>
    <t>25W49</t>
  </si>
  <si>
    <t>25W50</t>
  </si>
  <si>
    <t>25W51</t>
  </si>
  <si>
    <t>25W52</t>
  </si>
  <si>
    <t>26W02</t>
  </si>
  <si>
    <t>25W32</t>
  </si>
  <si>
    <t>25W33</t>
  </si>
  <si>
    <t>25W34</t>
  </si>
  <si>
    <t>25W35</t>
  </si>
  <si>
    <t>25W36</t>
  </si>
  <si>
    <t>25W37</t>
  </si>
  <si>
    <t>25W38</t>
  </si>
  <si>
    <t>25W39</t>
  </si>
  <si>
    <t>25W40</t>
  </si>
  <si>
    <t>25W28</t>
  </si>
  <si>
    <t>25W29</t>
  </si>
  <si>
    <t>25W30</t>
  </si>
  <si>
    <t>25W31</t>
  </si>
  <si>
    <t>v1.37</t>
  </si>
  <si>
    <t>26W03</t>
  </si>
  <si>
    <t>26W04</t>
  </si>
  <si>
    <t>26W05</t>
  </si>
  <si>
    <t>v1.38</t>
  </si>
  <si>
    <t>v1.39</t>
  </si>
  <si>
    <t>y26w10</t>
  </si>
  <si>
    <t>26W06</t>
  </si>
  <si>
    <t>26W07</t>
  </si>
  <si>
    <t>26W10</t>
  </si>
  <si>
    <t>26W08</t>
  </si>
  <si>
    <t>v1.40</t>
  </si>
  <si>
    <t>y26w2</t>
  </si>
  <si>
    <t>y26w4</t>
  </si>
  <si>
    <t>y26w6</t>
  </si>
  <si>
    <t>y26w8</t>
  </si>
  <si>
    <t>y26w12</t>
  </si>
  <si>
    <t>Candidate</t>
  </si>
  <si>
    <t>26W11</t>
  </si>
  <si>
    <t>y26w14</t>
  </si>
  <si>
    <t>26W12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</si>
</sst>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292A2E"/>
      <name val="Segoe UI"/>
      <family val="2"/>
    </font>
    <font>
      <sz val="16"/>
      <color theme="0"/>
      <name val="Helvetica Neue"/>
      <family val="2"/>
    </font>
    <font>
      <sz val="11"/>
      <color theme="0"/>
      <name val="Helvetica Neue"/>
      <family val="2"/>
    </font>
    <font>
      <sz val="12"/>
      <color theme="0"/>
      <name val="Helvetica Neue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3" fillId="2" borderId="4" xfId="0" applyFont="1" applyFill="1" applyBorder="1" applyAlignment="1">
      <alignment horizontal="left" vertical="center" wrapText="1"/>
    </xf>
    <xf numFmtId="0" fontId="2" fillId="2" borderId="4" xfId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NumberFormat="1" applyAlignment="1">
      <alignment horizontal="right" vertical="center"/>
    </xf>
    <xf numFmtId="0" fontId="0" fillId="0" borderId="0" xfId="0" applyNumberFormat="1"/>
    <xf numFmtId="0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>
      <alignment horizontal="center" vertical="center"/>
    </xf>
    <xf numFmtId="0" fontId="2" fillId="2" borderId="4" xfId="1" applyNumberForma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36"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protection locked="0" hidden="0"/>
    </dxf>
    <dxf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92A2E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theme="0"/>
        <name val="Helvetica Neue"/>
        <family val="2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0" indent="0" justifyLastLine="0" shrinkToFit="0" readingOrder="0"/>
    </dxf>
    <dxf>
      <numFmt numFmtId="1" formatCode="0"/>
    </dxf>
    <dxf>
      <numFmt numFmtId="0" formatCode="General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P1 Test Case - Automation Progress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TestAutomationProgress!$B$1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TestAutomationProgress!$A$2:$A$23</c:f>
              <c:strCache>
                <c:ptCount val="22"/>
                <c:pt idx="0">
                  <c:v>25W40</c:v>
                </c:pt>
                <c:pt idx="1">
                  <c:v>25W41</c:v>
                </c:pt>
                <c:pt idx="2">
                  <c:v>25W42</c:v>
                </c:pt>
                <c:pt idx="3">
                  <c:v>25W43</c:v>
                </c:pt>
                <c:pt idx="4">
                  <c:v>25W44</c:v>
                </c:pt>
                <c:pt idx="5">
                  <c:v>25W45</c:v>
                </c:pt>
                <c:pt idx="6">
                  <c:v>25W46</c:v>
                </c:pt>
                <c:pt idx="7">
                  <c:v>25W47</c:v>
                </c:pt>
                <c:pt idx="8">
                  <c:v>25W49</c:v>
                </c:pt>
                <c:pt idx="9">
                  <c:v>25W50</c:v>
                </c:pt>
                <c:pt idx="10">
                  <c:v>25W51</c:v>
                </c:pt>
                <c:pt idx="11">
                  <c:v>25W52</c:v>
                </c:pt>
                <c:pt idx="12">
                  <c:v>26W01</c:v>
                </c:pt>
                <c:pt idx="13">
                  <c:v>26W02</c:v>
                </c:pt>
                <c:pt idx="14">
                  <c:v>26W03</c:v>
                </c:pt>
                <c:pt idx="15">
                  <c:v>26W04</c:v>
                </c:pt>
                <c:pt idx="16">
                  <c:v>26W05</c:v>
                </c:pt>
                <c:pt idx="17">
                  <c:v>26W06</c:v>
                </c:pt>
                <c:pt idx="18">
                  <c:v>26W07</c:v>
                </c:pt>
                <c:pt idx="19">
                  <c:v>26W10</c:v>
                </c:pt>
                <c:pt idx="20">
                  <c:v>26W11</c:v>
                </c:pt>
                <c:pt idx="21">
                  <c:v>26W12</c:v>
                </c:pt>
              </c:strCache>
            </c:strRef>
          </c:cat>
          <c:val>
            <c:numRef>
              <c:f>TestAutomationProgress!$B$2:$B$23</c:f>
              <c:numCache>
                <c:formatCode>General</c:formatCode>
                <c:ptCount val="22"/>
                <c:pt idx="0">
                  <c:v>15</c:v>
                </c:pt>
                <c:pt idx="1">
                  <c:v>12</c:v>
                </c:pt>
                <c:pt idx="2">
                  <c:v>13</c:v>
                </c:pt>
                <c:pt idx="3">
                  <c:v>15</c:v>
                </c:pt>
                <c:pt idx="4">
                  <c:v>18</c:v>
                </c:pt>
                <c:pt idx="5">
                  <c:v>21</c:v>
                </c:pt>
                <c:pt idx="6">
                  <c:v>22</c:v>
                </c:pt>
                <c:pt idx="7">
                  <c:v>25</c:v>
                </c:pt>
                <c:pt idx="8">
                  <c:v>28</c:v>
                </c:pt>
                <c:pt idx="9">
                  <c:v>30</c:v>
                </c:pt>
                <c:pt idx="10">
                  <c:v>32</c:v>
                </c:pt>
                <c:pt idx="11">
                  <c:v>32</c:v>
                </c:pt>
                <c:pt idx="12">
                  <c:v>32</c:v>
                </c:pt>
                <c:pt idx="13">
                  <c:v>32</c:v>
                </c:pt>
                <c:pt idx="14">
                  <c:v>32</c:v>
                </c:pt>
                <c:pt idx="15">
                  <c:v>32</c:v>
                </c:pt>
                <c:pt idx="16">
                  <c:v>32</c:v>
                </c:pt>
                <c:pt idx="17">
                  <c:v>31</c:v>
                </c:pt>
                <c:pt idx="18">
                  <c:v>31</c:v>
                </c:pt>
                <c:pt idx="19">
                  <c:v>31</c:v>
                </c:pt>
                <c:pt idx="20">
                  <c:v>37</c:v>
                </c:pt>
                <c:pt idx="21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0B-2048-A315-E1CB7BE52497}"/>
            </c:ext>
          </c:extLst>
        </c:ser>
        <c:ser>
          <c:idx val="1"/>
          <c:order val="1"/>
          <c:tx>
            <c:strRef>
              <c:f>TestAutomationProgress!$C$1</c:f>
              <c:strCache>
                <c:ptCount val="1"/>
                <c:pt idx="0">
                  <c:v>In Review/Progress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TestAutomationProgress!$A$2:$A$23</c:f>
              <c:strCache>
                <c:ptCount val="22"/>
                <c:pt idx="0">
                  <c:v>25W40</c:v>
                </c:pt>
                <c:pt idx="1">
                  <c:v>25W41</c:v>
                </c:pt>
                <c:pt idx="2">
                  <c:v>25W42</c:v>
                </c:pt>
                <c:pt idx="3">
                  <c:v>25W43</c:v>
                </c:pt>
                <c:pt idx="4">
                  <c:v>25W44</c:v>
                </c:pt>
                <c:pt idx="5">
                  <c:v>25W45</c:v>
                </c:pt>
                <c:pt idx="6">
                  <c:v>25W46</c:v>
                </c:pt>
                <c:pt idx="7">
                  <c:v>25W47</c:v>
                </c:pt>
                <c:pt idx="8">
                  <c:v>25W49</c:v>
                </c:pt>
                <c:pt idx="9">
                  <c:v>25W50</c:v>
                </c:pt>
                <c:pt idx="10">
                  <c:v>25W51</c:v>
                </c:pt>
                <c:pt idx="11">
                  <c:v>25W52</c:v>
                </c:pt>
                <c:pt idx="12">
                  <c:v>26W01</c:v>
                </c:pt>
                <c:pt idx="13">
                  <c:v>26W02</c:v>
                </c:pt>
                <c:pt idx="14">
                  <c:v>26W03</c:v>
                </c:pt>
                <c:pt idx="15">
                  <c:v>26W04</c:v>
                </c:pt>
                <c:pt idx="16">
                  <c:v>26W05</c:v>
                </c:pt>
                <c:pt idx="17">
                  <c:v>26W06</c:v>
                </c:pt>
                <c:pt idx="18">
                  <c:v>26W07</c:v>
                </c:pt>
                <c:pt idx="19">
                  <c:v>26W10</c:v>
                </c:pt>
                <c:pt idx="20">
                  <c:v>26W11</c:v>
                </c:pt>
                <c:pt idx="21">
                  <c:v>26W12</c:v>
                </c:pt>
              </c:strCache>
            </c:strRef>
          </c:cat>
          <c:val>
            <c:numRef>
              <c:f>TestAutomationProgress!$C$2:$C$23</c:f>
              <c:numCache>
                <c:formatCode>General</c:formatCode>
                <c:ptCount val="22"/>
                <c:pt idx="0">
                  <c:v>14</c:v>
                </c:pt>
                <c:pt idx="1">
                  <c:v>11</c:v>
                </c:pt>
                <c:pt idx="2">
                  <c:v>11</c:v>
                </c:pt>
                <c:pt idx="3">
                  <c:v>12</c:v>
                </c:pt>
                <c:pt idx="4">
                  <c:v>11</c:v>
                </c:pt>
                <c:pt idx="5">
                  <c:v>14</c:v>
                </c:pt>
                <c:pt idx="6">
                  <c:v>14</c:v>
                </c:pt>
                <c:pt idx="7">
                  <c:v>10</c:v>
                </c:pt>
                <c:pt idx="8">
                  <c:v>8</c:v>
                </c:pt>
                <c:pt idx="9">
                  <c:v>6</c:v>
                </c:pt>
                <c:pt idx="10">
                  <c:v>5</c:v>
                </c:pt>
                <c:pt idx="11">
                  <c:v>5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0B-2048-A315-E1CB7BE52497}"/>
            </c:ext>
          </c:extLst>
        </c:ser>
        <c:ser>
          <c:idx val="2"/>
          <c:order val="2"/>
          <c:tx>
            <c:strRef>
              <c:f>TestAutomationProgress!$D$1</c:f>
              <c:strCache>
                <c:ptCount val="1"/>
                <c:pt idx="0">
                  <c:v>TODO (P1)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TestAutomationProgress!$A$2:$A$23</c:f>
              <c:strCache>
                <c:ptCount val="22"/>
                <c:pt idx="0">
                  <c:v>25W40</c:v>
                </c:pt>
                <c:pt idx="1">
                  <c:v>25W41</c:v>
                </c:pt>
                <c:pt idx="2">
                  <c:v>25W42</c:v>
                </c:pt>
                <c:pt idx="3">
                  <c:v>25W43</c:v>
                </c:pt>
                <c:pt idx="4">
                  <c:v>25W44</c:v>
                </c:pt>
                <c:pt idx="5">
                  <c:v>25W45</c:v>
                </c:pt>
                <c:pt idx="6">
                  <c:v>25W46</c:v>
                </c:pt>
                <c:pt idx="7">
                  <c:v>25W47</c:v>
                </c:pt>
                <c:pt idx="8">
                  <c:v>25W49</c:v>
                </c:pt>
                <c:pt idx="9">
                  <c:v>25W50</c:v>
                </c:pt>
                <c:pt idx="10">
                  <c:v>25W51</c:v>
                </c:pt>
                <c:pt idx="11">
                  <c:v>25W52</c:v>
                </c:pt>
                <c:pt idx="12">
                  <c:v>26W01</c:v>
                </c:pt>
                <c:pt idx="13">
                  <c:v>26W02</c:v>
                </c:pt>
                <c:pt idx="14">
                  <c:v>26W03</c:v>
                </c:pt>
                <c:pt idx="15">
                  <c:v>26W04</c:v>
                </c:pt>
                <c:pt idx="16">
                  <c:v>26W05</c:v>
                </c:pt>
                <c:pt idx="17">
                  <c:v>26W06</c:v>
                </c:pt>
                <c:pt idx="18">
                  <c:v>26W07</c:v>
                </c:pt>
                <c:pt idx="19">
                  <c:v>26W10</c:v>
                </c:pt>
                <c:pt idx="20">
                  <c:v>26W11</c:v>
                </c:pt>
                <c:pt idx="21">
                  <c:v>26W12</c:v>
                </c:pt>
              </c:strCache>
            </c:strRef>
          </c:cat>
          <c:val>
            <c:numRef>
              <c:f>TestAutomationProgress!$D$2:$D$23</c:f>
              <c:numCache>
                <c:formatCode>General</c:formatCode>
                <c:ptCount val="22"/>
                <c:pt idx="0">
                  <c:v>219</c:v>
                </c:pt>
                <c:pt idx="1">
                  <c:v>173</c:v>
                </c:pt>
                <c:pt idx="2">
                  <c:v>172</c:v>
                </c:pt>
                <c:pt idx="3">
                  <c:v>168</c:v>
                </c:pt>
                <c:pt idx="4">
                  <c:v>166</c:v>
                </c:pt>
                <c:pt idx="5">
                  <c:v>160</c:v>
                </c:pt>
                <c:pt idx="6">
                  <c:v>160</c:v>
                </c:pt>
                <c:pt idx="7">
                  <c:v>161</c:v>
                </c:pt>
                <c:pt idx="8">
                  <c:v>160</c:v>
                </c:pt>
                <c:pt idx="9">
                  <c:v>160</c:v>
                </c:pt>
                <c:pt idx="10">
                  <c:v>160</c:v>
                </c:pt>
                <c:pt idx="11">
                  <c:v>160</c:v>
                </c:pt>
                <c:pt idx="12">
                  <c:v>162</c:v>
                </c:pt>
                <c:pt idx="13">
                  <c:v>162</c:v>
                </c:pt>
                <c:pt idx="14">
                  <c:v>162</c:v>
                </c:pt>
                <c:pt idx="15">
                  <c:v>162</c:v>
                </c:pt>
                <c:pt idx="16">
                  <c:v>161</c:v>
                </c:pt>
                <c:pt idx="17">
                  <c:v>161</c:v>
                </c:pt>
                <c:pt idx="18">
                  <c:v>161</c:v>
                </c:pt>
                <c:pt idx="19">
                  <c:v>161</c:v>
                </c:pt>
                <c:pt idx="20">
                  <c:v>160</c:v>
                </c:pt>
                <c:pt idx="21">
                  <c:v>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0B-2048-A315-E1CB7BE52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2470416"/>
        <c:axId val="382472128"/>
      </c:barChart>
      <c:catAx>
        <c:axId val="382470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472128"/>
        <c:crosses val="autoZero"/>
        <c:auto val="1"/>
        <c:lblAlgn val="ctr"/>
        <c:lblOffset val="100"/>
        <c:noMultiLvlLbl val="0"/>
      </c:catAx>
      <c:valAx>
        <c:axId val="38247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470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[Humi] Test</a:t>
            </a:r>
            <a:r>
              <a:rPr lang="en-US" baseline="0"/>
              <a:t> Result - Per Version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'Humi-TestResult'!$B$1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'Humi-TestResult'!$A$2:$A$19</c:f>
              <c:strCache>
                <c:ptCount val="18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  <c:pt idx="17">
                  <c:v>v1.40</c:v>
                </c:pt>
              </c:strCache>
            </c:strRef>
          </c:cat>
          <c:val>
            <c:numRef>
              <c:f>'Humi-TestResult'!$B$2:$B$19</c:f>
              <c:numCache>
                <c:formatCode>General</c:formatCode>
                <c:ptCount val="18"/>
                <c:pt idx="0">
                  <c:v>421</c:v>
                </c:pt>
                <c:pt idx="1">
                  <c:v>402</c:v>
                </c:pt>
                <c:pt idx="2">
                  <c:v>1195</c:v>
                </c:pt>
                <c:pt idx="3">
                  <c:v>2583</c:v>
                </c:pt>
                <c:pt idx="4">
                  <c:v>2263</c:v>
                </c:pt>
                <c:pt idx="5">
                  <c:v>2719</c:v>
                </c:pt>
                <c:pt idx="6">
                  <c:v>2515</c:v>
                </c:pt>
                <c:pt idx="7">
                  <c:v>1399</c:v>
                </c:pt>
                <c:pt idx="8">
                  <c:v>1271</c:v>
                </c:pt>
                <c:pt idx="9">
                  <c:v>1333</c:v>
                </c:pt>
                <c:pt idx="10">
                  <c:v>1475</c:v>
                </c:pt>
                <c:pt idx="11">
                  <c:v>2031</c:v>
                </c:pt>
                <c:pt idx="12">
                  <c:v>1755</c:v>
                </c:pt>
                <c:pt idx="13">
                  <c:v>1892</c:v>
                </c:pt>
                <c:pt idx="14">
                  <c:v>1642</c:v>
                </c:pt>
                <c:pt idx="15">
                  <c:v>1350</c:v>
                </c:pt>
                <c:pt idx="16">
                  <c:v>860</c:v>
                </c:pt>
                <c:pt idx="17">
                  <c:v>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92-504A-9943-B371AA86C87B}"/>
            </c:ext>
          </c:extLst>
        </c:ser>
        <c:ser>
          <c:idx val="1"/>
          <c:order val="1"/>
          <c:tx>
            <c:strRef>
              <c:f>'Humi-TestResult'!$C$1</c:f>
              <c:strCache>
                <c:ptCount val="1"/>
                <c:pt idx="0">
                  <c:v>Blocked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'Humi-TestResult'!$A$2:$A$19</c:f>
              <c:strCache>
                <c:ptCount val="18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  <c:pt idx="17">
                  <c:v>v1.40</c:v>
                </c:pt>
              </c:strCache>
            </c:strRef>
          </c:cat>
          <c:val>
            <c:numRef>
              <c:f>'Humi-TestResult'!$C$2:$C$19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8</c:v>
                </c:pt>
                <c:pt idx="15">
                  <c:v>8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92-504A-9943-B371AA86C87B}"/>
            </c:ext>
          </c:extLst>
        </c:ser>
        <c:ser>
          <c:idx val="2"/>
          <c:order val="2"/>
          <c:tx>
            <c:strRef>
              <c:f>'Humi-TestResult'!$D$1</c:f>
              <c:strCache>
                <c:ptCount val="1"/>
                <c:pt idx="0">
                  <c:v>Known Issue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>
              <a:outerShdw blurRad="50800" dist="50800" dir="5400000" algn="ctr" rotWithShape="0">
                <a:schemeClr val="accent4">
                  <a:lumMod val="75000"/>
                </a:schemeClr>
              </a:outerShdw>
            </a:effectLst>
          </c:spPr>
          <c:invertIfNegative val="0"/>
          <c:cat>
            <c:strRef>
              <c:f>'Humi-TestResult'!$A$2:$A$19</c:f>
              <c:strCache>
                <c:ptCount val="18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  <c:pt idx="17">
                  <c:v>v1.40</c:v>
                </c:pt>
              </c:strCache>
            </c:strRef>
          </c:cat>
          <c:val>
            <c:numRef>
              <c:f>'Humi-TestResult'!$D$2:$D$19</c:f>
              <c:numCache>
                <c:formatCode>General</c:formatCode>
                <c:ptCount val="18"/>
                <c:pt idx="0">
                  <c:v>12</c:v>
                </c:pt>
                <c:pt idx="1">
                  <c:v>10</c:v>
                </c:pt>
                <c:pt idx="2">
                  <c:v>16</c:v>
                </c:pt>
                <c:pt idx="3">
                  <c:v>13</c:v>
                </c:pt>
                <c:pt idx="4">
                  <c:v>3</c:v>
                </c:pt>
                <c:pt idx="5">
                  <c:v>4</c:v>
                </c:pt>
                <c:pt idx="6">
                  <c:v>16</c:v>
                </c:pt>
                <c:pt idx="7">
                  <c:v>1</c:v>
                </c:pt>
                <c:pt idx="8">
                  <c:v>2</c:v>
                </c:pt>
                <c:pt idx="9">
                  <c:v>7</c:v>
                </c:pt>
                <c:pt idx="10">
                  <c:v>6</c:v>
                </c:pt>
                <c:pt idx="11">
                  <c:v>0</c:v>
                </c:pt>
                <c:pt idx="12">
                  <c:v>6</c:v>
                </c:pt>
                <c:pt idx="13">
                  <c:v>9</c:v>
                </c:pt>
                <c:pt idx="14">
                  <c:v>3</c:v>
                </c:pt>
                <c:pt idx="15">
                  <c:v>10</c:v>
                </c:pt>
                <c:pt idx="16">
                  <c:v>4</c:v>
                </c:pt>
                <c:pt idx="1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92-504A-9943-B371AA86C87B}"/>
            </c:ext>
          </c:extLst>
        </c:ser>
        <c:ser>
          <c:idx val="3"/>
          <c:order val="3"/>
          <c:tx>
            <c:strRef>
              <c:f>'Humi-TestResult'!$E$1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'Humi-TestResult'!$A$2:$A$19</c:f>
              <c:strCache>
                <c:ptCount val="18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  <c:pt idx="17">
                  <c:v>v1.40</c:v>
                </c:pt>
              </c:strCache>
            </c:strRef>
          </c:cat>
          <c:val>
            <c:numRef>
              <c:f>'Humi-TestResult'!$E$2:$E$19</c:f>
              <c:numCache>
                <c:formatCode>General</c:formatCode>
                <c:ptCount val="18"/>
                <c:pt idx="0">
                  <c:v>8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2</c:v>
                </c:pt>
                <c:pt idx="17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92-504A-9943-B371AA86C87B}"/>
            </c:ext>
          </c:extLst>
        </c:ser>
        <c:ser>
          <c:idx val="4"/>
          <c:order val="4"/>
          <c:tx>
            <c:strRef>
              <c:f>'Humi-TestResult'!$F$1</c:f>
              <c:strCache>
                <c:ptCount val="1"/>
                <c:pt idx="0">
                  <c:v>Partially Failed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'Humi-TestResult'!$A$2:$A$19</c:f>
              <c:strCache>
                <c:ptCount val="18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  <c:pt idx="17">
                  <c:v>v1.40</c:v>
                </c:pt>
              </c:strCache>
            </c:strRef>
          </c:cat>
          <c:val>
            <c:numRef>
              <c:f>'Humi-TestResult'!$F$2:$F$19</c:f>
              <c:numCache>
                <c:formatCode>General</c:formatCode>
                <c:ptCount val="18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</c:v>
                </c:pt>
                <c:pt idx="11">
                  <c:v>5</c:v>
                </c:pt>
                <c:pt idx="12">
                  <c:v>0</c:v>
                </c:pt>
                <c:pt idx="13">
                  <c:v>3</c:v>
                </c:pt>
                <c:pt idx="14">
                  <c:v>23</c:v>
                </c:pt>
                <c:pt idx="15">
                  <c:v>4</c:v>
                </c:pt>
                <c:pt idx="16">
                  <c:v>0</c:v>
                </c:pt>
                <c:pt idx="17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92-504A-9943-B371AA86C87B}"/>
            </c:ext>
          </c:extLst>
        </c:ser>
        <c:ser>
          <c:idx val="5"/>
          <c:order val="5"/>
          <c:tx>
            <c:strRef>
              <c:f>'Humi-TestResult'!$G$1</c:f>
              <c:strCache>
                <c:ptCount val="1"/>
                <c:pt idx="0">
                  <c:v>Untested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'Humi-TestResult'!$A$2:$A$19</c:f>
              <c:strCache>
                <c:ptCount val="18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  <c:pt idx="17">
                  <c:v>v1.40</c:v>
                </c:pt>
              </c:strCache>
            </c:strRef>
          </c:cat>
          <c:val>
            <c:numRef>
              <c:f>'Humi-TestResult'!$G$2:$G$19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92-504A-9943-B371AA86C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4019631"/>
        <c:axId val="2014101087"/>
      </c:barChart>
      <c:lineChart>
        <c:grouping val="standard"/>
        <c:varyColors val="0"/>
        <c:ser>
          <c:idx val="6"/>
          <c:order val="6"/>
          <c:tx>
            <c:strRef>
              <c:f>'Humi-TestResult'!$H$1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'Humi-TestResult'!$A$2:$A$19</c:f>
              <c:strCache>
                <c:ptCount val="18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  <c:pt idx="17">
                  <c:v>v1.40</c:v>
                </c:pt>
              </c:strCache>
            </c:strRef>
          </c:cat>
          <c:val>
            <c:numRef>
              <c:f>'Humi-TestResult'!$H$2:$H$19</c:f>
              <c:numCache>
                <c:formatCode>General</c:formatCode>
                <c:ptCount val="18"/>
                <c:pt idx="0">
                  <c:v>442</c:v>
                </c:pt>
                <c:pt idx="1">
                  <c:v>414</c:v>
                </c:pt>
                <c:pt idx="2">
                  <c:v>1211</c:v>
                </c:pt>
                <c:pt idx="3">
                  <c:v>2596</c:v>
                </c:pt>
                <c:pt idx="4">
                  <c:v>2266</c:v>
                </c:pt>
                <c:pt idx="5">
                  <c:v>2723</c:v>
                </c:pt>
                <c:pt idx="6">
                  <c:v>2531</c:v>
                </c:pt>
                <c:pt idx="7">
                  <c:v>1401</c:v>
                </c:pt>
                <c:pt idx="8">
                  <c:v>1273</c:v>
                </c:pt>
                <c:pt idx="9">
                  <c:v>1341</c:v>
                </c:pt>
                <c:pt idx="10">
                  <c:v>1485</c:v>
                </c:pt>
                <c:pt idx="11">
                  <c:v>2037</c:v>
                </c:pt>
                <c:pt idx="12">
                  <c:v>1761</c:v>
                </c:pt>
                <c:pt idx="13">
                  <c:v>1904</c:v>
                </c:pt>
                <c:pt idx="14">
                  <c:v>1676</c:v>
                </c:pt>
                <c:pt idx="15">
                  <c:v>1374</c:v>
                </c:pt>
                <c:pt idx="16">
                  <c:v>866</c:v>
                </c:pt>
                <c:pt idx="17">
                  <c:v>597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192-504A-9943-B371AA86C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14019631"/>
        <c:axId val="2014101087"/>
      </c:lineChart>
      <c:catAx>
        <c:axId val="2014019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101087"/>
        <c:crosses val="autoZero"/>
        <c:auto val="1"/>
        <c:lblAlgn val="ctr"/>
        <c:lblOffset val="100"/>
        <c:noMultiLvlLbl val="0"/>
      </c:catAx>
      <c:valAx>
        <c:axId val="2014101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019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[SOVA] Test Result - Per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'SOVA-TestResult'!$B$1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'SOVA-TestResult'!$A$2:$A$36</c:f>
              <c:strCache>
                <c:ptCount val="35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  <c:pt idx="33">
                  <c:v>26W11</c:v>
                </c:pt>
                <c:pt idx="34">
                  <c:v>26W12</c:v>
                </c:pt>
              </c:strCache>
            </c:strRef>
          </c:cat>
          <c:val>
            <c:numRef>
              <c:f>'SOVA-TestResult'!$B$2:$B$36</c:f>
              <c:numCache>
                <c:formatCode>General</c:formatCode>
                <c:ptCount val="35"/>
                <c:pt idx="0">
                  <c:v>38</c:v>
                </c:pt>
                <c:pt idx="2">
                  <c:v>43</c:v>
                </c:pt>
                <c:pt idx="4">
                  <c:v>58</c:v>
                </c:pt>
                <c:pt idx="6">
                  <c:v>76</c:v>
                </c:pt>
                <c:pt idx="8">
                  <c:v>121</c:v>
                </c:pt>
                <c:pt idx="10">
                  <c:v>148</c:v>
                </c:pt>
                <c:pt idx="12">
                  <c:v>148</c:v>
                </c:pt>
                <c:pt idx="14">
                  <c:v>231</c:v>
                </c:pt>
                <c:pt idx="16">
                  <c:v>249</c:v>
                </c:pt>
                <c:pt idx="17">
                  <c:v>155</c:v>
                </c:pt>
                <c:pt idx="18">
                  <c:v>225</c:v>
                </c:pt>
                <c:pt idx="19">
                  <c:v>281</c:v>
                </c:pt>
                <c:pt idx="20">
                  <c:v>291</c:v>
                </c:pt>
                <c:pt idx="21">
                  <c:v>267</c:v>
                </c:pt>
                <c:pt idx="22">
                  <c:v>343</c:v>
                </c:pt>
                <c:pt idx="23">
                  <c:v>351</c:v>
                </c:pt>
                <c:pt idx="24">
                  <c:v>142</c:v>
                </c:pt>
                <c:pt idx="25">
                  <c:v>442</c:v>
                </c:pt>
                <c:pt idx="26">
                  <c:v>518</c:v>
                </c:pt>
                <c:pt idx="27">
                  <c:v>636</c:v>
                </c:pt>
                <c:pt idx="28">
                  <c:v>436</c:v>
                </c:pt>
                <c:pt idx="29">
                  <c:v>171</c:v>
                </c:pt>
                <c:pt idx="30">
                  <c:v>723</c:v>
                </c:pt>
                <c:pt idx="31">
                  <c:v>687</c:v>
                </c:pt>
                <c:pt idx="32">
                  <c:v>218</c:v>
                </c:pt>
                <c:pt idx="33">
                  <c:v>694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B6-0841-9E09-1415898952C6}"/>
            </c:ext>
          </c:extLst>
        </c:ser>
        <c:ser>
          <c:idx val="1"/>
          <c:order val="1"/>
          <c:tx>
            <c:strRef>
              <c:f>'SOVA-TestResult'!$C$1</c:f>
              <c:strCache>
                <c:ptCount val="1"/>
                <c:pt idx="0">
                  <c:v>Blocked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'SOVA-TestResult'!$A$2:$A$36</c:f>
              <c:strCache>
                <c:ptCount val="35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  <c:pt idx="33">
                  <c:v>26W11</c:v>
                </c:pt>
                <c:pt idx="34">
                  <c:v>26W12</c:v>
                </c:pt>
              </c:strCache>
            </c:strRef>
          </c:cat>
          <c:val>
            <c:numRef>
              <c:f>'SOVA-TestResult'!$C$2:$C$36</c:f>
              <c:numCache>
                <c:formatCode>General</c:formatCode>
                <c:ptCount val="35"/>
                <c:pt idx="0">
                  <c:v>1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1</c:v>
                </c:pt>
                <c:pt idx="10">
                  <c:v>0</c:v>
                </c:pt>
                <c:pt idx="12">
                  <c:v>1</c:v>
                </c:pt>
                <c:pt idx="14">
                  <c:v>3</c:v>
                </c:pt>
                <c:pt idx="16">
                  <c:v>19</c:v>
                </c:pt>
                <c:pt idx="17">
                  <c:v>0</c:v>
                </c:pt>
                <c:pt idx="18">
                  <c:v>1</c:v>
                </c:pt>
                <c:pt idx="19">
                  <c:v>2</c:v>
                </c:pt>
                <c:pt idx="20">
                  <c:v>20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8</c:v>
                </c:pt>
                <c:pt idx="26">
                  <c:v>4</c:v>
                </c:pt>
                <c:pt idx="27">
                  <c:v>3</c:v>
                </c:pt>
                <c:pt idx="28">
                  <c:v>4</c:v>
                </c:pt>
                <c:pt idx="29">
                  <c:v>6</c:v>
                </c:pt>
                <c:pt idx="30">
                  <c:v>12</c:v>
                </c:pt>
                <c:pt idx="31">
                  <c:v>1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B6-0841-9E09-1415898952C6}"/>
            </c:ext>
          </c:extLst>
        </c:ser>
        <c:ser>
          <c:idx val="2"/>
          <c:order val="2"/>
          <c:tx>
            <c:strRef>
              <c:f>'SOVA-TestResult'!$D$1</c:f>
              <c:strCache>
                <c:ptCount val="1"/>
                <c:pt idx="0">
                  <c:v>Known Issue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'SOVA-TestResult'!$A$2:$A$36</c:f>
              <c:strCache>
                <c:ptCount val="35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  <c:pt idx="33">
                  <c:v>26W11</c:v>
                </c:pt>
                <c:pt idx="34">
                  <c:v>26W12</c:v>
                </c:pt>
              </c:strCache>
            </c:strRef>
          </c:cat>
          <c:val>
            <c:numRef>
              <c:f>'SOVA-TestResult'!$D$2:$D$36</c:f>
              <c:numCache>
                <c:formatCode>General</c:formatCode>
                <c:ptCount val="35"/>
                <c:pt idx="0">
                  <c:v>0</c:v>
                </c:pt>
                <c:pt idx="2">
                  <c:v>10</c:v>
                </c:pt>
                <c:pt idx="4">
                  <c:v>2</c:v>
                </c:pt>
                <c:pt idx="6">
                  <c:v>7</c:v>
                </c:pt>
                <c:pt idx="8">
                  <c:v>9</c:v>
                </c:pt>
                <c:pt idx="10">
                  <c:v>6</c:v>
                </c:pt>
                <c:pt idx="12">
                  <c:v>15</c:v>
                </c:pt>
                <c:pt idx="14">
                  <c:v>16</c:v>
                </c:pt>
                <c:pt idx="16">
                  <c:v>8</c:v>
                </c:pt>
                <c:pt idx="17">
                  <c:v>2</c:v>
                </c:pt>
                <c:pt idx="18">
                  <c:v>7</c:v>
                </c:pt>
                <c:pt idx="19">
                  <c:v>10</c:v>
                </c:pt>
                <c:pt idx="20">
                  <c:v>1</c:v>
                </c:pt>
                <c:pt idx="21">
                  <c:v>3</c:v>
                </c:pt>
                <c:pt idx="22">
                  <c:v>8</c:v>
                </c:pt>
                <c:pt idx="23">
                  <c:v>8</c:v>
                </c:pt>
                <c:pt idx="24">
                  <c:v>0</c:v>
                </c:pt>
                <c:pt idx="25">
                  <c:v>10</c:v>
                </c:pt>
                <c:pt idx="26">
                  <c:v>9</c:v>
                </c:pt>
                <c:pt idx="27">
                  <c:v>4</c:v>
                </c:pt>
                <c:pt idx="28">
                  <c:v>4</c:v>
                </c:pt>
                <c:pt idx="29">
                  <c:v>0</c:v>
                </c:pt>
                <c:pt idx="30">
                  <c:v>3</c:v>
                </c:pt>
                <c:pt idx="31">
                  <c:v>1</c:v>
                </c:pt>
                <c:pt idx="32">
                  <c:v>0</c:v>
                </c:pt>
                <c:pt idx="33">
                  <c:v>2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B6-0841-9E09-1415898952C6}"/>
            </c:ext>
          </c:extLst>
        </c:ser>
        <c:ser>
          <c:idx val="3"/>
          <c:order val="3"/>
          <c:tx>
            <c:strRef>
              <c:f>'SOVA-TestResult'!$E$1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'SOVA-TestResult'!$A$2:$A$36</c:f>
              <c:strCache>
                <c:ptCount val="35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  <c:pt idx="33">
                  <c:v>26W11</c:v>
                </c:pt>
                <c:pt idx="34">
                  <c:v>26W12</c:v>
                </c:pt>
              </c:strCache>
            </c:strRef>
          </c:cat>
          <c:val>
            <c:numRef>
              <c:f>'SOVA-TestResult'!$E$2:$E$36</c:f>
              <c:numCache>
                <c:formatCode>General</c:formatCode>
                <c:ptCount val="35"/>
                <c:pt idx="0">
                  <c:v>4</c:v>
                </c:pt>
                <c:pt idx="2">
                  <c:v>0</c:v>
                </c:pt>
                <c:pt idx="4">
                  <c:v>2</c:v>
                </c:pt>
                <c:pt idx="6">
                  <c:v>5</c:v>
                </c:pt>
                <c:pt idx="8">
                  <c:v>10</c:v>
                </c:pt>
                <c:pt idx="10">
                  <c:v>3</c:v>
                </c:pt>
                <c:pt idx="12">
                  <c:v>2</c:v>
                </c:pt>
                <c:pt idx="14">
                  <c:v>8</c:v>
                </c:pt>
                <c:pt idx="16">
                  <c:v>9</c:v>
                </c:pt>
                <c:pt idx="17">
                  <c:v>5</c:v>
                </c:pt>
                <c:pt idx="18">
                  <c:v>11</c:v>
                </c:pt>
                <c:pt idx="19">
                  <c:v>8</c:v>
                </c:pt>
                <c:pt idx="20">
                  <c:v>16</c:v>
                </c:pt>
                <c:pt idx="21">
                  <c:v>8</c:v>
                </c:pt>
                <c:pt idx="22">
                  <c:v>7</c:v>
                </c:pt>
                <c:pt idx="23">
                  <c:v>1</c:v>
                </c:pt>
                <c:pt idx="24">
                  <c:v>0</c:v>
                </c:pt>
                <c:pt idx="25">
                  <c:v>1</c:v>
                </c:pt>
                <c:pt idx="26">
                  <c:v>8</c:v>
                </c:pt>
                <c:pt idx="27">
                  <c:v>2</c:v>
                </c:pt>
                <c:pt idx="28">
                  <c:v>13</c:v>
                </c:pt>
                <c:pt idx="29">
                  <c:v>1</c:v>
                </c:pt>
                <c:pt idx="30">
                  <c:v>7</c:v>
                </c:pt>
                <c:pt idx="31">
                  <c:v>3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B6-0841-9E09-141589895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67472959"/>
        <c:axId val="1167191519"/>
      </c:barChart>
      <c:lineChart>
        <c:grouping val="standard"/>
        <c:varyColors val="0"/>
        <c:ser>
          <c:idx val="4"/>
          <c:order val="4"/>
          <c:tx>
            <c:strRef>
              <c:f>'SOVA-TestResult'!$F$1</c:f>
              <c:strCache>
                <c:ptCount val="1"/>
                <c:pt idx="0">
                  <c:v>Partially Failed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'SOVA-TestResult'!$A$2:$A$36</c:f>
              <c:strCache>
                <c:ptCount val="35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  <c:pt idx="33">
                  <c:v>26W11</c:v>
                </c:pt>
                <c:pt idx="34">
                  <c:v>26W12</c:v>
                </c:pt>
              </c:strCache>
            </c:strRef>
          </c:cat>
          <c:val>
            <c:numRef>
              <c:f>'SOVA-TestResult'!$F$2:$F$36</c:f>
              <c:numCache>
                <c:formatCode>General</c:formatCode>
                <c:ptCount val="35"/>
                <c:pt idx="0">
                  <c:v>11</c:v>
                </c:pt>
                <c:pt idx="2">
                  <c:v>1</c:v>
                </c:pt>
                <c:pt idx="4">
                  <c:v>5</c:v>
                </c:pt>
                <c:pt idx="6">
                  <c:v>2</c:v>
                </c:pt>
                <c:pt idx="8">
                  <c:v>4</c:v>
                </c:pt>
                <c:pt idx="10">
                  <c:v>4</c:v>
                </c:pt>
                <c:pt idx="12">
                  <c:v>1</c:v>
                </c:pt>
                <c:pt idx="14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2</c:v>
                </c:pt>
                <c:pt idx="19">
                  <c:v>2</c:v>
                </c:pt>
                <c:pt idx="20">
                  <c:v>3</c:v>
                </c:pt>
                <c:pt idx="21">
                  <c:v>1</c:v>
                </c:pt>
                <c:pt idx="22">
                  <c:v>4</c:v>
                </c:pt>
                <c:pt idx="23">
                  <c:v>15</c:v>
                </c:pt>
                <c:pt idx="24">
                  <c:v>6</c:v>
                </c:pt>
                <c:pt idx="25">
                  <c:v>16</c:v>
                </c:pt>
                <c:pt idx="26">
                  <c:v>3</c:v>
                </c:pt>
                <c:pt idx="27">
                  <c:v>5</c:v>
                </c:pt>
                <c:pt idx="28">
                  <c:v>7</c:v>
                </c:pt>
                <c:pt idx="29">
                  <c:v>6</c:v>
                </c:pt>
                <c:pt idx="30">
                  <c:v>8</c:v>
                </c:pt>
                <c:pt idx="31">
                  <c:v>12</c:v>
                </c:pt>
                <c:pt idx="32">
                  <c:v>0</c:v>
                </c:pt>
                <c:pt idx="33">
                  <c:v>7</c:v>
                </c:pt>
                <c:pt idx="3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1B6-0841-9E09-1415898952C6}"/>
            </c:ext>
          </c:extLst>
        </c:ser>
        <c:ser>
          <c:idx val="5"/>
          <c:order val="5"/>
          <c:tx>
            <c:strRef>
              <c:f>'SOVA-TestResult'!$G$1</c:f>
              <c:strCache>
                <c:ptCount val="1"/>
                <c:pt idx="0">
                  <c:v>Untested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'SOVA-TestResult'!$A$2:$A$36</c:f>
              <c:strCache>
                <c:ptCount val="35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  <c:pt idx="33">
                  <c:v>26W11</c:v>
                </c:pt>
                <c:pt idx="34">
                  <c:v>26W12</c:v>
                </c:pt>
              </c:strCache>
            </c:strRef>
          </c:cat>
          <c:val>
            <c:numRef>
              <c:f>'SOVA-TestResult'!$G$2:$G$36</c:f>
              <c:numCache>
                <c:formatCode>General</c:formatCode>
                <c:ptCount val="35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  <c:pt idx="12">
                  <c:v>0</c:v>
                </c:pt>
                <c:pt idx="14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485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1B6-0841-9E09-1415898952C6}"/>
            </c:ext>
          </c:extLst>
        </c:ser>
        <c:ser>
          <c:idx val="6"/>
          <c:order val="6"/>
          <c:tx>
            <c:strRef>
              <c:f>'SOVA-TestResult'!$H$1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'SOVA-TestResult'!$A$2:$A$36</c:f>
              <c:strCache>
                <c:ptCount val="35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  <c:pt idx="33">
                  <c:v>26W11</c:v>
                </c:pt>
                <c:pt idx="34">
                  <c:v>26W12</c:v>
                </c:pt>
              </c:strCache>
            </c:strRef>
          </c:cat>
          <c:val>
            <c:numRef>
              <c:f>'SOVA-TestResult'!$H$2:$H$36</c:f>
              <c:numCache>
                <c:formatCode>General</c:formatCode>
                <c:ptCount val="35"/>
                <c:pt idx="0">
                  <c:v>54</c:v>
                </c:pt>
                <c:pt idx="2">
                  <c:v>54</c:v>
                </c:pt>
                <c:pt idx="4">
                  <c:v>67</c:v>
                </c:pt>
                <c:pt idx="6">
                  <c:v>90</c:v>
                </c:pt>
                <c:pt idx="8">
                  <c:v>145</c:v>
                </c:pt>
                <c:pt idx="10">
                  <c:v>161</c:v>
                </c:pt>
                <c:pt idx="12">
                  <c:v>167</c:v>
                </c:pt>
                <c:pt idx="14">
                  <c:v>259</c:v>
                </c:pt>
                <c:pt idx="16">
                  <c:v>285</c:v>
                </c:pt>
                <c:pt idx="17">
                  <c:v>162</c:v>
                </c:pt>
                <c:pt idx="18">
                  <c:v>246</c:v>
                </c:pt>
                <c:pt idx="19">
                  <c:v>303</c:v>
                </c:pt>
                <c:pt idx="20">
                  <c:v>331</c:v>
                </c:pt>
                <c:pt idx="21">
                  <c:v>279</c:v>
                </c:pt>
                <c:pt idx="22">
                  <c:v>362</c:v>
                </c:pt>
                <c:pt idx="23">
                  <c:v>378</c:v>
                </c:pt>
                <c:pt idx="24">
                  <c:v>148</c:v>
                </c:pt>
                <c:pt idx="25">
                  <c:v>477</c:v>
                </c:pt>
                <c:pt idx="26">
                  <c:v>542</c:v>
                </c:pt>
                <c:pt idx="27">
                  <c:v>650</c:v>
                </c:pt>
                <c:pt idx="28">
                  <c:v>464</c:v>
                </c:pt>
                <c:pt idx="29">
                  <c:v>184</c:v>
                </c:pt>
                <c:pt idx="30">
                  <c:v>753</c:v>
                </c:pt>
                <c:pt idx="31">
                  <c:v>704</c:v>
                </c:pt>
                <c:pt idx="32">
                  <c:v>218</c:v>
                </c:pt>
                <c:pt idx="33">
                  <c:v>703</c:v>
                </c:pt>
                <c:pt idx="34">
                  <c:v>485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64-450E-8791-12BF16343F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7472959"/>
        <c:axId val="1167191519"/>
      </c:lineChart>
      <c:catAx>
        <c:axId val="1167472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191519"/>
        <c:crosses val="autoZero"/>
        <c:auto val="1"/>
        <c:lblAlgn val="ctr"/>
        <c:lblOffset val="100"/>
        <c:noMultiLvlLbl val="0"/>
      </c:catAx>
      <c:valAx>
        <c:axId val="1167191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472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Humi - Bug trend (Per version)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'Humi-BugTrend'!$B$1</c:f>
              <c:strCache>
                <c:ptCount val="1"/>
                <c:pt idx="0">
                  <c:v>To Do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'Humi-BugTrend'!$A$2:$A$22</c:f>
              <c:strCache>
                <c:ptCount val="21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  <c:pt idx="20">
                  <c:v>v1.40</c:v>
                </c:pt>
              </c:strCache>
            </c:strRef>
          </c:cat>
          <c:val>
            <c:numRef>
              <c:f>'Humi-BugTrend'!$B$2:$B$22</c:f>
              <c:numCache>
                <c:formatCode>General</c:formatCode>
                <c:ptCount val="21"/>
                <c:pt idx="0">
                  <c:v>9</c:v>
                </c:pt>
                <c:pt idx="1">
                  <c:v>4</c:v>
                </c:pt>
                <c:pt idx="2">
                  <c:v>14</c:v>
                </c:pt>
                <c:pt idx="3">
                  <c:v>14</c:v>
                </c:pt>
                <c:pt idx="4">
                  <c:v>15</c:v>
                </c:pt>
                <c:pt idx="5">
                  <c:v>12</c:v>
                </c:pt>
                <c:pt idx="6">
                  <c:v>8</c:v>
                </c:pt>
                <c:pt idx="7">
                  <c:v>6</c:v>
                </c:pt>
                <c:pt idx="8">
                  <c:v>7</c:v>
                </c:pt>
                <c:pt idx="9">
                  <c:v>1</c:v>
                </c:pt>
                <c:pt idx="10">
                  <c:v>12</c:v>
                </c:pt>
                <c:pt idx="11">
                  <c:v>0</c:v>
                </c:pt>
                <c:pt idx="12">
                  <c:v>2</c:v>
                </c:pt>
                <c:pt idx="13">
                  <c:v>11</c:v>
                </c:pt>
                <c:pt idx="14">
                  <c:v>0</c:v>
                </c:pt>
                <c:pt idx="15">
                  <c:v>6</c:v>
                </c:pt>
                <c:pt idx="16">
                  <c:v>3</c:v>
                </c:pt>
                <c:pt idx="17">
                  <c:v>0</c:v>
                </c:pt>
                <c:pt idx="18">
                  <c:v>1</c:v>
                </c:pt>
                <c:pt idx="19">
                  <c:v>3</c:v>
                </c:pt>
                <c:pt idx="20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00-754E-8A07-C86B0F993C4F}"/>
            </c:ext>
          </c:extLst>
        </c:ser>
        <c:ser>
          <c:idx val="1"/>
          <c:order val="1"/>
          <c:tx>
            <c:strRef>
              <c:f>'Humi-BugTrend'!$C$1</c:f>
              <c:strCache>
                <c:ptCount val="1"/>
                <c:pt idx="0">
                  <c:v>In Progress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'Humi-BugTrend'!$A$2:$A$22</c:f>
              <c:strCache>
                <c:ptCount val="21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  <c:pt idx="20">
                  <c:v>v1.40</c:v>
                </c:pt>
              </c:strCache>
            </c:strRef>
          </c:cat>
          <c:val>
            <c:numRef>
              <c:f>'Humi-BugTrend'!$C$2:$C$22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00-754E-8A07-C86B0F993C4F}"/>
            </c:ext>
          </c:extLst>
        </c:ser>
        <c:ser>
          <c:idx val="2"/>
          <c:order val="2"/>
          <c:tx>
            <c:strRef>
              <c:f>'Humi-BugTrend'!$D$1</c:f>
              <c:strCache>
                <c:ptCount val="1"/>
                <c:pt idx="0">
                  <c:v>In Review</c:v>
                </c:pt>
              </c:strCache>
            </c:strRef>
          </c:tx>
          <c:spPr>
            <a:solidFill>
              <a:schemeClr val="tx2">
                <a:lumMod val="75000"/>
                <a:lumOff val="25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'Humi-BugTrend'!$A$2:$A$22</c:f>
              <c:strCache>
                <c:ptCount val="21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  <c:pt idx="20">
                  <c:v>v1.40</c:v>
                </c:pt>
              </c:strCache>
            </c:strRef>
          </c:cat>
          <c:val>
            <c:numRef>
              <c:f>'Humi-BugTrend'!$D$2:$D$22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00-754E-8A07-C86B0F993C4F}"/>
            </c:ext>
          </c:extLst>
        </c:ser>
        <c:ser>
          <c:idx val="3"/>
          <c:order val="3"/>
          <c:tx>
            <c:strRef>
              <c:f>'Humi-BugTrend'!$E$1</c:f>
              <c:strCache>
                <c:ptCount val="1"/>
                <c:pt idx="0">
                  <c:v>In QA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'Humi-BugTrend'!$A$2:$A$22</c:f>
              <c:strCache>
                <c:ptCount val="21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  <c:pt idx="20">
                  <c:v>v1.40</c:v>
                </c:pt>
              </c:strCache>
            </c:strRef>
          </c:cat>
          <c:val>
            <c:numRef>
              <c:f>'Humi-BugTrend'!$E$2:$E$22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300-754E-8A07-C86B0F993C4F}"/>
            </c:ext>
          </c:extLst>
        </c:ser>
        <c:ser>
          <c:idx val="4"/>
          <c:order val="4"/>
          <c:tx>
            <c:strRef>
              <c:f>'Humi-BugTrend'!$F$1</c:f>
              <c:strCache>
                <c:ptCount val="1"/>
                <c:pt idx="0">
                  <c:v>Internal Test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'Humi-BugTrend'!$A$2:$A$22</c:f>
              <c:strCache>
                <c:ptCount val="21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  <c:pt idx="20">
                  <c:v>v1.40</c:v>
                </c:pt>
              </c:strCache>
            </c:strRef>
          </c:cat>
          <c:val>
            <c:numRef>
              <c:f>'Humi-BugTrend'!$F$2:$F$22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EE-4236-973E-E208D437CE39}"/>
            </c:ext>
          </c:extLst>
        </c:ser>
        <c:ser>
          <c:idx val="5"/>
          <c:order val="5"/>
          <c:tx>
            <c:strRef>
              <c:f>'Humi-BugTrend'!$G$1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'Humi-BugTrend'!$A$2:$A$22</c:f>
              <c:strCache>
                <c:ptCount val="21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  <c:pt idx="20">
                  <c:v>v1.40</c:v>
                </c:pt>
              </c:strCache>
            </c:strRef>
          </c:cat>
          <c:val>
            <c:numRef>
              <c:f>'Humi-BugTrend'!$G$2:$G$22</c:f>
              <c:numCache>
                <c:formatCode>General</c:formatCode>
                <c:ptCount val="21"/>
                <c:pt idx="0">
                  <c:v>66</c:v>
                </c:pt>
                <c:pt idx="1">
                  <c:v>48</c:v>
                </c:pt>
                <c:pt idx="2">
                  <c:v>46</c:v>
                </c:pt>
                <c:pt idx="3">
                  <c:v>34</c:v>
                </c:pt>
                <c:pt idx="4">
                  <c:v>25</c:v>
                </c:pt>
                <c:pt idx="5">
                  <c:v>56</c:v>
                </c:pt>
                <c:pt idx="6">
                  <c:v>40</c:v>
                </c:pt>
                <c:pt idx="7">
                  <c:v>33</c:v>
                </c:pt>
                <c:pt idx="8">
                  <c:v>29</c:v>
                </c:pt>
                <c:pt idx="9">
                  <c:v>1</c:v>
                </c:pt>
                <c:pt idx="10">
                  <c:v>9</c:v>
                </c:pt>
                <c:pt idx="11">
                  <c:v>12</c:v>
                </c:pt>
                <c:pt idx="12">
                  <c:v>9</c:v>
                </c:pt>
                <c:pt idx="13">
                  <c:v>40</c:v>
                </c:pt>
                <c:pt idx="14">
                  <c:v>38</c:v>
                </c:pt>
                <c:pt idx="15">
                  <c:v>35</c:v>
                </c:pt>
                <c:pt idx="16">
                  <c:v>18</c:v>
                </c:pt>
                <c:pt idx="17">
                  <c:v>12</c:v>
                </c:pt>
                <c:pt idx="18">
                  <c:v>8</c:v>
                </c:pt>
                <c:pt idx="19">
                  <c:v>8</c:v>
                </c:pt>
                <c:pt idx="2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1-4D16-B4F6-2327529C3DB3}"/>
            </c:ext>
          </c:extLst>
        </c:ser>
        <c:ser>
          <c:idx val="6"/>
          <c:order val="6"/>
          <c:tx>
            <c:strRef>
              <c:f>'Humi-BugTrend'!$H$1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'Humi-BugTrend'!$A$2:$A$22</c:f>
              <c:strCache>
                <c:ptCount val="21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  <c:pt idx="20">
                  <c:v>v1.40</c:v>
                </c:pt>
              </c:strCache>
            </c:strRef>
          </c:cat>
          <c:val>
            <c:numRef>
              <c:f>'Humi-BugTrend'!$H$2:$H$22</c:f>
              <c:numCache>
                <c:formatCode>General</c:formatCode>
                <c:ptCount val="21"/>
                <c:pt idx="0">
                  <c:v>75</c:v>
                </c:pt>
                <c:pt idx="1">
                  <c:v>52</c:v>
                </c:pt>
                <c:pt idx="2">
                  <c:v>61</c:v>
                </c:pt>
                <c:pt idx="3">
                  <c:v>49</c:v>
                </c:pt>
                <c:pt idx="4">
                  <c:v>40</c:v>
                </c:pt>
                <c:pt idx="5">
                  <c:v>68</c:v>
                </c:pt>
                <c:pt idx="6">
                  <c:v>48</c:v>
                </c:pt>
                <c:pt idx="7">
                  <c:v>39</c:v>
                </c:pt>
                <c:pt idx="8">
                  <c:v>37</c:v>
                </c:pt>
                <c:pt idx="9">
                  <c:v>2</c:v>
                </c:pt>
                <c:pt idx="10">
                  <c:v>21</c:v>
                </c:pt>
                <c:pt idx="11">
                  <c:v>12</c:v>
                </c:pt>
                <c:pt idx="12">
                  <c:v>11</c:v>
                </c:pt>
                <c:pt idx="13">
                  <c:v>51</c:v>
                </c:pt>
                <c:pt idx="14">
                  <c:v>38</c:v>
                </c:pt>
                <c:pt idx="15">
                  <c:v>42</c:v>
                </c:pt>
                <c:pt idx="16">
                  <c:v>21</c:v>
                </c:pt>
                <c:pt idx="17">
                  <c:v>12</c:v>
                </c:pt>
                <c:pt idx="18">
                  <c:v>9</c:v>
                </c:pt>
                <c:pt idx="19">
                  <c:v>11</c:v>
                </c:pt>
                <c:pt idx="20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DC1-4D16-B4F6-2327529C3D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67800655"/>
        <c:axId val="1167802383"/>
      </c:barChart>
      <c:catAx>
        <c:axId val="1167800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802383"/>
        <c:crosses val="autoZero"/>
        <c:auto val="1"/>
        <c:lblAlgn val="ctr"/>
        <c:lblOffset val="100"/>
        <c:noMultiLvlLbl val="0"/>
      </c:catAx>
      <c:valAx>
        <c:axId val="116780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800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SOVA - Bug trend (Per Sprint)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'SOVA-BugTrend'!$B$1</c:f>
              <c:strCache>
                <c:ptCount val="1"/>
                <c:pt idx="0">
                  <c:v>To Do (0%)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'SOVA-BugTrend'!$A$2:$A$21</c:f>
              <c:strCache>
                <c:ptCount val="20"/>
                <c:pt idx="0">
                  <c:v>Candidate</c:v>
                </c:pt>
                <c:pt idx="1">
                  <c:v>y25w30</c:v>
                </c:pt>
                <c:pt idx="2">
                  <c:v>y25w32</c:v>
                </c:pt>
                <c:pt idx="3">
                  <c:v>y25w34</c:v>
                </c:pt>
                <c:pt idx="4">
                  <c:v>y25w36</c:v>
                </c:pt>
                <c:pt idx="5">
                  <c:v>y25w38</c:v>
                </c:pt>
                <c:pt idx="6">
                  <c:v>y25w40</c:v>
                </c:pt>
                <c:pt idx="7">
                  <c:v>y25w42</c:v>
                </c:pt>
                <c:pt idx="8">
                  <c:v>y25w44</c:v>
                </c:pt>
                <c:pt idx="9">
                  <c:v>y25w46</c:v>
                </c:pt>
                <c:pt idx="10">
                  <c:v>y25w48</c:v>
                </c:pt>
                <c:pt idx="11">
                  <c:v>y25w50</c:v>
                </c:pt>
                <c:pt idx="12">
                  <c:v>y25w52</c:v>
                </c:pt>
                <c:pt idx="13">
                  <c:v>y26w2</c:v>
                </c:pt>
                <c:pt idx="14">
                  <c:v>y26w4</c:v>
                </c:pt>
                <c:pt idx="15">
                  <c:v>y26w6</c:v>
                </c:pt>
                <c:pt idx="16">
                  <c:v>y26w8</c:v>
                </c:pt>
                <c:pt idx="17">
                  <c:v>y26w10</c:v>
                </c:pt>
                <c:pt idx="18">
                  <c:v>y26w12</c:v>
                </c:pt>
                <c:pt idx="19">
                  <c:v>y26w14</c:v>
                </c:pt>
              </c:strCache>
            </c:strRef>
          </c:cat>
          <c:val>
            <c:numRef>
              <c:f>'SOVA-BugTrend'!$B$2:$B$21</c:f>
              <c:numCache>
                <c:formatCode>General</c:formatCode>
                <c:ptCount val="20"/>
                <c:pt idx="0">
                  <c:v>27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3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</c:v>
                </c:pt>
                <c:pt idx="11">
                  <c:v>3</c:v>
                </c:pt>
                <c:pt idx="12">
                  <c:v>4</c:v>
                </c:pt>
                <c:pt idx="13">
                  <c:v>0</c:v>
                </c:pt>
                <c:pt idx="14">
                  <c:v>1</c:v>
                </c:pt>
                <c:pt idx="15">
                  <c:v>4</c:v>
                </c:pt>
                <c:pt idx="16">
                  <c:v>3</c:v>
                </c:pt>
                <c:pt idx="17">
                  <c:v>2</c:v>
                </c:pt>
                <c:pt idx="18">
                  <c:v>11</c:v>
                </c:pt>
                <c:pt idx="1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FD-E249-9004-FD6F8F48AD9B}"/>
            </c:ext>
          </c:extLst>
        </c:ser>
        <c:ser>
          <c:idx val="1"/>
          <c:order val="1"/>
          <c:tx>
            <c:strRef>
              <c:f>'SOVA-BugTrend'!$C$1</c:f>
              <c:strCache>
                <c:ptCount val="1"/>
                <c:pt idx="0">
                  <c:v>STARTING (10 ~ 40%)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'SOVA-BugTrend'!$A$2:$A$21</c:f>
              <c:strCache>
                <c:ptCount val="20"/>
                <c:pt idx="0">
                  <c:v>Candidate</c:v>
                </c:pt>
                <c:pt idx="1">
                  <c:v>y25w30</c:v>
                </c:pt>
                <c:pt idx="2">
                  <c:v>y25w32</c:v>
                </c:pt>
                <c:pt idx="3">
                  <c:v>y25w34</c:v>
                </c:pt>
                <c:pt idx="4">
                  <c:v>y25w36</c:v>
                </c:pt>
                <c:pt idx="5">
                  <c:v>y25w38</c:v>
                </c:pt>
                <c:pt idx="6">
                  <c:v>y25w40</c:v>
                </c:pt>
                <c:pt idx="7">
                  <c:v>y25w42</c:v>
                </c:pt>
                <c:pt idx="8">
                  <c:v>y25w44</c:v>
                </c:pt>
                <c:pt idx="9">
                  <c:v>y25w46</c:v>
                </c:pt>
                <c:pt idx="10">
                  <c:v>y25w48</c:v>
                </c:pt>
                <c:pt idx="11">
                  <c:v>y25w50</c:v>
                </c:pt>
                <c:pt idx="12">
                  <c:v>y25w52</c:v>
                </c:pt>
                <c:pt idx="13">
                  <c:v>y26w2</c:v>
                </c:pt>
                <c:pt idx="14">
                  <c:v>y26w4</c:v>
                </c:pt>
                <c:pt idx="15">
                  <c:v>y26w6</c:v>
                </c:pt>
                <c:pt idx="16">
                  <c:v>y26w8</c:v>
                </c:pt>
                <c:pt idx="17">
                  <c:v>y26w10</c:v>
                </c:pt>
                <c:pt idx="18">
                  <c:v>y26w12</c:v>
                </c:pt>
                <c:pt idx="19">
                  <c:v>y26w14</c:v>
                </c:pt>
              </c:strCache>
            </c:strRef>
          </c:cat>
          <c:val>
            <c:numRef>
              <c:f>'SOVA-BugTrend'!$C$2:$C$21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1</c:v>
                </c:pt>
                <c:pt idx="18">
                  <c:v>2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FD-E249-9004-FD6F8F48AD9B}"/>
            </c:ext>
          </c:extLst>
        </c:ser>
        <c:ser>
          <c:idx val="2"/>
          <c:order val="2"/>
          <c:tx>
            <c:strRef>
              <c:f>'SOVA-BugTrend'!$D$1</c:f>
              <c:strCache>
                <c:ptCount val="1"/>
                <c:pt idx="0">
                  <c:v>In Progress (50 ~ 70%)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'SOVA-BugTrend'!$A$2:$A$21</c:f>
              <c:strCache>
                <c:ptCount val="20"/>
                <c:pt idx="0">
                  <c:v>Candidate</c:v>
                </c:pt>
                <c:pt idx="1">
                  <c:v>y25w30</c:v>
                </c:pt>
                <c:pt idx="2">
                  <c:v>y25w32</c:v>
                </c:pt>
                <c:pt idx="3">
                  <c:v>y25w34</c:v>
                </c:pt>
                <c:pt idx="4">
                  <c:v>y25w36</c:v>
                </c:pt>
                <c:pt idx="5">
                  <c:v>y25w38</c:v>
                </c:pt>
                <c:pt idx="6">
                  <c:v>y25w40</c:v>
                </c:pt>
                <c:pt idx="7">
                  <c:v>y25w42</c:v>
                </c:pt>
                <c:pt idx="8">
                  <c:v>y25w44</c:v>
                </c:pt>
                <c:pt idx="9">
                  <c:v>y25w46</c:v>
                </c:pt>
                <c:pt idx="10">
                  <c:v>y25w48</c:v>
                </c:pt>
                <c:pt idx="11">
                  <c:v>y25w50</c:v>
                </c:pt>
                <c:pt idx="12">
                  <c:v>y25w52</c:v>
                </c:pt>
                <c:pt idx="13">
                  <c:v>y26w2</c:v>
                </c:pt>
                <c:pt idx="14">
                  <c:v>y26w4</c:v>
                </c:pt>
                <c:pt idx="15">
                  <c:v>y26w6</c:v>
                </c:pt>
                <c:pt idx="16">
                  <c:v>y26w8</c:v>
                </c:pt>
                <c:pt idx="17">
                  <c:v>y26w10</c:v>
                </c:pt>
                <c:pt idx="18">
                  <c:v>y26w12</c:v>
                </c:pt>
                <c:pt idx="19">
                  <c:v>y26w14</c:v>
                </c:pt>
              </c:strCache>
            </c:strRef>
          </c:cat>
          <c:val>
            <c:numRef>
              <c:f>'SOVA-BugTrend'!$D$2:$D$21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FD-E249-9004-FD6F8F48AD9B}"/>
            </c:ext>
          </c:extLst>
        </c:ser>
        <c:ser>
          <c:idx val="3"/>
          <c:order val="3"/>
          <c:tx>
            <c:strRef>
              <c:f>'SOVA-BugTrend'!$E$1</c:f>
              <c:strCache>
                <c:ptCount val="1"/>
                <c:pt idx="0">
                  <c:v>IN REVIEW (80%)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'SOVA-BugTrend'!$A$2:$A$21</c:f>
              <c:strCache>
                <c:ptCount val="20"/>
                <c:pt idx="0">
                  <c:v>Candidate</c:v>
                </c:pt>
                <c:pt idx="1">
                  <c:v>y25w30</c:v>
                </c:pt>
                <c:pt idx="2">
                  <c:v>y25w32</c:v>
                </c:pt>
                <c:pt idx="3">
                  <c:v>y25w34</c:v>
                </c:pt>
                <c:pt idx="4">
                  <c:v>y25w36</c:v>
                </c:pt>
                <c:pt idx="5">
                  <c:v>y25w38</c:v>
                </c:pt>
                <c:pt idx="6">
                  <c:v>y25w40</c:v>
                </c:pt>
                <c:pt idx="7">
                  <c:v>y25w42</c:v>
                </c:pt>
                <c:pt idx="8">
                  <c:v>y25w44</c:v>
                </c:pt>
                <c:pt idx="9">
                  <c:v>y25w46</c:v>
                </c:pt>
                <c:pt idx="10">
                  <c:v>y25w48</c:v>
                </c:pt>
                <c:pt idx="11">
                  <c:v>y25w50</c:v>
                </c:pt>
                <c:pt idx="12">
                  <c:v>y25w52</c:v>
                </c:pt>
                <c:pt idx="13">
                  <c:v>y26w2</c:v>
                </c:pt>
                <c:pt idx="14">
                  <c:v>y26w4</c:v>
                </c:pt>
                <c:pt idx="15">
                  <c:v>y26w6</c:v>
                </c:pt>
                <c:pt idx="16">
                  <c:v>y26w8</c:v>
                </c:pt>
                <c:pt idx="17">
                  <c:v>y26w10</c:v>
                </c:pt>
                <c:pt idx="18">
                  <c:v>y26w12</c:v>
                </c:pt>
                <c:pt idx="19">
                  <c:v>y26w14</c:v>
                </c:pt>
              </c:strCache>
            </c:strRef>
          </c:cat>
          <c:val>
            <c:numRef>
              <c:f>'SOVA-BugTrend'!$E$2:$E$21</c:f>
              <c:numCache>
                <c:formatCode>General</c:formatCode>
                <c:ptCount val="2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3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FD-E249-9004-FD6F8F48AD9B}"/>
            </c:ext>
          </c:extLst>
        </c:ser>
        <c:ser>
          <c:idx val="4"/>
          <c:order val="4"/>
          <c:tx>
            <c:strRef>
              <c:f>'SOVA-BugTrend'!$F$1</c:f>
              <c:strCache>
                <c:ptCount val="1"/>
                <c:pt idx="0">
                  <c:v>READY FOR TESTING (90%)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'SOVA-BugTrend'!$A$2:$A$21</c:f>
              <c:strCache>
                <c:ptCount val="20"/>
                <c:pt idx="0">
                  <c:v>Candidate</c:v>
                </c:pt>
                <c:pt idx="1">
                  <c:v>y25w30</c:v>
                </c:pt>
                <c:pt idx="2">
                  <c:v>y25w32</c:v>
                </c:pt>
                <c:pt idx="3">
                  <c:v>y25w34</c:v>
                </c:pt>
                <c:pt idx="4">
                  <c:v>y25w36</c:v>
                </c:pt>
                <c:pt idx="5">
                  <c:v>y25w38</c:v>
                </c:pt>
                <c:pt idx="6">
                  <c:v>y25w40</c:v>
                </c:pt>
                <c:pt idx="7">
                  <c:v>y25w42</c:v>
                </c:pt>
                <c:pt idx="8">
                  <c:v>y25w44</c:v>
                </c:pt>
                <c:pt idx="9">
                  <c:v>y25w46</c:v>
                </c:pt>
                <c:pt idx="10">
                  <c:v>y25w48</c:v>
                </c:pt>
                <c:pt idx="11">
                  <c:v>y25w50</c:v>
                </c:pt>
                <c:pt idx="12">
                  <c:v>y25w52</c:v>
                </c:pt>
                <c:pt idx="13">
                  <c:v>y26w2</c:v>
                </c:pt>
                <c:pt idx="14">
                  <c:v>y26w4</c:v>
                </c:pt>
                <c:pt idx="15">
                  <c:v>y26w6</c:v>
                </c:pt>
                <c:pt idx="16">
                  <c:v>y26w8</c:v>
                </c:pt>
                <c:pt idx="17">
                  <c:v>y26w10</c:v>
                </c:pt>
                <c:pt idx="18">
                  <c:v>y26w12</c:v>
                </c:pt>
                <c:pt idx="19">
                  <c:v>y26w14</c:v>
                </c:pt>
              </c:strCache>
            </c:strRef>
          </c:cat>
          <c:val>
            <c:numRef>
              <c:f>'SOVA-BugTrend'!$F$2:$F$21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FD-E249-9004-FD6F8F48AD9B}"/>
            </c:ext>
          </c:extLst>
        </c:ser>
        <c:ser>
          <c:idx val="5"/>
          <c:order val="5"/>
          <c:tx>
            <c:strRef>
              <c:f>'SOVA-BugTrend'!$G$1</c:f>
              <c:strCache>
                <c:ptCount val="1"/>
                <c:pt idx="0">
                  <c:v>Done (100%)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'SOVA-BugTrend'!$A$2:$A$21</c:f>
              <c:strCache>
                <c:ptCount val="20"/>
                <c:pt idx="0">
                  <c:v>Candidate</c:v>
                </c:pt>
                <c:pt idx="1">
                  <c:v>y25w30</c:v>
                </c:pt>
                <c:pt idx="2">
                  <c:v>y25w32</c:v>
                </c:pt>
                <c:pt idx="3">
                  <c:v>y25w34</c:v>
                </c:pt>
                <c:pt idx="4">
                  <c:v>y25w36</c:v>
                </c:pt>
                <c:pt idx="5">
                  <c:v>y25w38</c:v>
                </c:pt>
                <c:pt idx="6">
                  <c:v>y25w40</c:v>
                </c:pt>
                <c:pt idx="7">
                  <c:v>y25w42</c:v>
                </c:pt>
                <c:pt idx="8">
                  <c:v>y25w44</c:v>
                </c:pt>
                <c:pt idx="9">
                  <c:v>y25w46</c:v>
                </c:pt>
                <c:pt idx="10">
                  <c:v>y25w48</c:v>
                </c:pt>
                <c:pt idx="11">
                  <c:v>y25w50</c:v>
                </c:pt>
                <c:pt idx="12">
                  <c:v>y25w52</c:v>
                </c:pt>
                <c:pt idx="13">
                  <c:v>y26w2</c:v>
                </c:pt>
                <c:pt idx="14">
                  <c:v>y26w4</c:v>
                </c:pt>
                <c:pt idx="15">
                  <c:v>y26w6</c:v>
                </c:pt>
                <c:pt idx="16">
                  <c:v>y26w8</c:v>
                </c:pt>
                <c:pt idx="17">
                  <c:v>y26w10</c:v>
                </c:pt>
                <c:pt idx="18">
                  <c:v>y26w12</c:v>
                </c:pt>
                <c:pt idx="19">
                  <c:v>y26w14</c:v>
                </c:pt>
              </c:strCache>
            </c:strRef>
          </c:cat>
          <c:val>
            <c:numRef>
              <c:f>'SOVA-BugTrend'!$G$2:$G$21</c:f>
              <c:numCache>
                <c:formatCode>General</c:formatCode>
                <c:ptCount val="20"/>
                <c:pt idx="0">
                  <c:v>5</c:v>
                </c:pt>
                <c:pt idx="1">
                  <c:v>39</c:v>
                </c:pt>
                <c:pt idx="2">
                  <c:v>45</c:v>
                </c:pt>
                <c:pt idx="3">
                  <c:v>18</c:v>
                </c:pt>
                <c:pt idx="4">
                  <c:v>25</c:v>
                </c:pt>
                <c:pt idx="5">
                  <c:v>45</c:v>
                </c:pt>
                <c:pt idx="6">
                  <c:v>24</c:v>
                </c:pt>
                <c:pt idx="7">
                  <c:v>43</c:v>
                </c:pt>
                <c:pt idx="8">
                  <c:v>35</c:v>
                </c:pt>
                <c:pt idx="9">
                  <c:v>29</c:v>
                </c:pt>
                <c:pt idx="10">
                  <c:v>40</c:v>
                </c:pt>
                <c:pt idx="11">
                  <c:v>32</c:v>
                </c:pt>
                <c:pt idx="12">
                  <c:v>31</c:v>
                </c:pt>
                <c:pt idx="13">
                  <c:v>31</c:v>
                </c:pt>
                <c:pt idx="14">
                  <c:v>33</c:v>
                </c:pt>
                <c:pt idx="15">
                  <c:v>28</c:v>
                </c:pt>
                <c:pt idx="16">
                  <c:v>14</c:v>
                </c:pt>
                <c:pt idx="17">
                  <c:v>13</c:v>
                </c:pt>
                <c:pt idx="18">
                  <c:v>6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DA-448B-9495-5C7B740944E9}"/>
            </c:ext>
          </c:extLst>
        </c:ser>
        <c:ser>
          <c:idx val="6"/>
          <c:order val="6"/>
          <c:tx>
            <c:strRef>
              <c:f>'SOVA-BugTrend'!$H$1</c:f>
              <c:strCache>
                <c:ptCount val="1"/>
                <c:pt idx="0">
                  <c:v>WON'T DO (100%)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'SOVA-BugTrend'!$A$2:$A$21</c:f>
              <c:strCache>
                <c:ptCount val="20"/>
                <c:pt idx="0">
                  <c:v>Candidate</c:v>
                </c:pt>
                <c:pt idx="1">
                  <c:v>y25w30</c:v>
                </c:pt>
                <c:pt idx="2">
                  <c:v>y25w32</c:v>
                </c:pt>
                <c:pt idx="3">
                  <c:v>y25w34</c:v>
                </c:pt>
                <c:pt idx="4">
                  <c:v>y25w36</c:v>
                </c:pt>
                <c:pt idx="5">
                  <c:v>y25w38</c:v>
                </c:pt>
                <c:pt idx="6">
                  <c:v>y25w40</c:v>
                </c:pt>
                <c:pt idx="7">
                  <c:v>y25w42</c:v>
                </c:pt>
                <c:pt idx="8">
                  <c:v>y25w44</c:v>
                </c:pt>
                <c:pt idx="9">
                  <c:v>y25w46</c:v>
                </c:pt>
                <c:pt idx="10">
                  <c:v>y25w48</c:v>
                </c:pt>
                <c:pt idx="11">
                  <c:v>y25w50</c:v>
                </c:pt>
                <c:pt idx="12">
                  <c:v>y25w52</c:v>
                </c:pt>
                <c:pt idx="13">
                  <c:v>y26w2</c:v>
                </c:pt>
                <c:pt idx="14">
                  <c:v>y26w4</c:v>
                </c:pt>
                <c:pt idx="15">
                  <c:v>y26w6</c:v>
                </c:pt>
                <c:pt idx="16">
                  <c:v>y26w8</c:v>
                </c:pt>
                <c:pt idx="17">
                  <c:v>y26w10</c:v>
                </c:pt>
                <c:pt idx="18">
                  <c:v>y26w12</c:v>
                </c:pt>
                <c:pt idx="19">
                  <c:v>y26w14</c:v>
                </c:pt>
              </c:strCache>
            </c:strRef>
          </c:cat>
          <c:val>
            <c:numRef>
              <c:f>'SOVA-BugTrend'!$H$2:$H$21</c:f>
              <c:numCache>
                <c:formatCode>General</c:formatCode>
                <c:ptCount val="20"/>
                <c:pt idx="0">
                  <c:v>3</c:v>
                </c:pt>
                <c:pt idx="1">
                  <c:v>6</c:v>
                </c:pt>
                <c:pt idx="2">
                  <c:v>7</c:v>
                </c:pt>
                <c:pt idx="3">
                  <c:v>1</c:v>
                </c:pt>
                <c:pt idx="4">
                  <c:v>4</c:v>
                </c:pt>
                <c:pt idx="5">
                  <c:v>5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2</c:v>
                </c:pt>
                <c:pt idx="15">
                  <c:v>5</c:v>
                </c:pt>
                <c:pt idx="16">
                  <c:v>8</c:v>
                </c:pt>
                <c:pt idx="17">
                  <c:v>10</c:v>
                </c:pt>
                <c:pt idx="18">
                  <c:v>1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6C-4534-BBE6-84C693F68020}"/>
            </c:ext>
          </c:extLst>
        </c:ser>
        <c:ser>
          <c:idx val="7"/>
          <c:order val="7"/>
          <c:tx>
            <c:strRef>
              <c:f>'SOVA-BugTrend'!$I$1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'SOVA-BugTrend'!$A$2:$A$21</c:f>
              <c:strCache>
                <c:ptCount val="20"/>
                <c:pt idx="0">
                  <c:v>Candidate</c:v>
                </c:pt>
                <c:pt idx="1">
                  <c:v>y25w30</c:v>
                </c:pt>
                <c:pt idx="2">
                  <c:v>y25w32</c:v>
                </c:pt>
                <c:pt idx="3">
                  <c:v>y25w34</c:v>
                </c:pt>
                <c:pt idx="4">
                  <c:v>y25w36</c:v>
                </c:pt>
                <c:pt idx="5">
                  <c:v>y25w38</c:v>
                </c:pt>
                <c:pt idx="6">
                  <c:v>y25w40</c:v>
                </c:pt>
                <c:pt idx="7">
                  <c:v>y25w42</c:v>
                </c:pt>
                <c:pt idx="8">
                  <c:v>y25w44</c:v>
                </c:pt>
                <c:pt idx="9">
                  <c:v>y25w46</c:v>
                </c:pt>
                <c:pt idx="10">
                  <c:v>y25w48</c:v>
                </c:pt>
                <c:pt idx="11">
                  <c:v>y25w50</c:v>
                </c:pt>
                <c:pt idx="12">
                  <c:v>y25w52</c:v>
                </c:pt>
                <c:pt idx="13">
                  <c:v>y26w2</c:v>
                </c:pt>
                <c:pt idx="14">
                  <c:v>y26w4</c:v>
                </c:pt>
                <c:pt idx="15">
                  <c:v>y26w6</c:v>
                </c:pt>
                <c:pt idx="16">
                  <c:v>y26w8</c:v>
                </c:pt>
                <c:pt idx="17">
                  <c:v>y26w10</c:v>
                </c:pt>
                <c:pt idx="18">
                  <c:v>y26w12</c:v>
                </c:pt>
                <c:pt idx="19">
                  <c:v>y26w14</c:v>
                </c:pt>
              </c:strCache>
            </c:strRef>
          </c:cat>
          <c:val>
            <c:numRef>
              <c:f>'SOVA-BugTrend'!$I$2:$I$21</c:f>
              <c:numCache>
                <c:formatCode>General</c:formatCode>
                <c:ptCount val="20"/>
                <c:pt idx="0">
                  <c:v>36</c:v>
                </c:pt>
                <c:pt idx="1">
                  <c:v>46</c:v>
                </c:pt>
                <c:pt idx="2">
                  <c:v>53</c:v>
                </c:pt>
                <c:pt idx="3">
                  <c:v>20</c:v>
                </c:pt>
                <c:pt idx="4">
                  <c:v>32</c:v>
                </c:pt>
                <c:pt idx="5">
                  <c:v>53</c:v>
                </c:pt>
                <c:pt idx="6">
                  <c:v>25</c:v>
                </c:pt>
                <c:pt idx="7">
                  <c:v>43</c:v>
                </c:pt>
                <c:pt idx="8">
                  <c:v>35</c:v>
                </c:pt>
                <c:pt idx="9">
                  <c:v>29</c:v>
                </c:pt>
                <c:pt idx="10">
                  <c:v>44</c:v>
                </c:pt>
                <c:pt idx="11">
                  <c:v>36</c:v>
                </c:pt>
                <c:pt idx="12">
                  <c:v>36</c:v>
                </c:pt>
                <c:pt idx="13">
                  <c:v>31</c:v>
                </c:pt>
                <c:pt idx="14">
                  <c:v>36</c:v>
                </c:pt>
                <c:pt idx="15">
                  <c:v>37</c:v>
                </c:pt>
                <c:pt idx="16">
                  <c:v>26</c:v>
                </c:pt>
                <c:pt idx="17">
                  <c:v>27</c:v>
                </c:pt>
                <c:pt idx="18">
                  <c:v>24</c:v>
                </c:pt>
                <c:pt idx="1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89-4D09-84BF-8AEC429097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7710415"/>
        <c:axId val="1167712127"/>
      </c:barChart>
      <c:catAx>
        <c:axId val="1167710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712127"/>
        <c:crosses val="autoZero"/>
        <c:auto val="1"/>
        <c:lblAlgn val="ctr"/>
        <c:lblOffset val="100"/>
        <c:noMultiLvlLbl val="0"/>
      </c:catAx>
      <c:valAx>
        <c:axId val="116771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710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85725</xdr:colOff>
      <xdr:row>25</xdr:row>
      <xdr:rowOff>171448</xdr:rowOff>
    </xdr:from>
    <xdr:to>
      <xdr:col>8</xdr:col>
      <xdr:colOff>95250</xdr:colOff>
      <xdr:row>54</xdr:row>
      <xdr:rowOff>133348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3E0D20-FFE1-49A2-4F00-0445F88FBE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23</xdr:row>
      <xdr:rowOff>28575</xdr:rowOff>
    </xdr:from>
    <xdr:to>
      <xdr:col>6</xdr:col>
      <xdr:colOff>1057275</xdr:colOff>
      <xdr:row>51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30293B-65AB-35A9-35DC-D9A36AA778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39</xdr:row>
      <xdr:rowOff>69662</xdr:rowOff>
    </xdr:from>
    <xdr:to>
      <xdr:col>6</xdr:col>
      <xdr:colOff>1057275</xdr:colOff>
      <xdr:row>68</xdr:row>
      <xdr:rowOff>31562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643432-D826-4A5B-E6D2-51F4E1DB44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114300</xdr:colOff>
      <xdr:row>22</xdr:row>
      <xdr:rowOff>142875</xdr:rowOff>
    </xdr:from>
    <xdr:to>
      <xdr:col>8</xdr:col>
      <xdr:colOff>428625</xdr:colOff>
      <xdr:row>51</xdr:row>
      <xdr:rowOff>88899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359BE9-9442-1FA5-2ADA-BFB3538412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24</xdr:row>
      <xdr:rowOff>12700</xdr:rowOff>
    </xdr:from>
    <xdr:to>
      <xdr:col>8</xdr:col>
      <xdr:colOff>219075</xdr:colOff>
      <xdr:row>53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82B5FB-149B-FE72-E492-265E1391AC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949CE-F107-4F66-9A7B-4594AB1D83D9}" name="Table2" displayName="Table2" ref="A1:E23" totalsRowShown="0" headerRowDxfId="35">
  <autoFilter ref="A1:E23" xr:uid="{423949CE-F107-4F66-9A7B-4594AB1D83D9}"/>
  <tableColumns count="5">
    <tableColumn id="1" xr3:uid="{F25F0D34-0297-4771-8BBB-350BCDD85D46}" name="Week"/>
    <tableColumn id="2" xr3:uid="{39CFCD12-3130-47A8-A140-DBF602F1743D}" name="Done"/>
    <tableColumn id="3" xr3:uid="{D3E7F733-4867-4C24-B87C-F816735DED78}" name="In Review/Progress"/>
    <tableColumn id="4" xr3:uid="{5A6545FA-F961-4A11-B767-C7EA402E5E5A}" name="TODO (P1)"/>
    <tableColumn id="5" xr3:uid="{AA46DC09-2F2B-4052-AB45-826AC56CB7B5}" name="Total" dataDxfId="34">
      <calculatedColumnFormula>SUM(Table2[[#This Row],[Done]:[TODO (P1)]])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2B6291-7056-475B-AE1E-CA59C524E5F1}" name="Table1" displayName="Table1" ref="A1:H19" totalsRowShown="0" headerRowDxfId="33">
  <autoFilter ref="A1:H19" xr:uid="{E42B6291-7056-475B-AE1E-CA59C524E5F1}"/>
  <tableColumns count="8">
    <tableColumn id="1" xr3:uid="{9154D4F8-C83D-4DB9-9182-818F32FA7C26}" name="Versions"/>
    <tableColumn id="2" xr3:uid="{1FE19FA2-B8BE-47BC-9953-F802445DE79D}" name="Passed"/>
    <tableColumn id="3" xr3:uid="{A28B8AC3-7E86-4783-B12A-4FCADF7F2151}" name="Blocked"/>
    <tableColumn id="4" xr3:uid="{9A6CFB2B-CF9D-44BB-BE22-5C680670EAE0}" name="Known Issue"/>
    <tableColumn id="5" xr3:uid="{DC0F99B4-F7A9-4F8A-BBA0-6D907EC37C98}" name="Failed"/>
    <tableColumn id="6" xr3:uid="{2F758004-8A07-4C9F-A1EF-D5DABF4F31F0}" name="Partially Failed"/>
    <tableColumn id="7" xr3:uid="{DA700F0A-CDCF-4F77-AE73-82D409134037}" name="Untested"/>
    <tableColumn id="8" xr3:uid="{F186EC08-2AB3-485D-B982-BDBCE5ABE745}" name="Total" dataDxfId="32">
      <calculatedColumnFormula>SUM(Table1[[#This Row],[Passed]:[Untested]])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1F3BE9-C534-4A83-AA30-CE297DF28DB5}" name="Table3" displayName="Table3" ref="A1:H36" totalsRowShown="0" headerRowDxfId="31">
  <autoFilter ref="A1:H36" xr:uid="{E31F3BE9-C534-4A83-AA30-CE297DF28DB5}"/>
  <tableColumns count="8">
    <tableColumn id="1" xr3:uid="{8103CDF3-74DC-4B31-821D-E20368EA5455}" name="Versions"/>
    <tableColumn id="2" xr3:uid="{6C3B261F-FA51-42D2-821A-F22633569372}" name="Passed"/>
    <tableColumn id="3" xr3:uid="{BC949668-17A9-4E54-BE70-E54A03F2100E}" name="Blocked"/>
    <tableColumn id="4" xr3:uid="{E96EB15B-5BAC-4B8A-A79F-56B0E1546396}" name="Known Issue"/>
    <tableColumn id="5" xr3:uid="{41B83D2F-6D51-4667-B2B2-F76F6482C1D1}" name="Failed"/>
    <tableColumn id="6" xr3:uid="{26F61733-CA12-4B2B-8922-ABF23FA1A0CF}" name="Partially Failed"/>
    <tableColumn id="7" xr3:uid="{D40FAE8C-0F59-4E72-8577-B404EAC3FBFC}" name="Untested"/>
    <tableColumn id="8" xr3:uid="{9EDBB1BE-19AD-4F52-9FAF-1ED9F6FC2EBD}" name="Total" dataDxfId="30">
      <calculatedColumnFormula>SUM(Table3[[#This Row],[Passed]:[Untested]])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4AD0B7A-EC5B-4838-AC2B-8475A3B6644B}" name="Table7" displayName="Table7" ref="A1:H22" totalsRowShown="0" headerRowDxfId="29">
  <autoFilter ref="A1:H22" xr:uid="{E4AD0B7A-EC5B-4838-AC2B-8475A3B6644B}"/>
  <tableColumns count="8">
    <tableColumn id="1" xr3:uid="{58F8A895-CEBE-41D2-B7BB-1681C0697C85}" name="Version"/>
    <tableColumn id="2" xr3:uid="{CE08A48D-2419-484B-993C-54A546869B61}" name="To Do" dataDxfId="28"/>
    <tableColumn id="3" xr3:uid="{FC519478-6B36-4D96-93F3-3AF4B1D70F3E}" name="In Progress" dataDxfId="27"/>
    <tableColumn id="5" xr3:uid="{52258D92-71B9-4E63-A3AA-5ABE6B4F3D23}" name="In Review" dataDxfId="26"/>
    <tableColumn id="4" xr3:uid="{C5EE39F3-E9DF-4F2E-9576-6DDB97E21DB3}" name="In QA" dataDxfId="25"/>
    <tableColumn id="6" xr3:uid="{CC106112-C63E-4AA5-9AAA-D0A99983E0DD}" name="Internal Test" dataDxfId="24"/>
    <tableColumn id="7" xr3:uid="{C69EECCF-E5E5-4372-B171-2B35FE10B60D}" name="Done" dataDxfId="23"/>
    <tableColumn id="8" xr3:uid="{C7A900BC-8967-4049-AE22-7F9EDE21E913}" name="Total" dataDxfId="22" totalsRowDxfId="21">
      <calculatedColumnFormula>SUM(Table7[[#This Row],[To Do]:[Done]])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8F5145-A108-41DB-B2C3-516BE7C86923}" name="Table5" displayName="Table5" ref="A1:I21" totalsRowShown="0" headerRowDxfId="20" dataDxfId="18" headerRowBorderDxfId="19" tableBorderDxfId="17" totalsRowBorderDxfId="16" dataCellStyle="Hyperlink">
  <autoFilter ref="A1:I21" xr:uid="{108F5145-A108-41DB-B2C3-516BE7C86923}"/>
  <tableColumns count="9">
    <tableColumn id="1" xr3:uid="{5BE08AE0-E0B5-4B46-9423-456B88C2D9BC}" name="Sprint" dataDxfId="15"/>
    <tableColumn id="2" xr3:uid="{030F9647-4FC0-4C7E-9B3A-AB099CC59EBA}" name="To Do (0%)" dataDxfId="14" dataCellStyle="Hyperlink"/>
    <tableColumn id="3" xr3:uid="{7D2923F3-E2CF-4FD9-A7A5-68C36BB95591}" name="STARTING (10 ~ 40%)" dataDxfId="13" dataCellStyle="Hyperlink"/>
    <tableColumn id="4" xr3:uid="{48FB5317-7F3B-4F74-B244-5A49C7749EBD}" name="In Progress (50 ~ 70%)" dataDxfId="12" dataCellStyle="Hyperlink"/>
    <tableColumn id="5" xr3:uid="{86F5CCB5-C4C2-4C36-935A-657F085500B1}" name="IN REVIEW (80%)" dataDxfId="11" dataCellStyle="Hyperlink"/>
    <tableColumn id="9" xr3:uid="{51D22AE3-424C-4604-9869-D672DED4301F}" name="READY FOR TESTING (90%)" dataDxfId="10" dataCellStyle="Hyperlink"/>
    <tableColumn id="6" xr3:uid="{33C9BCE6-D9EB-4032-9B0A-DDD9A4051A2D}" name="Done (100%)" dataDxfId="9" dataCellStyle="Hyperlink"/>
    <tableColumn id="8" xr3:uid="{D624FC89-A88E-45AC-9D22-66D66702B8C5}" name="WON'T DO (100%)" dataDxfId="8" dataCellStyle="Hyperlink"/>
    <tableColumn id="7" xr3:uid="{EFEEB7EC-E2D1-40EA-B265-A558311E5D30}" name="Total" dataDxfId="7" dataCellStyle="Hyperlink">
      <calculatedColumnFormula>SUM(Table5[[#This Row],[To Do (0%)]:[WON''T DO (100%)]])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C55E946-0086-4A42-AEAE-DA5ED4E8BB10}" name="Table25" displayName="Table25" ref="A1:E23" totalsRowShown="0" headerRowDxfId="6" dataDxfId="5">
  <autoFilter ref="A1:E23" xr:uid="{2C55E946-0086-4A42-AEAE-DA5ED4E8BB10}"/>
  <tableColumns count="5">
    <tableColumn id="1" xr3:uid="{7070D9F2-0ED1-4F39-8D72-28B37C8E98F2}" name="Week" dataDxfId="4"/>
    <tableColumn id="2" xr3:uid="{1173F443-CC27-4C6E-A432-BF66DB2A740E}" name="Done" dataDxfId="3"/>
    <tableColumn id="3" xr3:uid="{2EE10CB5-1AF1-4B50-9456-B3A666DD5338}" name="In Review/Progress" dataDxfId="2"/>
    <tableColumn id="4" xr3:uid="{328D0A00-85F0-4BFF-81FE-C023998A3701}" name="TODO (P1)" dataDxfId="1"/>
    <tableColumn id="5" xr3:uid="{E385808E-1FCD-451C-9807-DAF18A42B704}" name="Total" dataDxfId="0">
      <calculatedColumnFormula>SUM(Table25[[#This Row],[Done]:[TODO (P1)]])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xrspace.atlassian.net/issues/?jql=created+%3E%3D+2025-02-01+AND+created+%3C%3D+2026-12-31+AND+type+%3D+Bug+AND+project+%3D+SOVA+AND+Sprint+%3D+4678+AND+status+%3D+%22WON%27T+DO+%28100%25%29%22" TargetMode="External"/><Relationship Id="rId21" Type="http://schemas.openxmlformats.org/officeDocument/2006/relationships/hyperlink" Target="https://xrspace.atlassian.net/issues/?jql=created+%3E%3D+2025-02-01+AND+created+%3C%3D+2026-12-31+AND+type+%3D+Bug+AND+project+%3D+SOVA+AND+Sprint+%3D+2619+AND+status+%3D+%22READY+FOR+TESTING+%2890%25%29%22" TargetMode="External"/><Relationship Id="rId42" Type="http://schemas.openxmlformats.org/officeDocument/2006/relationships/hyperlink" Target="https://xrspace.atlassian.net/issues/?jql=created+%3E%3D+2025-02-01+AND+created+%3C%3D+2026-12-31+AND+type+%3D+Bug+AND+project+%3D+SOVA+AND+Sprint+%3D+3245+AND+status+%3D+%22READY+FOR+TESTING+%2890%25%29%22" TargetMode="External"/><Relationship Id="rId63" Type="http://schemas.openxmlformats.org/officeDocument/2006/relationships/hyperlink" Target="https://xrspace.atlassian.net/issues/?jql=created+%3E%3D+2025-02-01+AND+created+%3C%3D+2026-12-31+AND+type+%3D+Bug+AND+project+%3D+SOVA+AND+Sprint+%3D+3608+AND+status+%3D+%22READY+FOR+TESTING+%2890%25%29%22" TargetMode="External"/><Relationship Id="rId84" Type="http://schemas.openxmlformats.org/officeDocument/2006/relationships/hyperlink" Target="https://xrspace.atlassian.net/issues/?jql=created+%3E%3D+2025-02-01+AND+created+%3C%3D+2026-12-31+AND+type+%3D+Bug+AND+project+%3D+SOVA+AND+Sprint+%3D+4140+AND+status+%3D+%22READY+FOR+TESTING+%2890%25%29%22" TargetMode="External"/><Relationship Id="rId138" Type="http://schemas.openxmlformats.org/officeDocument/2006/relationships/hyperlink" Target="https://xrspace.atlassian.net/issues/?jql=created+%3E%3D+2025-02-01+AND+created+%3C%3D+2026-12-31+AND+type+%3D+Bug+AND+project+%3D+SOVA+AND+Sprint+%3D+2915+AND+status+%3D+%22WON%27T+DO+%28100%25%29%22" TargetMode="External"/><Relationship Id="rId107" Type="http://schemas.openxmlformats.org/officeDocument/2006/relationships/hyperlink" Target="https://xrspace.atlassian.net/issues/?jql=created+%3E%3D+2025-02-01+AND+created+%3C%3D+2026-12-31+AND+type+%3D+Bug+AND+project+%3D+SOVA+AND+Sprint+%3D+4677+AND+status+%3D+%22In+Progress+%2850+%7E+70%25%29%22" TargetMode="External"/><Relationship Id="rId11" Type="http://schemas.openxmlformats.org/officeDocument/2006/relationships/hyperlink" Target="https://xrspace.atlassian.net/issues/?jql=created+%3E%3D+2025-02-01+AND+created+%3C%3D+2026-12-31+AND+type+%3D+Bug+AND+project+%3D+SOVA+AND+Sprint+%3D+2618+AND+status+%3D+%22IN+REVIEW+%2880%25%29%22" TargetMode="External"/><Relationship Id="rId32" Type="http://schemas.openxmlformats.org/officeDocument/2006/relationships/hyperlink" Target="https://xrspace.atlassian.net/issues/?jql=created+%3E%3D+2025-02-01+AND+created+%3C%3D+2026-12-31+AND+type+%3D+Bug+AND+project+%3D+SOVA+AND+Sprint+%3D+3213+AND+status+%3D+%22IN+REVIEW+%2880%25%29%22" TargetMode="External"/><Relationship Id="rId37" Type="http://schemas.openxmlformats.org/officeDocument/2006/relationships/hyperlink" Target="https://xrspace.atlassian.net/issues/?jql=created+%3E%3D+2025-02-01+AND+created+%3C%3D+2026-12-31+AND+type+%3D+Bug+AND+project+%3D+SOVA+AND+Sprint+%3D+3245+AND+status+%3D+%22In+Progress+%2850+%7E+70%25%29%22" TargetMode="External"/><Relationship Id="rId53" Type="http://schemas.openxmlformats.org/officeDocument/2006/relationships/hyperlink" Target="https://xrspace.atlassian.net/issues/?jql=created+%3E%3D+2025-02-01+AND+created+%3C%3D+2026-12-31+AND+type+%3D+Bug+AND+project+%3D+SOVA+AND+Sprint+%3D+3575+AND+status+%3D+%22IN+REVIEW+%2880%25%29%22" TargetMode="External"/><Relationship Id="rId58" Type="http://schemas.openxmlformats.org/officeDocument/2006/relationships/hyperlink" Target="https://xrspace.atlassian.net/issues/?jql=created+%3E%3D+2025-02-01+AND+created+%3C%3D+2026-12-31+AND+type+%3D+Bug+AND+project+%3D+SOVA+AND+Sprint+%3D+3608+AND+status+%3D+%22In+Progress+%2850+%7E+70%25%29%22" TargetMode="External"/><Relationship Id="rId74" Type="http://schemas.openxmlformats.org/officeDocument/2006/relationships/hyperlink" Target="https://xrspace.atlassian.net/issues/?jql=created+%3E%3D+2025-02-01+AND+created+%3C%3D+2026-12-31+AND+type+%3D+Bug+AND+project+%3D+SOVA+AND+Sprint+%3D+3873+AND+status+%3D+%22IN+REVIEW+%2880%25%29%22" TargetMode="External"/><Relationship Id="rId79" Type="http://schemas.openxmlformats.org/officeDocument/2006/relationships/hyperlink" Target="https://xrspace.atlassian.net/issues/?jql=created+%3E%3D+2025-02-01+AND+created+%3C%3D+2026-12-31+AND+type+%3D+Bug+AND+project+%3D+SOVA+AND+Sprint+%3D+4140+AND+status+%3D+%22In+Progress+%2850+%7E+70%25%29%22" TargetMode="External"/><Relationship Id="rId102" Type="http://schemas.openxmlformats.org/officeDocument/2006/relationships/hyperlink" Target="https://xrspace.atlassian.net/issues/?jql=created+%3E%3D+2025-02-01+AND+created+%3C%3D+2026-12-31+AND+type+%3D+Bug+AND+project+%3D+SOVA+AND+Sprint+%3D+4478+AND+status+%3D+%22IN+REVIEW+%2880%25%29%22" TargetMode="External"/><Relationship Id="rId123" Type="http://schemas.openxmlformats.org/officeDocument/2006/relationships/hyperlink" Target="https://xrspace.atlassian.net/issues/?jql=created+%3E%3D+2025-02-01+AND+created+%3C%3D+2026-12-31+AND+type+%3D+Bug+AND+project+%3D+SOVA+AND+Sprint+%3D+4910+AND+status+%3D+%22IN+REVIEW+%2880%25%29%22" TargetMode="External"/><Relationship Id="rId128" Type="http://schemas.openxmlformats.org/officeDocument/2006/relationships/hyperlink" Target="https://xrspace.atlassian.net/issues/?jql=created+%3E%3D+2025-02-01+AND+created+%3C%3D+2026-12-31+AND+type+%3D+Bug+AND+project+%3D+SOVA+AND+Sprint+%3D+5044+AND+status+%3D+%22In+Progress+%2850+%7E+70%25%29%22" TargetMode="External"/><Relationship Id="rId5" Type="http://schemas.openxmlformats.org/officeDocument/2006/relationships/hyperlink" Target="https://xrspace.atlassian.net/issues/?jql=created+%3E%3D+2025-02-01+AND+created+%3C%3D+2026-12-31+AND+type+%3D+Bug+AND+project+%3D+SOVA+AND+Sprint+%3D+2157+AND+status+%3D+%22WON%27T+DO+%28100%25%29%22" TargetMode="External"/><Relationship Id="rId90" Type="http://schemas.openxmlformats.org/officeDocument/2006/relationships/hyperlink" Target="https://xrspace.atlassian.net/issues/?jql=created+%3E%3D+2025-02-01+AND+created+%3C%3D+2026-12-31+AND+type+%3D+Bug+AND+project+%3D+SOVA+AND+Sprint+%3D+4206+AND+status+%3D+%22STARTING+%2810+%7E+40%25%29%22" TargetMode="External"/><Relationship Id="rId95" Type="http://schemas.openxmlformats.org/officeDocument/2006/relationships/hyperlink" Target="https://xrspace.atlassian.net/issues/?jql=created+%3E%3D+2025-02-01+AND+created+%3C%3D+2026-12-31+AND+type+%3D+Bug+AND+project+%3D+SOVA+AND+Sprint+%3D+4477+AND+status+%3D+%22IN+REVIEW+%2880%25%29%22" TargetMode="External"/><Relationship Id="rId22" Type="http://schemas.openxmlformats.org/officeDocument/2006/relationships/hyperlink" Target="https://xrspace.atlassian.net/issues/?jql=created+%3E%3D+2025-02-01+AND+created+%3C%3D+2026-12-31+AND+type+%3D+Bug+AND+project+%3D+SOVA+AND+Sprint+%3D+2882+AND+status+%3D+%22To+Do+%280%25%29%22" TargetMode="External"/><Relationship Id="rId27" Type="http://schemas.openxmlformats.org/officeDocument/2006/relationships/hyperlink" Target="https://xrspace.atlassian.net/issues/?jql=created+%3E%3D+2025-02-01+AND+created+%3C%3D+2026-12-31+AND+type+%3D+Bug+AND+project+%3D+SOVA+AND+Sprint+%3D+2882+AND+status+%3D+%22STARTING+%2810+%7E+40%25%29%22" TargetMode="External"/><Relationship Id="rId43" Type="http://schemas.openxmlformats.org/officeDocument/2006/relationships/hyperlink" Target="https://xrspace.atlassian.net/issues/?jql=created+%3E%3D+2025-02-01+AND+created+%3C%3D+2026-12-31+AND+type+%3D+Bug+AND+project+%3D+SOVA+AND+Sprint+%3D+3246+AND+status+%3D+%22To+Do+%280%25%29%22" TargetMode="External"/><Relationship Id="rId48" Type="http://schemas.openxmlformats.org/officeDocument/2006/relationships/hyperlink" Target="https://xrspace.atlassian.net/issues/?jql=created+%3E%3D+2025-02-01+AND+created+%3C%3D+2026-12-31+AND+type+%3D+Bug+AND+project+%3D+SOVA+AND+Sprint+%3D+3246+AND+status+%3D+%22STARTING+%2810+%7E+40%25%29%22" TargetMode="External"/><Relationship Id="rId64" Type="http://schemas.openxmlformats.org/officeDocument/2006/relationships/hyperlink" Target="https://xrspace.atlassian.net/issues/?jql=created+%3E%3D+2025-02-01+AND+created+%3C%3D+2026-12-31+AND+type+%3D+Bug+AND+project+%3D+SOVA+AND+Sprint+%3D+3872+AND+status+%3D+%22To+Do+%280%25%29%22" TargetMode="External"/><Relationship Id="rId69" Type="http://schemas.openxmlformats.org/officeDocument/2006/relationships/hyperlink" Target="https://xrspace.atlassian.net/issues/?jql=created+%3E%3D+2025-02-01+AND+created+%3C%3D+2026-12-31+AND+type+%3D+Bug+AND+project+%3D+SOVA+AND+Sprint+%3D+3872+AND+status+%3D+%22STARTING+%2810+%7E+40%25%29%22" TargetMode="External"/><Relationship Id="rId113" Type="http://schemas.openxmlformats.org/officeDocument/2006/relationships/hyperlink" Target="https://xrspace.atlassian.net/issues/?jql=created+%3E%3D+2025-02-01+AND+created+%3C%3D+2026-12-31+AND+type+%3D+Bug+AND+project+%3D+SOVA+AND+Sprint+%3D+4678+AND+status+%3D+%22To+Do+%280%25%29%22" TargetMode="External"/><Relationship Id="rId118" Type="http://schemas.openxmlformats.org/officeDocument/2006/relationships/hyperlink" Target="https://xrspace.atlassian.net/issues/?jql=created+%3E%3D+2025-02-01+AND+created+%3C%3D+2026-12-31+AND+type+%3D+Bug+AND+project+%3D+SOVA+AND+Sprint+%3D+4678+AND+status+%3D+%22STARTING+%2810+%7E+40%25%29%22" TargetMode="External"/><Relationship Id="rId134" Type="http://schemas.openxmlformats.org/officeDocument/2006/relationships/hyperlink" Target="https://xrspace.atlassian.net/issues/?jql=created+%3E%3D+2025-02-01+AND+created+%3C%3D+2026-12-31+AND+type+%3D+Bug+AND+project+%3D+SOVA+AND+Sprint+%3D+2915+AND+status+%3D+%22To+Do+%280%25%29%22" TargetMode="External"/><Relationship Id="rId139" Type="http://schemas.openxmlformats.org/officeDocument/2006/relationships/hyperlink" Target="https://xrspace.atlassian.net/issues/?jql=created+%3E%3D+2025-02-01+AND+created+%3C%3D+2026-12-31+AND+type+%3D+Bug+AND+project+%3D+SOVA+AND+Sprint+%3D+2915+AND+status+%3D+%22STARTING+%2810+%7E+40%25%29%22" TargetMode="External"/><Relationship Id="rId80" Type="http://schemas.openxmlformats.org/officeDocument/2006/relationships/hyperlink" Target="https://xrspace.atlassian.net/issues/?jql=created+%3E%3D+2025-02-01+AND+created+%3C%3D+2026-12-31+AND+type+%3D+Bug+AND+project+%3D+SOVA+AND+Sprint+%3D+4140+AND+status+%3D+%22Done+%28100%25%29%22" TargetMode="External"/><Relationship Id="rId85" Type="http://schemas.openxmlformats.org/officeDocument/2006/relationships/hyperlink" Target="https://xrspace.atlassian.net/issues/?jql=created+%3E%3D+2025-02-01+AND+created+%3C%3D+2026-12-31+AND+type+%3D+Bug+AND+project+%3D+SOVA+AND+Sprint+%3D+4206+AND+status+%3D+%22To+Do+%280%25%29%22" TargetMode="External"/><Relationship Id="rId12" Type="http://schemas.openxmlformats.org/officeDocument/2006/relationships/hyperlink" Target="https://xrspace.atlassian.net/issues/?jql=created+%3E%3D+2025-02-01+AND+created+%3C%3D+2026-12-31+AND+type+%3D+Bug+AND+project+%3D+SOVA+AND+Sprint+%3D+2618+AND+status+%3D+%22WON%27T+DO+%28100%25%29%22" TargetMode="External"/><Relationship Id="rId17" Type="http://schemas.openxmlformats.org/officeDocument/2006/relationships/hyperlink" Target="https://xrspace.atlassian.net/issues/?jql=created+%3E%3D+2025-02-01+AND+created+%3C%3D+2026-12-31+AND+type+%3D+Bug+AND+project+%3D+SOVA+AND+Sprint+%3D+2619+AND+status+%3D+%22Done+%28100%25%29%22" TargetMode="External"/><Relationship Id="rId33" Type="http://schemas.openxmlformats.org/officeDocument/2006/relationships/hyperlink" Target="https://xrspace.atlassian.net/issues/?jql=created+%3E%3D+2025-02-01+AND+created+%3C%3D+2026-12-31+AND+type+%3D+Bug+AND+project+%3D+SOVA+AND+Sprint+%3D+3213+AND+status+%3D+%22WON%27T+DO+%28100%25%29%22" TargetMode="External"/><Relationship Id="rId38" Type="http://schemas.openxmlformats.org/officeDocument/2006/relationships/hyperlink" Target="https://xrspace.atlassian.net/issues/?jql=created+%3E%3D+2025-02-01+AND+created+%3C%3D+2026-12-31+AND+type+%3D+Bug+AND+project+%3D+SOVA+AND+Sprint+%3D+3245+AND+status+%3D+%22Done+%28100%25%29%22" TargetMode="External"/><Relationship Id="rId59" Type="http://schemas.openxmlformats.org/officeDocument/2006/relationships/hyperlink" Target="https://xrspace.atlassian.net/issues/?jql=created+%3E%3D+2025-02-01+AND+created+%3C%3D+2026-12-31+AND+type+%3D+Bug+AND+project+%3D+SOVA+AND+Sprint+%3D+3608+AND+status+%3D+%22Done+%28100%25%29%22" TargetMode="External"/><Relationship Id="rId103" Type="http://schemas.openxmlformats.org/officeDocument/2006/relationships/hyperlink" Target="https://xrspace.atlassian.net/issues/?jql=created+%3E%3D+2025-02-01+AND+created+%3C%3D+2026-12-31+AND+type+%3D+Bug+AND+project+%3D+SOVA+AND+Sprint+%3D+4478+AND+status+%3D+%22WON%27T+DO+%28100%25%29%22" TargetMode="External"/><Relationship Id="rId108" Type="http://schemas.openxmlformats.org/officeDocument/2006/relationships/hyperlink" Target="https://xrspace.atlassian.net/issues/?jql=created+%3E%3D+2025-02-01+AND+created+%3C%3D+2026-12-31+AND+type+%3D+Bug+AND+project+%3D+SOVA+AND+Sprint+%3D+4677+AND+status+%3D+%22Done+%28100%25%29%22" TargetMode="External"/><Relationship Id="rId124" Type="http://schemas.openxmlformats.org/officeDocument/2006/relationships/hyperlink" Target="https://xrspace.atlassian.net/issues/?jql=created+%3E%3D+2025-02-01+AND+created+%3C%3D+2026-12-31+AND+type+%3D+Bug+AND+project+%3D+SOVA+AND+Sprint+%3D+4910+AND+status+%3D+%22WON%27T+DO+%28100%25%29%22" TargetMode="External"/><Relationship Id="rId129" Type="http://schemas.openxmlformats.org/officeDocument/2006/relationships/hyperlink" Target="https://xrspace.atlassian.net/issues/?jql=created+%3E%3D+2025-02-01+AND+created+%3C%3D+2026-12-31+AND+type+%3D+Bug+AND+project+%3D+SOVA+AND+Sprint+%3D+5044+AND+status+%3D+%22Done+%28100%25%29%22" TargetMode="External"/><Relationship Id="rId54" Type="http://schemas.openxmlformats.org/officeDocument/2006/relationships/hyperlink" Target="https://xrspace.atlassian.net/issues/?jql=created+%3E%3D+2025-02-01+AND+created+%3C%3D+2026-12-31+AND+type+%3D+Bug+AND+project+%3D+SOVA+AND+Sprint+%3D+3575+AND+status+%3D+%22WON%27T+DO+%28100%25%29%22" TargetMode="External"/><Relationship Id="rId70" Type="http://schemas.openxmlformats.org/officeDocument/2006/relationships/hyperlink" Target="https://xrspace.atlassian.net/issues/?jql=created+%3E%3D+2025-02-01+AND+created+%3C%3D+2026-12-31+AND+type+%3D+Bug+AND+project+%3D+SOVA+AND+Sprint+%3D+3872+AND+status+%3D+%22READY+FOR+TESTING+%2890%25%29%22" TargetMode="External"/><Relationship Id="rId75" Type="http://schemas.openxmlformats.org/officeDocument/2006/relationships/hyperlink" Target="https://xrspace.atlassian.net/issues/?jql=created+%3E%3D+2025-02-01+AND+created+%3C%3D+2026-12-31+AND+type+%3D+Bug+AND+project+%3D+SOVA+AND+Sprint+%3D+3873+AND+status+%3D+%22WON%27T+DO+%28100%25%29%22" TargetMode="External"/><Relationship Id="rId91" Type="http://schemas.openxmlformats.org/officeDocument/2006/relationships/hyperlink" Target="https://xrspace.atlassian.net/issues/?jql=created+%3E%3D+2025-02-01+AND+created+%3C%3D+2026-12-31+AND+type+%3D+Bug+AND+project+%3D+SOVA+AND+Sprint+%3D+4206+AND+status+%3D+%22READY+FOR+TESTING+%2890%25%29%22" TargetMode="External"/><Relationship Id="rId96" Type="http://schemas.openxmlformats.org/officeDocument/2006/relationships/hyperlink" Target="https://xrspace.atlassian.net/issues/?jql=created+%3E%3D+2025-02-01+AND+created+%3C%3D+2026-12-31+AND+type+%3D+Bug+AND+project+%3D+SOVA+AND+Sprint+%3D+4477+AND+status+%3D+%22WON%27T+DO+%28100%25%29%22" TargetMode="External"/><Relationship Id="rId140" Type="http://schemas.openxmlformats.org/officeDocument/2006/relationships/hyperlink" Target="https://xrspace.atlassian.net/issues/?jql=created+%3E%3D+2025-02-01+AND+created+%3C%3D+2026-12-31+AND+type+%3D+Bug+AND+project+%3D+SOVA+AND+Sprint+%3D+2915+AND+status+%3D+%22READY+FOR+TESTING+%2890%25%29%22" TargetMode="External"/><Relationship Id="rId1" Type="http://schemas.openxmlformats.org/officeDocument/2006/relationships/hyperlink" Target="https://xrspace.atlassian.net/issues/?jql=created+%3E%3D+2025-02-01+AND+created+%3C%3D+2026-12-31+AND+type+%3D+Bug+AND+project+%3D+SOVA+AND+Sprint+%3D+2157+AND+status+%3D+%22To+Do+%280%25%29%22" TargetMode="External"/><Relationship Id="rId6" Type="http://schemas.openxmlformats.org/officeDocument/2006/relationships/hyperlink" Target="https://xrspace.atlassian.net/issues/?jql=created+%3E%3D+2025-02-01+AND+created+%3C%3D+2026-12-31+AND+type+%3D+Bug+AND+project+%3D+SOVA+AND+Sprint+%3D+2157+AND+status+%3D+%22STARTING+%2810+%7E+40%25%29%22" TargetMode="External"/><Relationship Id="rId23" Type="http://schemas.openxmlformats.org/officeDocument/2006/relationships/hyperlink" Target="https://xrspace.atlassian.net/issues/?jql=created+%3E%3D+2025-02-01+AND+created+%3C%3D+2026-12-31+AND+type+%3D+Bug+AND+project+%3D+SOVA+AND+Sprint+%3D+2882+AND+status+%3D+%22In+Progress+%2850+%7E+70%25%29%22" TargetMode="External"/><Relationship Id="rId28" Type="http://schemas.openxmlformats.org/officeDocument/2006/relationships/hyperlink" Target="https://xrspace.atlassian.net/issues/?jql=created+%3E%3D+2025-02-01+AND+created+%3C%3D+2026-12-31+AND+type+%3D+Bug+AND+project+%3D+SOVA+AND+Sprint+%3D+2882+AND+status+%3D+%22READY+FOR+TESTING+%2890%25%29%22" TargetMode="External"/><Relationship Id="rId49" Type="http://schemas.openxmlformats.org/officeDocument/2006/relationships/hyperlink" Target="https://xrspace.atlassian.net/issues/?jql=created+%3E%3D+2025-02-01+AND+created+%3C%3D+2026-12-31+AND+type+%3D+Bug+AND+project+%3D+SOVA+AND+Sprint+%3D+3246+AND+status+%3D+%22READY+FOR+TESTING+%2890%25%29%22" TargetMode="External"/><Relationship Id="rId114" Type="http://schemas.openxmlformats.org/officeDocument/2006/relationships/hyperlink" Target="https://xrspace.atlassian.net/issues/?jql=created+%3E%3D+2025-02-01+AND+created+%3C%3D+2026-12-31+AND+type+%3D+Bug+AND+project+%3D+SOVA+AND+Sprint+%3D+4678+AND+status+%3D+%22In+Progress+%2850+%7E+70%25%29%22" TargetMode="External"/><Relationship Id="rId119" Type="http://schemas.openxmlformats.org/officeDocument/2006/relationships/hyperlink" Target="https://xrspace.atlassian.net/issues/?jql=created+%3E%3D+2025-02-01+AND+created+%3C%3D+2026-12-31+AND+type+%3D+Bug+AND+project+%3D+SOVA+AND+Sprint+%3D+4678+AND+status+%3D+%22READY+FOR+TESTING+%2890%25%29%22" TargetMode="External"/><Relationship Id="rId44" Type="http://schemas.openxmlformats.org/officeDocument/2006/relationships/hyperlink" Target="https://xrspace.atlassian.net/issues/?jql=created+%3E%3D+2025-02-01+AND+created+%3C%3D+2026-12-31+AND+type+%3D+Bug+AND+project+%3D+SOVA+AND+Sprint+%3D+3246+AND+status+%3D+%22In+Progress+%2850+%7E+70%25%29%22" TargetMode="External"/><Relationship Id="rId60" Type="http://schemas.openxmlformats.org/officeDocument/2006/relationships/hyperlink" Target="https://xrspace.atlassian.net/issues/?jql=created+%3E%3D+2025-02-01+AND+created+%3C%3D+2026-12-31+AND+type+%3D+Bug+AND+project+%3D+SOVA+AND+Sprint+%3D+3608+AND+status+%3D+%22IN+REVIEW+%2880%25%29%22" TargetMode="External"/><Relationship Id="rId65" Type="http://schemas.openxmlformats.org/officeDocument/2006/relationships/hyperlink" Target="https://xrspace.atlassian.net/issues/?jql=created+%3E%3D+2025-02-01+AND+created+%3C%3D+2026-12-31+AND+type+%3D+Bug+AND+project+%3D+SOVA+AND+Sprint+%3D+3872+AND+status+%3D+%22In+Progress+%2850+%7E+70%25%29%22" TargetMode="External"/><Relationship Id="rId81" Type="http://schemas.openxmlformats.org/officeDocument/2006/relationships/hyperlink" Target="https://xrspace.atlassian.net/issues/?jql=created+%3E%3D+2025-02-01+AND+created+%3C%3D+2026-12-31+AND+type+%3D+Bug+AND+project+%3D+SOVA+AND+Sprint+%3D+4140+AND+status+%3D+%22IN+REVIEW+%2880%25%29%22" TargetMode="External"/><Relationship Id="rId86" Type="http://schemas.openxmlformats.org/officeDocument/2006/relationships/hyperlink" Target="https://xrspace.atlassian.net/issues/?jql=created+%3E%3D+2025-02-01+AND+created+%3C%3D+2026-12-31+AND+type+%3D+Bug+AND+project+%3D+SOVA+AND+Sprint+%3D+4206+AND+status+%3D+%22In+Progress+%2850+%7E+70%25%29%22" TargetMode="External"/><Relationship Id="rId130" Type="http://schemas.openxmlformats.org/officeDocument/2006/relationships/hyperlink" Target="https://xrspace.atlassian.net/issues/?jql=created+%3E%3D+2025-02-01+AND+created+%3C%3D+2026-12-31+AND+type+%3D+Bug+AND+project+%3D+SOVA+AND+Sprint+%3D+5044+AND+status+%3D+%22IN+REVIEW+%2880%25%29%22" TargetMode="External"/><Relationship Id="rId135" Type="http://schemas.openxmlformats.org/officeDocument/2006/relationships/hyperlink" Target="https://xrspace.atlassian.net/issues/?jql=created+%3E%3D+2025-02-01+AND+created+%3C%3D+2026-12-31+AND+type+%3D+Bug+AND+project+%3D+SOVA+AND+Sprint+%3D+2915+AND+status+%3D+%22In+Progress+%2850+%7E+70%25%29%22" TargetMode="External"/><Relationship Id="rId13" Type="http://schemas.openxmlformats.org/officeDocument/2006/relationships/hyperlink" Target="https://xrspace.atlassian.net/issues/?jql=created+%3E%3D+2025-02-01+AND+created+%3C%3D+2026-12-31+AND+type+%3D+Bug+AND+project+%3D+SOVA+AND+Sprint+%3D+2618+AND+status+%3D+%22STARTING+%2810+%7E+40%25%29%22" TargetMode="External"/><Relationship Id="rId18" Type="http://schemas.openxmlformats.org/officeDocument/2006/relationships/hyperlink" Target="https://xrspace.atlassian.net/issues/?jql=created+%3E%3D+2025-02-01+AND+created+%3C%3D+2026-12-31+AND+type+%3D+Bug+AND+project+%3D+SOVA+AND+Sprint+%3D+2619+AND+status+%3D+%22IN+REVIEW+%2880%25%29%22" TargetMode="External"/><Relationship Id="rId39" Type="http://schemas.openxmlformats.org/officeDocument/2006/relationships/hyperlink" Target="https://xrspace.atlassian.net/issues/?jql=created+%3E%3D+2025-02-01+AND+created+%3C%3D+2026-12-31+AND+type+%3D+Bug+AND+project+%3D+SOVA+AND+Sprint+%3D+3245+AND+status+%3D+%22IN+REVIEW+%2880%25%29%22" TargetMode="External"/><Relationship Id="rId109" Type="http://schemas.openxmlformats.org/officeDocument/2006/relationships/hyperlink" Target="https://xrspace.atlassian.net/issues/?jql=created+%3E%3D+2025-02-01+AND+created+%3C%3D+2026-12-31+AND+type+%3D+Bug+AND+project+%3D+SOVA+AND+Sprint+%3D+4677+AND+status+%3D+%22IN+REVIEW+%2880%25%29%22" TargetMode="External"/><Relationship Id="rId34" Type="http://schemas.openxmlformats.org/officeDocument/2006/relationships/hyperlink" Target="https://xrspace.atlassian.net/issues/?jql=created+%3E%3D+2025-02-01+AND+created+%3C%3D+2026-12-31+AND+type+%3D+Bug+AND+project+%3D+SOVA+AND+Sprint+%3D+3213+AND+status+%3D+%22STARTING+%2810+%7E+40%25%29%22" TargetMode="External"/><Relationship Id="rId50" Type="http://schemas.openxmlformats.org/officeDocument/2006/relationships/hyperlink" Target="https://xrspace.atlassian.net/issues/?jql=created+%3E%3D+2025-02-01+AND+created+%3C%3D+2026-12-31+AND+type+%3D+Bug+AND+project+%3D+SOVA+AND+Sprint+%3D+3575+AND+status+%3D+%22To+Do+%280%25%29%22" TargetMode="External"/><Relationship Id="rId55" Type="http://schemas.openxmlformats.org/officeDocument/2006/relationships/hyperlink" Target="https://xrspace.atlassian.net/issues/?jql=created+%3E%3D+2025-02-01+AND+created+%3C%3D+2026-12-31+AND+type+%3D+Bug+AND+project+%3D+SOVA+AND+Sprint+%3D+3575+AND+status+%3D+%22STARTING+%2810+%7E+40%25%29%22" TargetMode="External"/><Relationship Id="rId76" Type="http://schemas.openxmlformats.org/officeDocument/2006/relationships/hyperlink" Target="https://xrspace.atlassian.net/issues/?jql=created+%3E%3D+2025-02-01+AND+created+%3C%3D+2026-12-31+AND+type+%3D+Bug+AND+project+%3D+SOVA+AND+Sprint+%3D+3873+AND+status+%3D+%22STARTING+%2810+%7E+40%25%29%22" TargetMode="External"/><Relationship Id="rId97" Type="http://schemas.openxmlformats.org/officeDocument/2006/relationships/hyperlink" Target="https://xrspace.atlassian.net/issues/?jql=created+%3E%3D+2025-02-01+AND+created+%3C%3D+2026-12-31+AND+type+%3D+Bug+AND+project+%3D+SOVA+AND+Sprint+%3D+4477+AND+status+%3D+%22STARTING+%2810+%7E+40%25%29%22" TargetMode="External"/><Relationship Id="rId104" Type="http://schemas.openxmlformats.org/officeDocument/2006/relationships/hyperlink" Target="https://xrspace.atlassian.net/issues/?jql=created+%3E%3D+2025-02-01+AND+created+%3C%3D+2026-12-31+AND+type+%3D+Bug+AND+project+%3D+SOVA+AND+Sprint+%3D+4478+AND+status+%3D+%22STARTING+%2810+%7E+40%25%29%22" TargetMode="External"/><Relationship Id="rId120" Type="http://schemas.openxmlformats.org/officeDocument/2006/relationships/hyperlink" Target="https://xrspace.atlassian.net/issues/?jql=created+%3E%3D+2025-02-01+AND+created+%3C%3D+2026-12-31+AND+type+%3D+Bug+AND+project+%3D+SOVA+AND+Sprint+%3D+4910+AND+status+%3D+%22To+Do+%280%25%29%22" TargetMode="External"/><Relationship Id="rId125" Type="http://schemas.openxmlformats.org/officeDocument/2006/relationships/hyperlink" Target="https://xrspace.atlassian.net/issues/?jql=created+%3E%3D+2025-02-01+AND+created+%3C%3D+2026-12-31+AND+type+%3D+Bug+AND+project+%3D+SOVA+AND+Sprint+%3D+4910+AND+status+%3D+%22STARTING+%2810+%7E+40%25%29%22" TargetMode="External"/><Relationship Id="rId141" Type="http://schemas.openxmlformats.org/officeDocument/2006/relationships/printerSettings" Target="../printerSettings/printerSettings3.bin"/><Relationship Id="rId7" Type="http://schemas.openxmlformats.org/officeDocument/2006/relationships/hyperlink" Target="https://xrspace.atlassian.net/issues/?jql=created+%3E%3D+2025-02-01+AND+created+%3C%3D+2026-12-31+AND+type+%3D+Bug+AND+project+%3D+SOVA+AND+Sprint+%3D+2157+AND+status+%3D+%22READY+FOR+TESTING+%2890%25%29%22" TargetMode="External"/><Relationship Id="rId71" Type="http://schemas.openxmlformats.org/officeDocument/2006/relationships/hyperlink" Target="https://xrspace.atlassian.net/issues/?jql=created+%3E%3D+2025-02-01+AND+created+%3C%3D+2026-12-31+AND+type+%3D+Bug+AND+project+%3D+SOVA+AND+Sprint+%3D+3873+AND+status+%3D+%22To+Do+%280%25%29%22" TargetMode="External"/><Relationship Id="rId92" Type="http://schemas.openxmlformats.org/officeDocument/2006/relationships/hyperlink" Target="https://xrspace.atlassian.net/issues/?jql=created+%3E%3D+2025-02-01+AND+created+%3C%3D+2026-12-31+AND+type+%3D+Bug+AND+project+%3D+SOVA+AND+Sprint+%3D+4477+AND+status+%3D+%22To+Do+%280%25%29%22" TargetMode="External"/><Relationship Id="rId2" Type="http://schemas.openxmlformats.org/officeDocument/2006/relationships/hyperlink" Target="https://xrspace.atlassian.net/issues/?jql=created+%3E%3D+2025-02-01+AND+created+%3C%3D+2026-12-31+AND+type+%3D+Bug+AND+project+%3D+SOVA+AND+Sprint+%3D+2157+AND+status+%3D+%22In+Progress+%2850+%7E+70%25%29%22" TargetMode="External"/><Relationship Id="rId29" Type="http://schemas.openxmlformats.org/officeDocument/2006/relationships/hyperlink" Target="https://xrspace.atlassian.net/issues/?jql=created+%3E%3D+2025-02-01+AND+created+%3C%3D+2026-12-31+AND+type+%3D+Bug+AND+project+%3D+SOVA+AND+Sprint+%3D+3213+AND+status+%3D+%22To+Do+%280%25%29%22" TargetMode="External"/><Relationship Id="rId24" Type="http://schemas.openxmlformats.org/officeDocument/2006/relationships/hyperlink" Target="https://xrspace.atlassian.net/issues/?jql=created+%3E%3D+2025-02-01+AND+created+%3C%3D+2026-12-31+AND+type+%3D+Bug+AND+project+%3D+SOVA+AND+Sprint+%3D+2882+AND+status+%3D+%22Done+%28100%25%29%22" TargetMode="External"/><Relationship Id="rId40" Type="http://schemas.openxmlformats.org/officeDocument/2006/relationships/hyperlink" Target="https://xrspace.atlassian.net/issues/?jql=created+%3E%3D+2025-02-01+AND+created+%3C%3D+2026-12-31+AND+type+%3D+Bug+AND+project+%3D+SOVA+AND+Sprint+%3D+3245+AND+status+%3D+%22WON%27T+DO+%28100%25%29%22" TargetMode="External"/><Relationship Id="rId45" Type="http://schemas.openxmlformats.org/officeDocument/2006/relationships/hyperlink" Target="https://xrspace.atlassian.net/issues/?jql=created+%3E%3D+2025-02-01+AND+created+%3C%3D+2026-12-31+AND+type+%3D+Bug+AND+project+%3D+SOVA+AND+Sprint+%3D+3246+AND+status+%3D+%22Done+%28100%25%29%22" TargetMode="External"/><Relationship Id="rId66" Type="http://schemas.openxmlformats.org/officeDocument/2006/relationships/hyperlink" Target="https://xrspace.atlassian.net/issues/?jql=created+%3E%3D+2025-02-01+AND+created+%3C%3D+2026-12-31+AND+type+%3D+Bug+AND+project+%3D+SOVA+AND+Sprint+%3D+3872+AND+status+%3D+%22Done+%28100%25%29%22" TargetMode="External"/><Relationship Id="rId87" Type="http://schemas.openxmlformats.org/officeDocument/2006/relationships/hyperlink" Target="https://xrspace.atlassian.net/issues/?jql=created+%3E%3D+2025-02-01+AND+created+%3C%3D+2026-12-31+AND+type+%3D+Bug+AND+project+%3D+SOVA+AND+Sprint+%3D+4206+AND+status+%3D+%22Done+%28100%25%29%22" TargetMode="External"/><Relationship Id="rId110" Type="http://schemas.openxmlformats.org/officeDocument/2006/relationships/hyperlink" Target="https://xrspace.atlassian.net/issues/?jql=created+%3E%3D+2025-02-01+AND+created+%3C%3D+2026-12-31+AND+type+%3D+Bug+AND+project+%3D+SOVA+AND+Sprint+%3D+4677+AND+status+%3D+%22WON%27T+DO+%28100%25%29%22" TargetMode="External"/><Relationship Id="rId115" Type="http://schemas.openxmlformats.org/officeDocument/2006/relationships/hyperlink" Target="https://xrspace.atlassian.net/issues/?jql=created+%3E%3D+2025-02-01+AND+created+%3C%3D+2026-12-31+AND+type+%3D+Bug+AND+project+%3D+SOVA+AND+Sprint+%3D+4678+AND+status+%3D+%22Done+%28100%25%29%22" TargetMode="External"/><Relationship Id="rId131" Type="http://schemas.openxmlformats.org/officeDocument/2006/relationships/hyperlink" Target="https://xrspace.atlassian.net/issues/?jql=created+%3E%3D+2025-02-01+AND+created+%3C%3D+2026-12-31+AND+type+%3D+Bug+AND+project+%3D+SOVA+AND+Sprint+%3D+5044+AND+status+%3D+%22WON%27T+DO+%28100%25%29%22" TargetMode="External"/><Relationship Id="rId136" Type="http://schemas.openxmlformats.org/officeDocument/2006/relationships/hyperlink" Target="https://xrspace.atlassian.net/issues/?jql=created+%3E%3D+2025-02-01+AND+created+%3C%3D+2026-12-31+AND+type+%3D+Bug+AND+project+%3D+SOVA+AND+Sprint+%3D+2915+AND+status+%3D+%22Done+%28100%25%29%22" TargetMode="External"/><Relationship Id="rId61" Type="http://schemas.openxmlformats.org/officeDocument/2006/relationships/hyperlink" Target="https://xrspace.atlassian.net/issues/?jql=created+%3E%3D+2025-02-01+AND+created+%3C%3D+2026-12-31+AND+type+%3D+Bug+AND+project+%3D+SOVA+AND+Sprint+%3D+3608+AND+status+%3D+%22WON%27T+DO+%28100%25%29%22" TargetMode="External"/><Relationship Id="rId82" Type="http://schemas.openxmlformats.org/officeDocument/2006/relationships/hyperlink" Target="https://xrspace.atlassian.net/issues/?jql=created+%3E%3D+2025-02-01+AND+created+%3C%3D+2026-12-31+AND+type+%3D+Bug+AND+project+%3D+SOVA+AND+Sprint+%3D+4140+AND+status+%3D+%22WON%27T+DO+%28100%25%29%22" TargetMode="External"/><Relationship Id="rId19" Type="http://schemas.openxmlformats.org/officeDocument/2006/relationships/hyperlink" Target="https://xrspace.atlassian.net/issues/?jql=created+%3E%3D+2025-02-01+AND+created+%3C%3D+2026-12-31+AND+type+%3D+Bug+AND+project+%3D+SOVA+AND+Sprint+%3D+2619+AND+status+%3D+%22WON%27T+DO+%28100%25%29%22" TargetMode="External"/><Relationship Id="rId14" Type="http://schemas.openxmlformats.org/officeDocument/2006/relationships/hyperlink" Target="https://xrspace.atlassian.net/issues/?jql=created+%3E%3D+2025-02-01+AND+created+%3C%3D+2026-12-31+AND+type+%3D+Bug+AND+project+%3D+SOVA+AND+Sprint+%3D+2618+AND+status+%3D+%22READY+FOR+TESTING+%2890%25%29%22" TargetMode="External"/><Relationship Id="rId30" Type="http://schemas.openxmlformats.org/officeDocument/2006/relationships/hyperlink" Target="https://xrspace.atlassian.net/issues/?jql=created+%3E%3D+2025-02-01+AND+created+%3C%3D+2026-12-31+AND+type+%3D+Bug+AND+project+%3D+SOVA+AND+Sprint+%3D+3213+AND+status+%3D+%22In+Progress+%2850+%7E+70%25%29%22" TargetMode="External"/><Relationship Id="rId35" Type="http://schemas.openxmlformats.org/officeDocument/2006/relationships/hyperlink" Target="https://xrspace.atlassian.net/issues/?jql=created+%3E%3D+2025-02-01+AND+created+%3C%3D+2026-12-31+AND+type+%3D+Bug+AND+project+%3D+SOVA+AND+Sprint+%3D+3213+AND+status+%3D+%22READY+FOR+TESTING+%2890%25%29%22" TargetMode="External"/><Relationship Id="rId56" Type="http://schemas.openxmlformats.org/officeDocument/2006/relationships/hyperlink" Target="https://xrspace.atlassian.net/issues/?jql=created+%3E%3D+2025-02-01+AND+created+%3C%3D+2026-12-31+AND+type+%3D+Bug+AND+project+%3D+SOVA+AND+Sprint+%3D+3575+AND+status+%3D+%22READY+FOR+TESTING+%2890%25%29%22" TargetMode="External"/><Relationship Id="rId77" Type="http://schemas.openxmlformats.org/officeDocument/2006/relationships/hyperlink" Target="https://xrspace.atlassian.net/issues/?jql=created+%3E%3D+2025-02-01+AND+created+%3C%3D+2026-12-31+AND+type+%3D+Bug+AND+project+%3D+SOVA+AND+Sprint+%3D+3873+AND+status+%3D+%22READY+FOR+TESTING+%2890%25%29%22" TargetMode="External"/><Relationship Id="rId100" Type="http://schemas.openxmlformats.org/officeDocument/2006/relationships/hyperlink" Target="https://xrspace.atlassian.net/issues/?jql=created+%3E%3D+2025-02-01+AND+created+%3C%3D+2026-12-31+AND+type+%3D+Bug+AND+project+%3D+SOVA+AND+Sprint+%3D+4478+AND+status+%3D+%22In+Progress+%2850+%7E+70%25%29%22" TargetMode="External"/><Relationship Id="rId105" Type="http://schemas.openxmlformats.org/officeDocument/2006/relationships/hyperlink" Target="https://xrspace.atlassian.net/issues/?jql=created+%3E%3D+2025-02-01+AND+created+%3C%3D+2026-12-31+AND+type+%3D+Bug+AND+project+%3D+SOVA+AND+Sprint+%3D+4478+AND+status+%3D+%22READY+FOR+TESTING+%2890%25%29%22" TargetMode="External"/><Relationship Id="rId126" Type="http://schemas.openxmlformats.org/officeDocument/2006/relationships/hyperlink" Target="https://xrspace.atlassian.net/issues/?jql=created+%3E%3D+2025-02-01+AND+created+%3C%3D+2026-12-31+AND+type+%3D+Bug+AND+project+%3D+SOVA+AND+Sprint+%3D+4910+AND+status+%3D+%22READY+FOR+TESTING+%2890%25%29%22" TargetMode="External"/><Relationship Id="rId8" Type="http://schemas.openxmlformats.org/officeDocument/2006/relationships/hyperlink" Target="https://xrspace.atlassian.net/issues/?jql=created+%3E%3D+2025-02-01+AND+created+%3C%3D+2026-12-31+AND+type+%3D+Bug+AND+project+%3D+SOVA+AND+Sprint+%3D+2618+AND+status+%3D+%22To+Do+%280%25%29%22" TargetMode="External"/><Relationship Id="rId51" Type="http://schemas.openxmlformats.org/officeDocument/2006/relationships/hyperlink" Target="https://xrspace.atlassian.net/issues/?jql=created+%3E%3D+2025-02-01+AND+created+%3C%3D+2026-12-31+AND+type+%3D+Bug+AND+project+%3D+SOVA+AND+Sprint+%3D+3575+AND+status+%3D+%22In+Progress+%2850+%7E+70%25%29%22" TargetMode="External"/><Relationship Id="rId72" Type="http://schemas.openxmlformats.org/officeDocument/2006/relationships/hyperlink" Target="https://xrspace.atlassian.net/issues/?jql=created+%3E%3D+2025-02-01+AND+created+%3C%3D+2026-12-31+AND+type+%3D+Bug+AND+project+%3D+SOVA+AND+Sprint+%3D+3873+AND+status+%3D+%22In+Progress+%2850+%7E+70%25%29%22" TargetMode="External"/><Relationship Id="rId93" Type="http://schemas.openxmlformats.org/officeDocument/2006/relationships/hyperlink" Target="https://xrspace.atlassian.net/issues/?jql=created+%3E%3D+2025-02-01+AND+created+%3C%3D+2026-12-31+AND+type+%3D+Bug+AND+project+%3D+SOVA+AND+Sprint+%3D+4477+AND+status+%3D+%22In+Progress+%2850+%7E+70%25%29%22" TargetMode="External"/><Relationship Id="rId98" Type="http://schemas.openxmlformats.org/officeDocument/2006/relationships/hyperlink" Target="https://xrspace.atlassian.net/issues/?jql=created+%3E%3D+2025-02-01+AND+created+%3C%3D+2026-12-31+AND+type+%3D+Bug+AND+project+%3D+SOVA+AND+Sprint+%3D+4477+AND+status+%3D+%22READY+FOR+TESTING+%2890%25%29%22" TargetMode="External"/><Relationship Id="rId121" Type="http://schemas.openxmlformats.org/officeDocument/2006/relationships/hyperlink" Target="https://xrspace.atlassian.net/issues/?jql=created+%3E%3D+2025-02-01+AND+created+%3C%3D+2026-12-31+AND+type+%3D+Bug+AND+project+%3D+SOVA+AND+Sprint+%3D+4910+AND+status+%3D+%22In+Progress+%2850+%7E+70%25%29%22" TargetMode="External"/><Relationship Id="rId142" Type="http://schemas.openxmlformats.org/officeDocument/2006/relationships/drawing" Target="../drawings/drawing5.xml"/><Relationship Id="rId3" Type="http://schemas.openxmlformats.org/officeDocument/2006/relationships/hyperlink" Target="https://xrspace.atlassian.net/issues/?jql=created+%3E%3D+2025-02-01+AND+created+%3C%3D+2026-12-31+AND+type+%3D+Bug+AND+project+%3D+SOVA+AND+Sprint+%3D+2157+AND+status+%3D+%22Done+%28100%25%29%22" TargetMode="External"/><Relationship Id="rId25" Type="http://schemas.openxmlformats.org/officeDocument/2006/relationships/hyperlink" Target="https://xrspace.atlassian.net/issues/?jql=created+%3E%3D+2025-02-01+AND+created+%3C%3D+2026-12-31+AND+type+%3D+Bug+AND+project+%3D+SOVA+AND+Sprint+%3D+2882+AND+status+%3D+%22IN+REVIEW+%2880%25%29%22" TargetMode="External"/><Relationship Id="rId46" Type="http://schemas.openxmlformats.org/officeDocument/2006/relationships/hyperlink" Target="https://xrspace.atlassian.net/issues/?jql=created+%3E%3D+2025-02-01+AND+created+%3C%3D+2026-12-31+AND+type+%3D+Bug+AND+project+%3D+SOVA+AND+Sprint+%3D+3246+AND+status+%3D+%22IN+REVIEW+%2880%25%29%22" TargetMode="External"/><Relationship Id="rId67" Type="http://schemas.openxmlformats.org/officeDocument/2006/relationships/hyperlink" Target="https://xrspace.atlassian.net/issues/?jql=created+%3E%3D+2025-02-01+AND+created+%3C%3D+2026-12-31+AND+type+%3D+Bug+AND+project+%3D+SOVA+AND+Sprint+%3D+3872+AND+status+%3D+%22IN+REVIEW+%2880%25%29%22" TargetMode="External"/><Relationship Id="rId116" Type="http://schemas.openxmlformats.org/officeDocument/2006/relationships/hyperlink" Target="https://xrspace.atlassian.net/issues/?jql=created+%3E%3D+2025-02-01+AND+created+%3C%3D+2026-12-31+AND+type+%3D+Bug+AND+project+%3D+SOVA+AND+Sprint+%3D+4678+AND+status+%3D+%22IN+REVIEW+%2880%25%29%22" TargetMode="External"/><Relationship Id="rId137" Type="http://schemas.openxmlformats.org/officeDocument/2006/relationships/hyperlink" Target="https://xrspace.atlassian.net/issues/?jql=created+%3E%3D+2025-02-01+AND+created+%3C%3D+2026-12-31+AND+type+%3D+Bug+AND+project+%3D+SOVA+AND+Sprint+%3D+2915+AND+status+%3D+%22IN+REVIEW+%2880%25%29%22" TargetMode="External"/><Relationship Id="rId20" Type="http://schemas.openxmlformats.org/officeDocument/2006/relationships/hyperlink" Target="https://xrspace.atlassian.net/issues/?jql=created+%3E%3D+2025-02-01+AND+created+%3C%3D+2026-12-31+AND+type+%3D+Bug+AND+project+%3D+SOVA+AND+Sprint+%3D+2619+AND+status+%3D+%22STARTING+%2810+%7E+40%25%29%22" TargetMode="External"/><Relationship Id="rId41" Type="http://schemas.openxmlformats.org/officeDocument/2006/relationships/hyperlink" Target="https://xrspace.atlassian.net/issues/?jql=created+%3E%3D+2025-02-01+AND+created+%3C%3D+2026-12-31+AND+type+%3D+Bug+AND+project+%3D+SOVA+AND+Sprint+%3D+3245+AND+status+%3D+%22STARTING+%2810+%7E+40%25%29%22" TargetMode="External"/><Relationship Id="rId62" Type="http://schemas.openxmlformats.org/officeDocument/2006/relationships/hyperlink" Target="https://xrspace.atlassian.net/issues/?jql=created+%3E%3D+2025-02-01+AND+created+%3C%3D+2026-12-31+AND+type+%3D+Bug+AND+project+%3D+SOVA+AND+Sprint+%3D+3608+AND+status+%3D+%22STARTING+%2810+%7E+40%25%29%22" TargetMode="External"/><Relationship Id="rId83" Type="http://schemas.openxmlformats.org/officeDocument/2006/relationships/hyperlink" Target="https://xrspace.atlassian.net/issues/?jql=created+%3E%3D+2025-02-01+AND+created+%3C%3D+2026-12-31+AND+type+%3D+Bug+AND+project+%3D+SOVA+AND+Sprint+%3D+4140+AND+status+%3D+%22STARTING+%2810+%7E+40%25%29%22" TargetMode="External"/><Relationship Id="rId88" Type="http://schemas.openxmlformats.org/officeDocument/2006/relationships/hyperlink" Target="https://xrspace.atlassian.net/issues/?jql=created+%3E%3D+2025-02-01+AND+created+%3C%3D+2026-12-31+AND+type+%3D+Bug+AND+project+%3D+SOVA+AND+Sprint+%3D+4206+AND+status+%3D+%22IN+REVIEW+%2880%25%29%22" TargetMode="External"/><Relationship Id="rId111" Type="http://schemas.openxmlformats.org/officeDocument/2006/relationships/hyperlink" Target="https://xrspace.atlassian.net/issues/?jql=created+%3E%3D+2025-02-01+AND+created+%3C%3D+2026-12-31+AND+type+%3D+Bug+AND+project+%3D+SOVA+AND+Sprint+%3D+4677+AND+status+%3D+%22STARTING+%2810+%7E+40%25%29%22" TargetMode="External"/><Relationship Id="rId132" Type="http://schemas.openxmlformats.org/officeDocument/2006/relationships/hyperlink" Target="https://xrspace.atlassian.net/issues/?jql=created+%3E%3D+2025-02-01+AND+created+%3C%3D+2026-12-31+AND+type+%3D+Bug+AND+project+%3D+SOVA+AND+Sprint+%3D+5044+AND+status+%3D+%22STARTING+%2810+%7E+40%25%29%22" TargetMode="External"/><Relationship Id="rId15" Type="http://schemas.openxmlformats.org/officeDocument/2006/relationships/hyperlink" Target="https://xrspace.atlassian.net/issues/?jql=created+%3E%3D+2025-02-01+AND+created+%3C%3D+2026-12-31+AND+type+%3D+Bug+AND+project+%3D+SOVA+AND+Sprint+%3D+2619+AND+status+%3D+%22To+Do+%280%25%29%22" TargetMode="External"/><Relationship Id="rId36" Type="http://schemas.openxmlformats.org/officeDocument/2006/relationships/hyperlink" Target="https://xrspace.atlassian.net/issues/?jql=created+%3E%3D+2025-02-01+AND+created+%3C%3D+2026-12-31+AND+type+%3D+Bug+AND+project+%3D+SOVA+AND+Sprint+%3D+3245+AND+status+%3D+%22To+Do+%280%25%29%22" TargetMode="External"/><Relationship Id="rId57" Type="http://schemas.openxmlformats.org/officeDocument/2006/relationships/hyperlink" Target="https://xrspace.atlassian.net/issues/?jql=created+%3E%3D+2025-02-01+AND+created+%3C%3D+2026-12-31+AND+type+%3D+Bug+AND+project+%3D+SOVA+AND+Sprint+%3D+3608+AND+status+%3D+%22To+Do+%280%25%29%22" TargetMode="External"/><Relationship Id="rId106" Type="http://schemas.openxmlformats.org/officeDocument/2006/relationships/hyperlink" Target="https://xrspace.atlassian.net/issues/?jql=created+%3E%3D+2025-02-01+AND+created+%3C%3D+2026-12-31+AND+type+%3D+Bug+AND+project+%3D+SOVA+AND+Sprint+%3D+4677+AND+status+%3D+%22To+Do+%280%25%29%22" TargetMode="External"/><Relationship Id="rId127" Type="http://schemas.openxmlformats.org/officeDocument/2006/relationships/hyperlink" Target="https://xrspace.atlassian.net/issues/?jql=created+%3E%3D+2025-02-01+AND+created+%3C%3D+2026-12-31+AND+type+%3D+Bug+AND+project+%3D+SOVA+AND+Sprint+%3D+5044+AND+status+%3D+%22To+Do+%280%25%29%22" TargetMode="External"/><Relationship Id="rId10" Type="http://schemas.openxmlformats.org/officeDocument/2006/relationships/hyperlink" Target="https://xrspace.atlassian.net/issues/?jql=created+%3E%3D+2025-02-01+AND+created+%3C%3D+2026-12-31+AND+type+%3D+Bug+AND+project+%3D+SOVA+AND+Sprint+%3D+2618+AND+status+%3D+%22Done+%28100%25%29%22" TargetMode="External"/><Relationship Id="rId31" Type="http://schemas.openxmlformats.org/officeDocument/2006/relationships/hyperlink" Target="https://xrspace.atlassian.net/issues/?jql=created+%3E%3D+2025-02-01+AND+created+%3C%3D+2026-12-31+AND+type+%3D+Bug+AND+project+%3D+SOVA+AND+Sprint+%3D+3213+AND+status+%3D+%22Done+%28100%25%29%22" TargetMode="External"/><Relationship Id="rId52" Type="http://schemas.openxmlformats.org/officeDocument/2006/relationships/hyperlink" Target="https://xrspace.atlassian.net/issues/?jql=created+%3E%3D+2025-02-01+AND+created+%3C%3D+2026-12-31+AND+type+%3D+Bug+AND+project+%3D+SOVA+AND+Sprint+%3D+3575+AND+status+%3D+%22Done+%28100%25%29%22" TargetMode="External"/><Relationship Id="rId73" Type="http://schemas.openxmlformats.org/officeDocument/2006/relationships/hyperlink" Target="https://xrspace.atlassian.net/issues/?jql=created+%3E%3D+2025-02-01+AND+created+%3C%3D+2026-12-31+AND+type+%3D+Bug+AND+project+%3D+SOVA+AND+Sprint+%3D+3873+AND+status+%3D+%22Done+%28100%25%29%22" TargetMode="External"/><Relationship Id="rId78" Type="http://schemas.openxmlformats.org/officeDocument/2006/relationships/hyperlink" Target="https://xrspace.atlassian.net/issues/?jql=created+%3E%3D+2025-02-01+AND+created+%3C%3D+2026-12-31+AND+type+%3D+Bug+AND+project+%3D+SOVA+AND+Sprint+%3D+4140+AND+status+%3D+%22To+Do+%280%25%29%22" TargetMode="External"/><Relationship Id="rId94" Type="http://schemas.openxmlformats.org/officeDocument/2006/relationships/hyperlink" Target="https://xrspace.atlassian.net/issues/?jql=created+%3E%3D+2025-02-01+AND+created+%3C%3D+2026-12-31+AND+type+%3D+Bug+AND+project+%3D+SOVA+AND+Sprint+%3D+4477+AND+status+%3D+%22Done+%28100%25%29%22" TargetMode="External"/><Relationship Id="rId99" Type="http://schemas.openxmlformats.org/officeDocument/2006/relationships/hyperlink" Target="https://xrspace.atlassian.net/issues/?jql=created+%3E%3D+2025-02-01+AND+created+%3C%3D+2026-12-31+AND+type+%3D+Bug+AND+project+%3D+SOVA+AND+Sprint+%3D+4478+AND+status+%3D+%22To+Do+%280%25%29%22" TargetMode="External"/><Relationship Id="rId101" Type="http://schemas.openxmlformats.org/officeDocument/2006/relationships/hyperlink" Target="https://xrspace.atlassian.net/issues/?jql=created+%3E%3D+2025-02-01+AND+created+%3C%3D+2026-12-31+AND+type+%3D+Bug+AND+project+%3D+SOVA+AND+Sprint+%3D+4478+AND+status+%3D+%22Done+%28100%25%29%22" TargetMode="External"/><Relationship Id="rId122" Type="http://schemas.openxmlformats.org/officeDocument/2006/relationships/hyperlink" Target="https://xrspace.atlassian.net/issues/?jql=created+%3E%3D+2025-02-01+AND+created+%3C%3D+2026-12-31+AND+type+%3D+Bug+AND+project+%3D+SOVA+AND+Sprint+%3D+4910+AND+status+%3D+%22Done+%28100%25%29%22" TargetMode="External"/><Relationship Id="rId143" Type="http://schemas.openxmlformats.org/officeDocument/2006/relationships/table" Target="../tables/table5.xml"/><Relationship Id="rId4" Type="http://schemas.openxmlformats.org/officeDocument/2006/relationships/hyperlink" Target="https://xrspace.atlassian.net/issues/?jql=created+%3E%3D+2025-02-01+AND+created+%3C%3D+2026-12-31+AND+type+%3D+Bug+AND+project+%3D+SOVA+AND+Sprint+%3D+2157+AND+status+%3D+%22IN+REVIEW+%2880%25%29%22" TargetMode="External"/><Relationship Id="rId9" Type="http://schemas.openxmlformats.org/officeDocument/2006/relationships/hyperlink" Target="https://xrspace.atlassian.net/issues/?jql=created+%3E%3D+2025-02-01+AND+created+%3C%3D+2026-12-31+AND+type+%3D+Bug+AND+project+%3D+SOVA+AND+Sprint+%3D+2618+AND+status+%3D+%22In+Progress+%2850+%7E+70%25%29%22" TargetMode="External"/><Relationship Id="rId26" Type="http://schemas.openxmlformats.org/officeDocument/2006/relationships/hyperlink" Target="https://xrspace.atlassian.net/issues/?jql=created+%3E%3D+2025-02-01+AND+created+%3C%3D+2026-12-31+AND+type+%3D+Bug+AND+project+%3D+SOVA+AND+Sprint+%3D+2882+AND+status+%3D+%22WON%27T+DO+%28100%25%29%22" TargetMode="External"/><Relationship Id="rId47" Type="http://schemas.openxmlformats.org/officeDocument/2006/relationships/hyperlink" Target="https://xrspace.atlassian.net/issues/?jql=created+%3E%3D+2025-02-01+AND+created+%3C%3D+2026-12-31+AND+type+%3D+Bug+AND+project+%3D+SOVA+AND+Sprint+%3D+3246+AND+status+%3D+%22WON%27T+DO+%28100%25%29%22" TargetMode="External"/><Relationship Id="rId68" Type="http://schemas.openxmlformats.org/officeDocument/2006/relationships/hyperlink" Target="https://xrspace.atlassian.net/issues/?jql=created+%3E%3D+2025-02-01+AND+created+%3C%3D+2026-12-31+AND+type+%3D+Bug+AND+project+%3D+SOVA+AND+Sprint+%3D+3872+AND+status+%3D+%22WON%27T+DO+%28100%25%29%22" TargetMode="External"/><Relationship Id="rId89" Type="http://schemas.openxmlformats.org/officeDocument/2006/relationships/hyperlink" Target="https://xrspace.atlassian.net/issues/?jql=created+%3E%3D+2025-02-01+AND+created+%3C%3D+2026-12-31+AND+type+%3D+Bug+AND+project+%3D+SOVA+AND+Sprint+%3D+4206+AND+status+%3D+%22WON%27T+DO+%28100%25%29%22" TargetMode="External"/><Relationship Id="rId112" Type="http://schemas.openxmlformats.org/officeDocument/2006/relationships/hyperlink" Target="https://xrspace.atlassian.net/issues/?jql=created+%3E%3D+2025-02-01+AND+created+%3C%3D+2026-12-31+AND+type+%3D+Bug+AND+project+%3D+SOVA+AND+Sprint+%3D+4677+AND+status+%3D+%22READY+FOR+TESTING+%2890%25%29%22" TargetMode="External"/><Relationship Id="rId133" Type="http://schemas.openxmlformats.org/officeDocument/2006/relationships/hyperlink" Target="https://xrspace.atlassian.net/issues/?jql=created+%3E%3D+2025-02-01+AND+created+%3C%3D+2026-12-31+AND+type+%3D+Bug+AND+project+%3D+SOVA+AND+Sprint+%3D+5044+AND+status+%3D+%22READY+FOR+TESTING+%2890%25%29%22" TargetMode="External"/><Relationship Id="rId16" Type="http://schemas.openxmlformats.org/officeDocument/2006/relationships/hyperlink" Target="https://xrspace.atlassian.net/issues/?jql=created+%3E%3D+2025-02-01+AND+created+%3C%3D+2026-12-31+AND+type+%3D+Bug+AND+project+%3D+SOVA+AND+Sprint+%3D+2619+AND+status+%3D+%22In+Progress+%2850+%7E+70%25%29%2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33A42-966D-5F4E-B061-B304543CE88E}">
  <dimension ref="A1:E23"/>
  <sheetViews>
    <sheetView zoomScaleNormal="100" workbookViewId="0">
      <selection activeCell="G21" sqref="G21"/>
    </sheetView>
  </sheetViews>
  <sheetFormatPr defaultColWidth="11.5546875" defaultRowHeight="15"/>
  <cols>
    <col min="1" max="1" width="8.77734375" customWidth="1"/>
    <col min="2" max="2" width="12.6640625" customWidth="1"/>
    <col min="3" max="3" width="18.88671875" customWidth="1"/>
    <col min="4" max="5" width="15.77734375" customWidth="1"/>
  </cols>
  <sheetData>
    <row r="1" spans="1:5" ht="20.100000000000001" customHeight="1">
      <c r="A1" s="1" t="s">
        <v>36</v>
      </c>
      <c r="B1" s="2" t="s">
        <v>1</v>
      </c>
      <c r="C1" s="2" t="s">
        <v>2</v>
      </c>
      <c r="D1" s="2" t="s">
        <v>0</v>
      </c>
      <c r="E1" s="2" t="s">
        <v>3</v>
      </c>
    </row>
    <row r="2" spans="1:5" ht="21.95" customHeight="1">
      <c r="A2" t="s">
        <v>77</v>
      </c>
      <c r="B2">
        <v>15</v>
      </c>
      <c r="C2">
        <v>14</v>
      </c>
      <c r="D2">
        <v>219</v>
      </c>
      <c r="E2">
        <f>SUM(Table2[[#This Row],[Done]:[TODO (P1)]])</f>
        <v>248</v>
      </c>
    </row>
    <row r="3" spans="1:5" ht="21.95" customHeight="1">
      <c r="A3" t="s">
        <v>56</v>
      </c>
      <c r="B3">
        <v>12</v>
      </c>
      <c r="C3">
        <v>11</v>
      </c>
      <c r="D3">
        <v>173</v>
      </c>
      <c r="E3">
        <f>SUM(Table2[[#This Row],[Done]:[TODO (P1)]])</f>
        <v>196</v>
      </c>
    </row>
    <row r="4" spans="1:5" ht="21.95" customHeight="1">
      <c r="A4" t="s">
        <v>57</v>
      </c>
      <c r="B4">
        <v>13</v>
      </c>
      <c r="C4">
        <v>11</v>
      </c>
      <c r="D4">
        <v>172</v>
      </c>
      <c r="E4" s="12">
        <f>SUM(Table2[[#This Row],[Done]:[TODO (P1)]])</f>
        <v>196</v>
      </c>
    </row>
    <row r="5" spans="1:5" ht="21.95" customHeight="1">
      <c r="A5" t="s">
        <v>58</v>
      </c>
      <c r="B5">
        <v>15</v>
      </c>
      <c r="C5">
        <v>12</v>
      </c>
      <c r="D5">
        <v>168</v>
      </c>
      <c r="E5" s="12">
        <f>SUM(Table2[[#This Row],[Done]:[TODO (P1)]])</f>
        <v>195</v>
      </c>
    </row>
    <row r="6" spans="1:5" ht="21.95" customHeight="1">
      <c r="A6" t="s">
        <v>59</v>
      </c>
      <c r="B6">
        <v>18</v>
      </c>
      <c r="C6">
        <v>11</v>
      </c>
      <c r="D6">
        <v>166</v>
      </c>
      <c r="E6" s="12">
        <f>SUM(Table2[[#This Row],[Done]:[TODO (P1)]])</f>
        <v>195</v>
      </c>
    </row>
    <row r="7" spans="1:5" ht="21.95" customHeight="1">
      <c r="A7" t="s">
        <v>60</v>
      </c>
      <c r="B7">
        <v>21</v>
      </c>
      <c r="C7">
        <v>14</v>
      </c>
      <c r="D7">
        <v>160</v>
      </c>
      <c r="E7" s="12">
        <f>SUM(Table2[[#This Row],[Done]:[TODO (P1)]])</f>
        <v>195</v>
      </c>
    </row>
    <row r="8" spans="1:5" ht="21.95" customHeight="1">
      <c r="A8" t="s">
        <v>61</v>
      </c>
      <c r="B8">
        <v>22</v>
      </c>
      <c r="C8">
        <v>14</v>
      </c>
      <c r="D8">
        <v>160</v>
      </c>
      <c r="E8" s="12">
        <f>SUM(Table2[[#This Row],[Done]:[TODO (P1)]])</f>
        <v>196</v>
      </c>
    </row>
    <row r="9" spans="1:5" ht="21.95" customHeight="1">
      <c r="A9" t="s">
        <v>62</v>
      </c>
      <c r="B9">
        <v>25</v>
      </c>
      <c r="C9">
        <v>10</v>
      </c>
      <c r="D9">
        <v>161</v>
      </c>
      <c r="E9" s="12">
        <f>SUM(Table2[[#This Row],[Done]:[TODO (P1)]])</f>
        <v>196</v>
      </c>
    </row>
    <row r="10" spans="1:5" ht="21.95" customHeight="1">
      <c r="A10" t="s">
        <v>64</v>
      </c>
      <c r="B10">
        <v>28</v>
      </c>
      <c r="C10">
        <v>8</v>
      </c>
      <c r="D10">
        <v>160</v>
      </c>
      <c r="E10" s="12">
        <f>SUM(Table2[[#This Row],[Done]:[TODO (P1)]])</f>
        <v>196</v>
      </c>
    </row>
    <row r="11" spans="1:5" ht="21.95" customHeight="1">
      <c r="A11" t="s">
        <v>65</v>
      </c>
      <c r="B11">
        <v>30</v>
      </c>
      <c r="C11">
        <v>6</v>
      </c>
      <c r="D11">
        <v>160</v>
      </c>
      <c r="E11" s="12">
        <f>SUM(Table2[[#This Row],[Done]:[TODO (P1)]])</f>
        <v>196</v>
      </c>
    </row>
    <row r="12" spans="1:5" ht="21.95" customHeight="1">
      <c r="A12" t="s">
        <v>66</v>
      </c>
      <c r="B12">
        <v>32</v>
      </c>
      <c r="C12">
        <v>5</v>
      </c>
      <c r="D12">
        <v>160</v>
      </c>
      <c r="E12" s="12">
        <f>SUM(Table2[[#This Row],[Done]:[TODO (P1)]])</f>
        <v>197</v>
      </c>
    </row>
    <row r="13" spans="1:5" ht="21.95" customHeight="1">
      <c r="A13" t="s">
        <v>67</v>
      </c>
      <c r="B13">
        <v>32</v>
      </c>
      <c r="C13">
        <v>5</v>
      </c>
      <c r="D13">
        <v>160</v>
      </c>
      <c r="E13" s="12">
        <f>SUM(Table2[[#This Row],[Done]:[TODO (P1)]])</f>
        <v>197</v>
      </c>
    </row>
    <row r="14" spans="1:5" ht="21.95" customHeight="1">
      <c r="A14" t="s">
        <v>55</v>
      </c>
      <c r="B14">
        <v>32</v>
      </c>
      <c r="C14">
        <v>3</v>
      </c>
      <c r="D14">
        <v>162</v>
      </c>
      <c r="E14" s="12">
        <f>SUM(Table2[[#This Row],[Done]:[TODO (P1)]])</f>
        <v>197</v>
      </c>
    </row>
    <row r="15" spans="1:5" ht="21.95" customHeight="1">
      <c r="A15" t="s">
        <v>68</v>
      </c>
      <c r="B15">
        <v>32</v>
      </c>
      <c r="C15">
        <v>3</v>
      </c>
      <c r="D15">
        <v>162</v>
      </c>
      <c r="E15" s="12">
        <f>SUM(Table2[[#This Row],[Done]:[TODO (P1)]])</f>
        <v>197</v>
      </c>
    </row>
    <row r="16" spans="1:5" ht="21.95" customHeight="1">
      <c r="A16" t="s">
        <v>83</v>
      </c>
      <c r="B16">
        <v>32</v>
      </c>
      <c r="C16">
        <v>3</v>
      </c>
      <c r="D16">
        <v>162</v>
      </c>
      <c r="E16" s="12">
        <f>SUM(Table2[[#This Row],[Done]:[TODO (P1)]])</f>
        <v>197</v>
      </c>
    </row>
    <row r="17" spans="1:5" ht="21.95" customHeight="1">
      <c r="A17" t="s">
        <v>84</v>
      </c>
      <c r="B17">
        <v>32</v>
      </c>
      <c r="C17">
        <v>1</v>
      </c>
      <c r="D17">
        <v>162</v>
      </c>
      <c r="E17" s="12">
        <f>SUM(Table2[[#This Row],[Done]:[TODO (P1)]])</f>
        <v>195</v>
      </c>
    </row>
    <row r="18" spans="1:5" ht="21.95" customHeight="1">
      <c r="A18" t="s">
        <v>85</v>
      </c>
      <c r="B18">
        <v>32</v>
      </c>
      <c r="C18">
        <v>2</v>
      </c>
      <c r="D18">
        <v>161</v>
      </c>
      <c r="E18" s="12">
        <f>SUM(Table2[[#This Row],[Done]:[TODO (P1)]])</f>
        <v>195</v>
      </c>
    </row>
    <row r="19" spans="1:5" ht="21.95" customHeight="1">
      <c r="A19" t="s">
        <v>89</v>
      </c>
      <c r="B19">
        <v>31</v>
      </c>
      <c r="C19">
        <v>3</v>
      </c>
      <c r="D19">
        <v>161</v>
      </c>
      <c r="E19" s="12">
        <f>SUM(Table2[[#This Row],[Done]:[TODO (P1)]])</f>
        <v>195</v>
      </c>
    </row>
    <row r="20" spans="1:5" ht="21.95" customHeight="1">
      <c r="A20" t="s">
        <v>90</v>
      </c>
      <c r="B20">
        <v>31</v>
      </c>
      <c r="C20">
        <v>3</v>
      </c>
      <c r="D20">
        <v>161</v>
      </c>
      <c r="E20" s="12">
        <f>SUM(Table2[[#This Row],[Done]:[TODO (P1)]])</f>
        <v>195</v>
      </c>
    </row>
    <row r="21" spans="1:5" ht="21.95" customHeight="1">
      <c r="A21" t="s">
        <v>91</v>
      </c>
      <c r="B21">
        <v>31</v>
      </c>
      <c r="C21">
        <v>3</v>
      </c>
      <c r="D21">
        <v>161</v>
      </c>
      <c r="E21" s="12">
        <f>SUM(Table2[[#This Row],[Done]:[TODO (P1)]])</f>
        <v>195</v>
      </c>
    </row>
    <row r="22" spans="1:5" ht="21.95" customHeight="1">
      <c r="A22" t="s">
        <v>100</v>
      </c>
      <c r="B22">
        <v>37</v>
      </c>
      <c r="C22">
        <v>1</v>
      </c>
      <c r="D22">
        <v>160</v>
      </c>
      <c r="E22" s="12">
        <v>198</v>
      </c>
    </row>
    <row r="23" spans="1:5" ht="21.95" customHeight="1">
      <c r="A23" t="s">
        <v>102</v>
      </c>
      <c r="B23">
        <v>37</v>
      </c>
      <c r="C23">
        <v>1</v>
      </c>
      <c r="D23">
        <v>160</v>
      </c>
      <c r="E23" s="12">
        <v>198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9633B-8BD2-084C-8C0F-75969053522F}">
  <dimension ref="A1:H19"/>
  <sheetViews>
    <sheetView zoomScaleNormal="100" workbookViewId="0">
      <selection activeCell="G20" sqref="G20"/>
    </sheetView>
  </sheetViews>
  <sheetFormatPr defaultColWidth="11.5546875" defaultRowHeight="15"/>
  <cols>
    <col min="1" max="1" width="9.109375" customWidth="1"/>
    <col min="2" max="2" width="11.77734375" customWidth="1"/>
    <col min="3" max="8" width="15.77734375" customWidth="1"/>
  </cols>
  <sheetData>
    <row r="1" spans="1:8" ht="20.100000000000001" customHeight="1">
      <c r="A1" s="2" t="s">
        <v>32</v>
      </c>
      <c r="B1" s="2" t="s">
        <v>11</v>
      </c>
      <c r="C1" s="2" t="s">
        <v>16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3</v>
      </c>
    </row>
    <row r="2" spans="1:8" ht="21.95" customHeight="1">
      <c r="A2" t="s">
        <v>4</v>
      </c>
      <c r="B2">
        <v>421</v>
      </c>
      <c r="C2">
        <v>0</v>
      </c>
      <c r="D2">
        <v>12</v>
      </c>
      <c r="E2">
        <v>8</v>
      </c>
      <c r="F2">
        <v>1</v>
      </c>
      <c r="G2">
        <v>0</v>
      </c>
      <c r="H2">
        <f>SUM(Table1[[#This Row],[Passed]:[Untested]])</f>
        <v>442</v>
      </c>
    </row>
    <row r="3" spans="1:8" ht="21.95" customHeight="1">
      <c r="A3" t="s">
        <v>5</v>
      </c>
      <c r="B3">
        <v>402</v>
      </c>
      <c r="C3">
        <v>0</v>
      </c>
      <c r="D3">
        <v>10</v>
      </c>
      <c r="E3">
        <v>2</v>
      </c>
      <c r="F3">
        <v>0</v>
      </c>
      <c r="G3">
        <v>0</v>
      </c>
      <c r="H3">
        <f>SUM(Table1[[#This Row],[Passed]:[Untested]])</f>
        <v>414</v>
      </c>
    </row>
    <row r="4" spans="1:8" ht="21.95" customHeight="1">
      <c r="A4" t="s">
        <v>6</v>
      </c>
      <c r="B4">
        <v>1195</v>
      </c>
      <c r="C4">
        <v>0</v>
      </c>
      <c r="D4">
        <v>16</v>
      </c>
      <c r="E4">
        <v>0</v>
      </c>
      <c r="F4">
        <v>0</v>
      </c>
      <c r="G4">
        <v>0</v>
      </c>
      <c r="H4">
        <f>SUM(Table1[[#This Row],[Passed]:[Untested]])</f>
        <v>1211</v>
      </c>
    </row>
    <row r="5" spans="1:8" ht="21.95" customHeight="1">
      <c r="A5" t="s">
        <v>7</v>
      </c>
      <c r="B5">
        <v>2583</v>
      </c>
      <c r="C5">
        <v>0</v>
      </c>
      <c r="D5">
        <v>13</v>
      </c>
      <c r="E5">
        <v>0</v>
      </c>
      <c r="F5">
        <v>0</v>
      </c>
      <c r="G5">
        <v>0</v>
      </c>
      <c r="H5">
        <f>SUM(Table1[[#This Row],[Passed]:[Untested]])</f>
        <v>2596</v>
      </c>
    </row>
    <row r="6" spans="1:8" ht="21.95" customHeight="1">
      <c r="A6" t="s">
        <v>8</v>
      </c>
      <c r="B6">
        <v>2263</v>
      </c>
      <c r="C6">
        <v>0</v>
      </c>
      <c r="D6">
        <v>3</v>
      </c>
      <c r="E6">
        <v>0</v>
      </c>
      <c r="F6">
        <v>0</v>
      </c>
      <c r="G6">
        <v>0</v>
      </c>
      <c r="H6">
        <f>SUM(Table1[[#This Row],[Passed]:[Untested]])</f>
        <v>2266</v>
      </c>
    </row>
    <row r="7" spans="1:8" ht="21.95" customHeight="1">
      <c r="A7" t="s">
        <v>9</v>
      </c>
      <c r="B7">
        <v>2719</v>
      </c>
      <c r="C7">
        <v>0</v>
      </c>
      <c r="D7">
        <v>4</v>
      </c>
      <c r="E7">
        <v>0</v>
      </c>
      <c r="F7">
        <v>0</v>
      </c>
      <c r="G7">
        <v>0</v>
      </c>
      <c r="H7">
        <f>SUM(Table1[[#This Row],[Passed]:[Untested]])</f>
        <v>2723</v>
      </c>
    </row>
    <row r="8" spans="1:8" ht="21.95" customHeight="1">
      <c r="A8" t="s">
        <v>10</v>
      </c>
      <c r="B8">
        <v>2515</v>
      </c>
      <c r="C8">
        <v>0</v>
      </c>
      <c r="D8">
        <v>16</v>
      </c>
      <c r="E8">
        <v>0</v>
      </c>
      <c r="F8">
        <v>0</v>
      </c>
      <c r="G8">
        <v>0</v>
      </c>
      <c r="H8">
        <f>SUM(Table1[[#This Row],[Passed]:[Untested]])</f>
        <v>2531</v>
      </c>
    </row>
    <row r="9" spans="1:8" ht="21.95" customHeight="1">
      <c r="A9" t="s">
        <v>37</v>
      </c>
      <c r="B9">
        <v>1399</v>
      </c>
      <c r="C9">
        <v>0</v>
      </c>
      <c r="D9">
        <v>1</v>
      </c>
      <c r="E9">
        <v>0</v>
      </c>
      <c r="F9">
        <v>0</v>
      </c>
      <c r="G9">
        <v>1</v>
      </c>
      <c r="H9">
        <f>SUM(Table1[[#This Row],[Passed]:[Untested]])</f>
        <v>1401</v>
      </c>
    </row>
    <row r="10" spans="1:8" ht="21.95" customHeight="1">
      <c r="A10" t="s">
        <v>42</v>
      </c>
      <c r="B10">
        <v>1271</v>
      </c>
      <c r="C10">
        <v>0</v>
      </c>
      <c r="D10">
        <v>2</v>
      </c>
      <c r="E10">
        <v>0</v>
      </c>
      <c r="F10">
        <v>0</v>
      </c>
      <c r="G10">
        <v>0</v>
      </c>
      <c r="H10">
        <f>SUM(Table1[[#This Row],[Passed]:[Untested]])</f>
        <v>1273</v>
      </c>
    </row>
    <row r="11" spans="1:8" ht="21.95" customHeight="1">
      <c r="A11" t="s">
        <v>43</v>
      </c>
      <c r="B11">
        <v>1333</v>
      </c>
      <c r="C11">
        <v>0</v>
      </c>
      <c r="D11">
        <v>7</v>
      </c>
      <c r="E11">
        <v>0</v>
      </c>
      <c r="F11">
        <v>0</v>
      </c>
      <c r="G11">
        <v>1</v>
      </c>
      <c r="H11">
        <f>SUM(Table1[[#This Row],[Passed]:[Untested]])</f>
        <v>1341</v>
      </c>
    </row>
    <row r="12" spans="1:8" ht="21.95" customHeight="1">
      <c r="A12" t="s">
        <v>46</v>
      </c>
      <c r="B12">
        <v>1475</v>
      </c>
      <c r="C12">
        <v>0</v>
      </c>
      <c r="D12">
        <v>6</v>
      </c>
      <c r="E12">
        <v>0</v>
      </c>
      <c r="F12">
        <v>4</v>
      </c>
      <c r="G12">
        <v>0</v>
      </c>
      <c r="H12">
        <f>SUM(Table1[[#This Row],[Passed]:[Untested]])</f>
        <v>1485</v>
      </c>
    </row>
    <row r="13" spans="1:8" ht="21.95" customHeight="1">
      <c r="A13" t="s">
        <v>47</v>
      </c>
      <c r="B13">
        <v>2031</v>
      </c>
      <c r="C13">
        <v>0</v>
      </c>
      <c r="D13">
        <v>0</v>
      </c>
      <c r="E13">
        <v>0</v>
      </c>
      <c r="F13">
        <v>5</v>
      </c>
      <c r="G13">
        <v>1</v>
      </c>
      <c r="H13">
        <f>SUM(Table1[[#This Row],[Passed]:[Untested]])</f>
        <v>2037</v>
      </c>
    </row>
    <row r="14" spans="1:8" ht="21.95" customHeight="1">
      <c r="A14" t="s">
        <v>49</v>
      </c>
      <c r="B14">
        <v>1755</v>
      </c>
      <c r="C14">
        <v>0</v>
      </c>
      <c r="D14">
        <v>6</v>
      </c>
      <c r="E14">
        <v>0</v>
      </c>
      <c r="F14">
        <v>0</v>
      </c>
      <c r="G14">
        <v>0</v>
      </c>
      <c r="H14">
        <f>SUM(Table1[[#This Row],[Passed]:[Untested]])</f>
        <v>1761</v>
      </c>
    </row>
    <row r="15" spans="1:8" ht="21.95" customHeight="1">
      <c r="A15" t="s">
        <v>52</v>
      </c>
      <c r="B15">
        <v>1892</v>
      </c>
      <c r="C15">
        <v>0</v>
      </c>
      <c r="D15">
        <v>9</v>
      </c>
      <c r="E15">
        <v>0</v>
      </c>
      <c r="F15">
        <v>3</v>
      </c>
      <c r="G15">
        <v>0</v>
      </c>
      <c r="H15">
        <f>SUM(Table1[[#This Row],[Passed]:[Untested]])</f>
        <v>1904</v>
      </c>
    </row>
    <row r="16" spans="1:8" ht="21.95" customHeight="1">
      <c r="A16" t="s">
        <v>53</v>
      </c>
      <c r="B16">
        <v>1642</v>
      </c>
      <c r="C16">
        <v>8</v>
      </c>
      <c r="D16">
        <v>3</v>
      </c>
      <c r="E16">
        <v>0</v>
      </c>
      <c r="F16">
        <v>23</v>
      </c>
      <c r="G16">
        <v>0</v>
      </c>
      <c r="H16">
        <f>SUM(Table1[[#This Row],[Passed]:[Untested]])</f>
        <v>1676</v>
      </c>
    </row>
    <row r="17" spans="1:8" ht="21.95" customHeight="1">
      <c r="A17" t="s">
        <v>82</v>
      </c>
      <c r="B17">
        <v>1350</v>
      </c>
      <c r="C17">
        <v>8</v>
      </c>
      <c r="D17">
        <v>10</v>
      </c>
      <c r="E17">
        <v>2</v>
      </c>
      <c r="F17">
        <v>4</v>
      </c>
      <c r="G17">
        <v>0</v>
      </c>
      <c r="H17">
        <f>SUM(Table1[[#This Row],[Passed]:[Untested]])</f>
        <v>1374</v>
      </c>
    </row>
    <row r="18" spans="1:8" ht="21.95" customHeight="1">
      <c r="A18" t="s">
        <v>87</v>
      </c>
      <c r="B18">
        <v>860</v>
      </c>
      <c r="C18">
        <v>0</v>
      </c>
      <c r="D18">
        <v>4</v>
      </c>
      <c r="E18">
        <v>2</v>
      </c>
      <c r="F18">
        <v>0</v>
      </c>
      <c r="G18">
        <v>0</v>
      </c>
      <c r="H18">
        <f>SUM(Table1[[#This Row],[Passed]:[Untested]])</f>
        <v>866</v>
      </c>
    </row>
    <row r="19" spans="1:8" ht="21.95" customHeight="1">
      <c r="A19" t="s">
        <v>93</v>
      </c>
      <c r="B19">
        <v>460</v>
      </c>
      <c r="C19">
        <v>0</v>
      </c>
      <c r="D19">
        <v>1</v>
      </c>
      <c r="E19">
        <v>19</v>
      </c>
      <c r="F19">
        <v>26</v>
      </c>
      <c r="G19">
        <v>91</v>
      </c>
      <c r="H19">
        <f>SUM(Table1[[#This Row],[Passed]:[Untested]])</f>
        <v>597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6EDF6-834F-DA49-B3FC-BFE1673433AB}">
  <dimension ref="A1:H36"/>
  <sheetViews>
    <sheetView topLeftCell="A13" zoomScaleNormal="100" workbookViewId="0">
      <selection activeCell="C38" sqref="C38"/>
    </sheetView>
  </sheetViews>
  <sheetFormatPr defaultColWidth="11.5546875" defaultRowHeight="15"/>
  <cols>
    <col min="1" max="1" width="12.21875" customWidth="1"/>
    <col min="2" max="7" width="15.77734375" customWidth="1"/>
  </cols>
  <sheetData>
    <row r="1" spans="1:8" ht="20.100000000000001" customHeight="1">
      <c r="A1" s="2" t="s">
        <v>32</v>
      </c>
      <c r="B1" s="2" t="s">
        <v>11</v>
      </c>
      <c r="C1" s="2" t="s">
        <v>16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3</v>
      </c>
    </row>
    <row r="2" spans="1:8" ht="20.100000000000001" customHeight="1">
      <c r="A2" s="3" t="s">
        <v>78</v>
      </c>
      <c r="B2">
        <v>38</v>
      </c>
      <c r="C2">
        <v>1</v>
      </c>
      <c r="D2">
        <v>0</v>
      </c>
      <c r="E2">
        <v>4</v>
      </c>
      <c r="F2">
        <v>11</v>
      </c>
      <c r="G2">
        <v>0</v>
      </c>
      <c r="H2">
        <f>SUM(Table3[[#This Row],[Passed]:[Untested]])</f>
        <v>54</v>
      </c>
    </row>
    <row r="3" spans="1:8" ht="20.100000000000001" customHeight="1">
      <c r="A3" s="3" t="s">
        <v>79</v>
      </c>
    </row>
    <row r="4" spans="1:8" ht="20.100000000000001" customHeight="1">
      <c r="A4" s="3" t="s">
        <v>80</v>
      </c>
      <c r="B4">
        <v>43</v>
      </c>
      <c r="C4">
        <v>0</v>
      </c>
      <c r="D4">
        <v>10</v>
      </c>
      <c r="E4">
        <v>0</v>
      </c>
      <c r="F4">
        <v>1</v>
      </c>
      <c r="G4">
        <v>0</v>
      </c>
      <c r="H4">
        <f>SUM(Table3[[#This Row],[Passed]:[Untested]])</f>
        <v>54</v>
      </c>
    </row>
    <row r="5" spans="1:8" ht="20.100000000000001" customHeight="1">
      <c r="A5" s="3" t="s">
        <v>81</v>
      </c>
    </row>
    <row r="6" spans="1:8" ht="20.100000000000001" customHeight="1">
      <c r="A6" s="3" t="s">
        <v>69</v>
      </c>
      <c r="B6">
        <v>58</v>
      </c>
      <c r="C6">
        <v>0</v>
      </c>
      <c r="D6">
        <v>2</v>
      </c>
      <c r="E6">
        <v>2</v>
      </c>
      <c r="F6">
        <v>5</v>
      </c>
      <c r="G6">
        <v>0</v>
      </c>
      <c r="H6">
        <f>SUM(Table3[[#This Row],[Passed]:[Untested]])</f>
        <v>67</v>
      </c>
    </row>
    <row r="7" spans="1:8" ht="20.100000000000001" customHeight="1">
      <c r="A7" s="3" t="s">
        <v>70</v>
      </c>
    </row>
    <row r="8" spans="1:8" ht="20.100000000000001" customHeight="1">
      <c r="A8" s="3" t="s">
        <v>71</v>
      </c>
      <c r="B8">
        <v>76</v>
      </c>
      <c r="C8">
        <v>0</v>
      </c>
      <c r="D8">
        <v>7</v>
      </c>
      <c r="E8">
        <v>5</v>
      </c>
      <c r="F8">
        <v>2</v>
      </c>
      <c r="G8">
        <v>0</v>
      </c>
      <c r="H8">
        <f>SUM(Table3[[#This Row],[Passed]:[Untested]])</f>
        <v>90</v>
      </c>
    </row>
    <row r="9" spans="1:8" ht="20.100000000000001" customHeight="1">
      <c r="A9" s="3" t="s">
        <v>72</v>
      </c>
    </row>
    <row r="10" spans="1:8" ht="20.100000000000001" customHeight="1">
      <c r="A10" s="3" t="s">
        <v>73</v>
      </c>
      <c r="B10">
        <v>121</v>
      </c>
      <c r="C10">
        <v>1</v>
      </c>
      <c r="D10">
        <v>9</v>
      </c>
      <c r="E10">
        <v>10</v>
      </c>
      <c r="F10">
        <v>4</v>
      </c>
      <c r="G10">
        <v>0</v>
      </c>
      <c r="H10">
        <f>SUM(Table3[[#This Row],[Passed]:[Untested]])</f>
        <v>145</v>
      </c>
    </row>
    <row r="11" spans="1:8" ht="20.100000000000001" customHeight="1">
      <c r="A11" s="3" t="s">
        <v>74</v>
      </c>
    </row>
    <row r="12" spans="1:8" ht="20.100000000000001" customHeight="1">
      <c r="A12" s="3" t="s">
        <v>75</v>
      </c>
      <c r="B12">
        <v>148</v>
      </c>
      <c r="C12">
        <v>0</v>
      </c>
      <c r="D12">
        <v>6</v>
      </c>
      <c r="E12">
        <v>3</v>
      </c>
      <c r="F12">
        <v>4</v>
      </c>
      <c r="G12">
        <v>0</v>
      </c>
      <c r="H12">
        <f>SUM(Table3[[#This Row],[Passed]:[Untested]])</f>
        <v>161</v>
      </c>
    </row>
    <row r="13" spans="1:8" ht="20.100000000000001" customHeight="1">
      <c r="A13" s="3" t="s">
        <v>76</v>
      </c>
    </row>
    <row r="14" spans="1:8" ht="20.100000000000001" customHeight="1">
      <c r="A14" s="3" t="s">
        <v>77</v>
      </c>
      <c r="B14" s="10">
        <v>148</v>
      </c>
      <c r="C14" s="10">
        <v>1</v>
      </c>
      <c r="D14" s="10">
        <v>15</v>
      </c>
      <c r="E14" s="10">
        <v>2</v>
      </c>
      <c r="F14" s="10">
        <v>1</v>
      </c>
      <c r="G14" s="10">
        <v>0</v>
      </c>
      <c r="H14" s="11">
        <f>SUM(Table3[[#This Row],[Passed]:[Untested]])</f>
        <v>167</v>
      </c>
    </row>
    <row r="15" spans="1:8" ht="20.100000000000001" customHeight="1">
      <c r="A15" s="3" t="s">
        <v>56</v>
      </c>
      <c r="H15" s="12"/>
    </row>
    <row r="16" spans="1:8" ht="20.100000000000001" customHeight="1">
      <c r="A16" s="3" t="s">
        <v>57</v>
      </c>
      <c r="B16">
        <v>231</v>
      </c>
      <c r="C16">
        <v>3</v>
      </c>
      <c r="D16">
        <v>16</v>
      </c>
      <c r="E16">
        <v>8</v>
      </c>
      <c r="F16">
        <v>1</v>
      </c>
      <c r="G16">
        <v>0</v>
      </c>
      <c r="H16" s="12">
        <f>SUM(Table3[[#This Row],[Passed]:[Untested]])</f>
        <v>259</v>
      </c>
    </row>
    <row r="17" spans="1:8" ht="20.100000000000001" customHeight="1">
      <c r="A17" s="3" t="s">
        <v>58</v>
      </c>
      <c r="H17" s="12"/>
    </row>
    <row r="18" spans="1:8" ht="20.100000000000001" customHeight="1">
      <c r="A18" s="3" t="s">
        <v>59</v>
      </c>
      <c r="B18">
        <v>249</v>
      </c>
      <c r="C18">
        <v>19</v>
      </c>
      <c r="D18">
        <v>8</v>
      </c>
      <c r="E18">
        <v>9</v>
      </c>
      <c r="F18">
        <v>0</v>
      </c>
      <c r="G18">
        <v>0</v>
      </c>
      <c r="H18" s="12">
        <f>SUM(Table3[[#This Row],[Passed]:[Untested]])</f>
        <v>285</v>
      </c>
    </row>
    <row r="19" spans="1:8" ht="20.100000000000001" customHeight="1">
      <c r="A19" s="3" t="s">
        <v>60</v>
      </c>
      <c r="B19">
        <v>155</v>
      </c>
      <c r="C19">
        <v>0</v>
      </c>
      <c r="D19">
        <v>2</v>
      </c>
      <c r="E19">
        <v>5</v>
      </c>
      <c r="F19">
        <v>0</v>
      </c>
      <c r="G19">
        <v>0</v>
      </c>
      <c r="H19" s="12">
        <f>SUM(Table3[[#This Row],[Passed]:[Untested]])</f>
        <v>162</v>
      </c>
    </row>
    <row r="20" spans="1:8" ht="20.100000000000001" customHeight="1">
      <c r="A20" s="3" t="s">
        <v>61</v>
      </c>
      <c r="B20">
        <v>225</v>
      </c>
      <c r="C20">
        <v>1</v>
      </c>
      <c r="D20">
        <v>7</v>
      </c>
      <c r="E20">
        <v>11</v>
      </c>
      <c r="F20">
        <v>2</v>
      </c>
      <c r="G20">
        <v>0</v>
      </c>
      <c r="H20" s="12">
        <f>SUM(Table3[[#This Row],[Passed]:[Untested]])</f>
        <v>246</v>
      </c>
    </row>
    <row r="21" spans="1:8" ht="20.100000000000001" customHeight="1">
      <c r="A21" s="3" t="s">
        <v>62</v>
      </c>
      <c r="B21">
        <v>281</v>
      </c>
      <c r="C21">
        <v>2</v>
      </c>
      <c r="D21">
        <v>10</v>
      </c>
      <c r="E21">
        <v>8</v>
      </c>
      <c r="F21">
        <v>2</v>
      </c>
      <c r="G21">
        <v>0</v>
      </c>
      <c r="H21" s="12">
        <f>SUM(Table3[[#This Row],[Passed]:[Untested]])</f>
        <v>303</v>
      </c>
    </row>
    <row r="22" spans="1:8" ht="20.100000000000001" customHeight="1">
      <c r="A22" s="3" t="s">
        <v>63</v>
      </c>
      <c r="B22">
        <v>291</v>
      </c>
      <c r="C22">
        <v>20</v>
      </c>
      <c r="D22">
        <v>1</v>
      </c>
      <c r="E22">
        <v>16</v>
      </c>
      <c r="F22">
        <v>3</v>
      </c>
      <c r="G22">
        <v>0</v>
      </c>
      <c r="H22" s="12">
        <f>SUM(Table3[[#This Row],[Passed]:[Untested]])</f>
        <v>331</v>
      </c>
    </row>
    <row r="23" spans="1:8" ht="20.100000000000001" customHeight="1">
      <c r="A23" s="3" t="s">
        <v>64</v>
      </c>
      <c r="B23">
        <v>267</v>
      </c>
      <c r="C23">
        <v>0</v>
      </c>
      <c r="D23">
        <v>3</v>
      </c>
      <c r="E23">
        <v>8</v>
      </c>
      <c r="F23">
        <v>1</v>
      </c>
      <c r="G23">
        <v>0</v>
      </c>
      <c r="H23" s="12">
        <f>SUM(Table3[[#This Row],[Passed]:[Untested]])</f>
        <v>279</v>
      </c>
    </row>
    <row r="24" spans="1:8" ht="20.100000000000001" customHeight="1">
      <c r="A24" s="3" t="s">
        <v>65</v>
      </c>
      <c r="B24">
        <v>343</v>
      </c>
      <c r="C24">
        <v>0</v>
      </c>
      <c r="D24">
        <v>8</v>
      </c>
      <c r="E24">
        <v>7</v>
      </c>
      <c r="F24">
        <v>4</v>
      </c>
      <c r="G24">
        <v>0</v>
      </c>
      <c r="H24" s="12">
        <f>SUM(Table3[[#This Row],[Passed]:[Untested]])</f>
        <v>362</v>
      </c>
    </row>
    <row r="25" spans="1:8" ht="20.100000000000001" customHeight="1">
      <c r="A25" s="3" t="s">
        <v>66</v>
      </c>
      <c r="B25">
        <v>351</v>
      </c>
      <c r="C25">
        <v>3</v>
      </c>
      <c r="D25">
        <v>8</v>
      </c>
      <c r="E25">
        <v>1</v>
      </c>
      <c r="F25">
        <v>15</v>
      </c>
      <c r="G25">
        <v>0</v>
      </c>
      <c r="H25" s="12">
        <f>SUM(Table3[[#This Row],[Passed]:[Untested]])</f>
        <v>378</v>
      </c>
    </row>
    <row r="26" spans="1:8" ht="20.100000000000001" customHeight="1">
      <c r="A26" s="3" t="s">
        <v>67</v>
      </c>
      <c r="B26">
        <v>142</v>
      </c>
      <c r="C26">
        <v>0</v>
      </c>
      <c r="D26">
        <v>0</v>
      </c>
      <c r="E26">
        <v>0</v>
      </c>
      <c r="F26">
        <v>6</v>
      </c>
      <c r="G26">
        <v>0</v>
      </c>
      <c r="H26" s="12">
        <f>SUM(Table3[[#This Row],[Passed]:[Untested]])</f>
        <v>148</v>
      </c>
    </row>
    <row r="27" spans="1:8" ht="20.100000000000001" customHeight="1">
      <c r="A27" s="3" t="s">
        <v>55</v>
      </c>
      <c r="B27">
        <v>442</v>
      </c>
      <c r="C27">
        <v>8</v>
      </c>
      <c r="D27">
        <v>10</v>
      </c>
      <c r="E27">
        <v>1</v>
      </c>
      <c r="F27">
        <v>16</v>
      </c>
      <c r="G27">
        <v>0</v>
      </c>
      <c r="H27" s="12">
        <f>SUM(Table3[[#This Row],[Passed]:[Untested]])</f>
        <v>477</v>
      </c>
    </row>
    <row r="28" spans="1:8" ht="20.100000000000001" customHeight="1">
      <c r="A28" s="3" t="s">
        <v>68</v>
      </c>
      <c r="B28">
        <v>518</v>
      </c>
      <c r="C28">
        <v>4</v>
      </c>
      <c r="D28">
        <v>9</v>
      </c>
      <c r="E28">
        <v>8</v>
      </c>
      <c r="F28">
        <v>3</v>
      </c>
      <c r="G28">
        <v>0</v>
      </c>
      <c r="H28" s="12">
        <f>SUM(B28:G28)</f>
        <v>542</v>
      </c>
    </row>
    <row r="29" spans="1:8" ht="20.100000000000001" customHeight="1">
      <c r="A29" s="3" t="s">
        <v>83</v>
      </c>
      <c r="B29">
        <v>636</v>
      </c>
      <c r="C29">
        <v>3</v>
      </c>
      <c r="D29">
        <v>4</v>
      </c>
      <c r="E29">
        <v>2</v>
      </c>
      <c r="F29">
        <v>5</v>
      </c>
      <c r="G29">
        <v>0</v>
      </c>
      <c r="H29" s="12">
        <f>SUM(Table3[[#This Row],[Passed]:[Untested]])</f>
        <v>650</v>
      </c>
    </row>
    <row r="30" spans="1:8" ht="20.100000000000001" customHeight="1">
      <c r="A30" s="3" t="s">
        <v>84</v>
      </c>
      <c r="B30">
        <v>436</v>
      </c>
      <c r="C30">
        <v>4</v>
      </c>
      <c r="D30">
        <v>4</v>
      </c>
      <c r="E30">
        <v>13</v>
      </c>
      <c r="F30">
        <v>7</v>
      </c>
      <c r="G30">
        <v>0</v>
      </c>
      <c r="H30" s="12">
        <f>SUM(Table3[[#This Row],[Passed]:[Untested]])</f>
        <v>464</v>
      </c>
    </row>
    <row r="31" spans="1:8" ht="20.100000000000001" customHeight="1">
      <c r="A31" s="3" t="s">
        <v>89</v>
      </c>
      <c r="B31">
        <v>171</v>
      </c>
      <c r="C31">
        <v>6</v>
      </c>
      <c r="D31">
        <v>0</v>
      </c>
      <c r="E31">
        <v>1</v>
      </c>
      <c r="F31">
        <v>6</v>
      </c>
      <c r="G31">
        <v>0</v>
      </c>
      <c r="H31" s="12">
        <f>SUM(Table3[[#This Row],[Passed]:[Untested]])</f>
        <v>184</v>
      </c>
    </row>
    <row r="32" spans="1:8" ht="20.100000000000001" customHeight="1">
      <c r="A32" s="3" t="s">
        <v>90</v>
      </c>
      <c r="B32">
        <v>723</v>
      </c>
      <c r="C32">
        <v>12</v>
      </c>
      <c r="D32">
        <v>3</v>
      </c>
      <c r="E32">
        <v>7</v>
      </c>
      <c r="F32">
        <v>8</v>
      </c>
      <c r="G32">
        <v>0</v>
      </c>
      <c r="H32" s="12">
        <f>SUM(Table3[[#This Row],[Passed]:[Untested]])</f>
        <v>753</v>
      </c>
    </row>
    <row r="33" spans="1:8" ht="20.100000000000001" customHeight="1">
      <c r="A33" s="3" t="s">
        <v>92</v>
      </c>
      <c r="B33">
        <v>687</v>
      </c>
      <c r="C33">
        <v>1</v>
      </c>
      <c r="D33">
        <v>1</v>
      </c>
      <c r="E33">
        <v>3</v>
      </c>
      <c r="F33">
        <v>12</v>
      </c>
      <c r="G33">
        <v>0</v>
      </c>
      <c r="H33" s="12">
        <f>SUM(Table3[[#This Row],[Passed]:[Untested]])</f>
        <v>704</v>
      </c>
    </row>
    <row r="34" spans="1:8" ht="20.100000000000001" customHeight="1">
      <c r="A34" s="3" t="s">
        <v>91</v>
      </c>
      <c r="B34">
        <v>218</v>
      </c>
      <c r="C34">
        <v>0</v>
      </c>
      <c r="D34">
        <v>0</v>
      </c>
      <c r="E34">
        <v>0</v>
      </c>
      <c r="F34">
        <v>0</v>
      </c>
      <c r="G34">
        <v>0</v>
      </c>
      <c r="H34" s="12">
        <f>SUM(Table3[[#This Row],[Passed]:[Untested]])</f>
        <v>218</v>
      </c>
    </row>
    <row r="35" spans="1:8" ht="20.100000000000001" customHeight="1">
      <c r="A35" s="3" t="s">
        <v>100</v>
      </c>
      <c r="B35">
        <v>694</v>
      </c>
      <c r="C35">
        <v>0</v>
      </c>
      <c r="D35">
        <v>2</v>
      </c>
      <c r="E35">
        <v>0</v>
      </c>
      <c r="F35">
        <v>7</v>
      </c>
      <c r="G35">
        <v>0</v>
      </c>
      <c r="H35" s="12">
        <f>SUM(Table3[[#This Row],[Passed]:[Untested]])</f>
        <v>703</v>
      </c>
    </row>
    <row r="36" spans="1:8" ht="20.100000000000001" customHeight="1">
      <c r="A36" s="3" t="s">
        <v>102</v>
      </c>
      <c r="B36">
        <v>0</v>
      </c>
      <c r="C36">
        <v>0</v>
      </c>
      <c r="D36">
        <v>0</v>
      </c>
      <c r="E36">
        <v>0</v>
      </c>
      <c r="F36">
        <v>0</v>
      </c>
      <c r="G36">
        <v>485</v>
      </c>
      <c r="H36" s="12">
        <f>SUM(Table3[[#This Row],[Passed]:[Untested]])</f>
        <v>485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79DB4-6EC1-E840-9DE9-46C117A6F960}">
  <dimension ref="A1:H22"/>
  <sheetViews>
    <sheetView zoomScaleNormal="100" workbookViewId="0">
      <selection activeCell="J16" sqref="J16"/>
    </sheetView>
  </sheetViews>
  <sheetFormatPr defaultColWidth="11.5546875" defaultRowHeight="15"/>
  <cols>
    <col min="1" max="1" width="10.6640625" customWidth="1"/>
    <col min="2" max="2" width="15.77734375" customWidth="1"/>
    <col min="3" max="4" width="17.21875" customWidth="1"/>
    <col min="5" max="5" width="15.88671875" customWidth="1"/>
    <col min="6" max="6" width="16.88671875" customWidth="1"/>
    <col min="7" max="7" width="14.33203125" customWidth="1"/>
    <col min="8" max="8" width="15.44140625" customWidth="1"/>
  </cols>
  <sheetData>
    <row r="1" spans="1:8">
      <c r="A1" t="s">
        <v>21</v>
      </c>
      <c r="B1" s="3" t="s">
        <v>18</v>
      </c>
      <c r="C1" s="3" t="s">
        <v>35</v>
      </c>
      <c r="D1" s="3" t="s">
        <v>17</v>
      </c>
      <c r="E1" s="3" t="s">
        <v>38</v>
      </c>
      <c r="F1" s="3" t="s">
        <v>39</v>
      </c>
      <c r="G1" s="3" t="s">
        <v>1</v>
      </c>
      <c r="H1" s="3" t="s">
        <v>3</v>
      </c>
    </row>
    <row r="2" spans="1:8">
      <c r="A2" t="s">
        <v>19</v>
      </c>
      <c r="B2">
        <v>9</v>
      </c>
      <c r="C2">
        <v>0</v>
      </c>
      <c r="D2">
        <v>0</v>
      </c>
      <c r="E2">
        <v>0</v>
      </c>
      <c r="F2">
        <v>0</v>
      </c>
      <c r="G2">
        <v>66</v>
      </c>
      <c r="H2">
        <f>SUM(Table7[[#This Row],[To Do]:[Done]])</f>
        <v>75</v>
      </c>
    </row>
    <row r="3" spans="1:8">
      <c r="A3" t="s">
        <v>20</v>
      </c>
      <c r="B3">
        <v>4</v>
      </c>
      <c r="C3">
        <v>0</v>
      </c>
      <c r="D3">
        <v>0</v>
      </c>
      <c r="E3">
        <v>0</v>
      </c>
      <c r="F3">
        <v>0</v>
      </c>
      <c r="G3">
        <v>48</v>
      </c>
      <c r="H3">
        <f>SUM(Table7[[#This Row],[To Do]:[Done]])</f>
        <v>52</v>
      </c>
    </row>
    <row r="4" spans="1:8">
      <c r="A4" t="s">
        <v>4</v>
      </c>
      <c r="B4">
        <v>14</v>
      </c>
      <c r="C4">
        <v>0</v>
      </c>
      <c r="D4">
        <v>1</v>
      </c>
      <c r="E4">
        <v>0</v>
      </c>
      <c r="F4">
        <v>0</v>
      </c>
      <c r="G4">
        <v>46</v>
      </c>
      <c r="H4">
        <f>SUM(Table7[[#This Row],[To Do]:[Done]])</f>
        <v>61</v>
      </c>
    </row>
    <row r="5" spans="1:8">
      <c r="A5" t="s">
        <v>5</v>
      </c>
      <c r="B5">
        <v>14</v>
      </c>
      <c r="C5">
        <v>0</v>
      </c>
      <c r="D5">
        <v>1</v>
      </c>
      <c r="E5">
        <v>0</v>
      </c>
      <c r="F5">
        <v>0</v>
      </c>
      <c r="G5">
        <v>34</v>
      </c>
      <c r="H5">
        <f>SUM(Table7[[#This Row],[To Do]:[Done]])</f>
        <v>49</v>
      </c>
    </row>
    <row r="6" spans="1:8">
      <c r="A6" t="s">
        <v>6</v>
      </c>
      <c r="B6">
        <v>15</v>
      </c>
      <c r="C6">
        <v>0</v>
      </c>
      <c r="D6">
        <v>0</v>
      </c>
      <c r="E6">
        <v>0</v>
      </c>
      <c r="F6">
        <v>0</v>
      </c>
      <c r="G6">
        <v>25</v>
      </c>
      <c r="H6">
        <f>SUM(Table7[[#This Row],[To Do]:[Done]])</f>
        <v>40</v>
      </c>
    </row>
    <row r="7" spans="1:8">
      <c r="A7" t="s">
        <v>7</v>
      </c>
      <c r="B7">
        <v>12</v>
      </c>
      <c r="C7">
        <v>0</v>
      </c>
      <c r="D7">
        <v>0</v>
      </c>
      <c r="E7">
        <v>0</v>
      </c>
      <c r="F7">
        <v>0</v>
      </c>
      <c r="G7">
        <v>56</v>
      </c>
      <c r="H7">
        <f>SUM(Table7[[#This Row],[To Do]:[Done]])</f>
        <v>68</v>
      </c>
    </row>
    <row r="8" spans="1:8">
      <c r="A8" t="s">
        <v>8</v>
      </c>
      <c r="B8">
        <v>8</v>
      </c>
      <c r="C8">
        <v>0</v>
      </c>
      <c r="D8">
        <v>0</v>
      </c>
      <c r="E8">
        <v>0</v>
      </c>
      <c r="F8">
        <v>0</v>
      </c>
      <c r="G8">
        <v>40</v>
      </c>
      <c r="H8">
        <f>SUM(Table7[[#This Row],[To Do]:[Done]])</f>
        <v>48</v>
      </c>
    </row>
    <row r="9" spans="1:8">
      <c r="A9" t="s">
        <v>9</v>
      </c>
      <c r="B9">
        <v>6</v>
      </c>
      <c r="C9">
        <v>0</v>
      </c>
      <c r="D9">
        <v>0</v>
      </c>
      <c r="E9">
        <v>0</v>
      </c>
      <c r="F9">
        <v>0</v>
      </c>
      <c r="G9">
        <v>33</v>
      </c>
      <c r="H9">
        <f>SUM(Table7[[#This Row],[To Do]:[Done]])</f>
        <v>39</v>
      </c>
    </row>
    <row r="10" spans="1:8">
      <c r="A10" t="s">
        <v>10</v>
      </c>
      <c r="B10">
        <v>7</v>
      </c>
      <c r="C10">
        <v>1</v>
      </c>
      <c r="D10">
        <v>0</v>
      </c>
      <c r="E10">
        <v>0</v>
      </c>
      <c r="F10">
        <v>0</v>
      </c>
      <c r="G10">
        <v>29</v>
      </c>
      <c r="H10">
        <f>SUM(Table7[[#This Row],[To Do]:[Done]])</f>
        <v>37</v>
      </c>
    </row>
    <row r="11" spans="1:8">
      <c r="A11" t="s">
        <v>37</v>
      </c>
      <c r="B11">
        <v>1</v>
      </c>
      <c r="C11">
        <v>0</v>
      </c>
      <c r="D11">
        <v>0</v>
      </c>
      <c r="E11">
        <v>0</v>
      </c>
      <c r="F11">
        <v>0</v>
      </c>
      <c r="G11">
        <v>1</v>
      </c>
      <c r="H11">
        <f>SUM(Table7[[#This Row],[To Do]:[Done]])</f>
        <v>2</v>
      </c>
    </row>
    <row r="12" spans="1:8">
      <c r="A12" t="s">
        <v>42</v>
      </c>
      <c r="B12">
        <v>12</v>
      </c>
      <c r="C12">
        <v>0</v>
      </c>
      <c r="D12">
        <v>0</v>
      </c>
      <c r="E12">
        <v>0</v>
      </c>
      <c r="F12">
        <v>0</v>
      </c>
      <c r="G12">
        <v>9</v>
      </c>
      <c r="H12">
        <f>SUM(Table7[[#This Row],[To Do]:[Done]])</f>
        <v>21</v>
      </c>
    </row>
    <row r="13" spans="1:8">
      <c r="A13" t="s">
        <v>43</v>
      </c>
      <c r="B13">
        <v>0</v>
      </c>
      <c r="C13">
        <v>0</v>
      </c>
      <c r="D13">
        <v>0</v>
      </c>
      <c r="E13">
        <v>0</v>
      </c>
      <c r="F13">
        <v>0</v>
      </c>
      <c r="G13">
        <v>12</v>
      </c>
      <c r="H13">
        <f>SUM(Table7[[#This Row],[To Do]:[Done]])</f>
        <v>12</v>
      </c>
    </row>
    <row r="14" spans="1:8">
      <c r="A14" t="s">
        <v>46</v>
      </c>
      <c r="B14">
        <v>2</v>
      </c>
      <c r="C14">
        <v>0</v>
      </c>
      <c r="D14">
        <v>0</v>
      </c>
      <c r="E14">
        <v>0</v>
      </c>
      <c r="F14">
        <v>0</v>
      </c>
      <c r="G14">
        <v>9</v>
      </c>
      <c r="H14">
        <f>SUM(Table7[[#This Row],[To Do]:[Done]])</f>
        <v>11</v>
      </c>
    </row>
    <row r="15" spans="1:8">
      <c r="A15" t="s">
        <v>47</v>
      </c>
      <c r="B15">
        <v>11</v>
      </c>
      <c r="C15">
        <v>0</v>
      </c>
      <c r="D15">
        <v>0</v>
      </c>
      <c r="E15">
        <v>0</v>
      </c>
      <c r="F15">
        <v>0</v>
      </c>
      <c r="G15">
        <v>40</v>
      </c>
      <c r="H15">
        <f>SUM(Table7[[#This Row],[To Do]:[Done]])</f>
        <v>51</v>
      </c>
    </row>
    <row r="16" spans="1:8">
      <c r="A16" t="s">
        <v>49</v>
      </c>
      <c r="B16">
        <v>0</v>
      </c>
      <c r="C16">
        <v>0</v>
      </c>
      <c r="D16">
        <v>0</v>
      </c>
      <c r="E16">
        <v>0</v>
      </c>
      <c r="F16">
        <v>0</v>
      </c>
      <c r="G16">
        <v>38</v>
      </c>
      <c r="H16">
        <f>SUM(Table7[[#This Row],[To Do]:[Done]])</f>
        <v>38</v>
      </c>
    </row>
    <row r="17" spans="1:8">
      <c r="A17" t="s">
        <v>52</v>
      </c>
      <c r="B17">
        <v>6</v>
      </c>
      <c r="C17">
        <v>1</v>
      </c>
      <c r="D17">
        <v>0</v>
      </c>
      <c r="E17">
        <v>0</v>
      </c>
      <c r="F17">
        <v>0</v>
      </c>
      <c r="G17">
        <v>35</v>
      </c>
      <c r="H17">
        <f>SUM(Table7[[#This Row],[To Do]:[Done]])</f>
        <v>42</v>
      </c>
    </row>
    <row r="18" spans="1:8">
      <c r="A18" t="s">
        <v>53</v>
      </c>
      <c r="B18">
        <v>3</v>
      </c>
      <c r="C18">
        <v>0</v>
      </c>
      <c r="D18">
        <v>0</v>
      </c>
      <c r="E18">
        <v>0</v>
      </c>
      <c r="F18">
        <v>0</v>
      </c>
      <c r="G18">
        <v>18</v>
      </c>
      <c r="H18">
        <f>SUM(Table7[[#This Row],[To Do]:[Done]])</f>
        <v>21</v>
      </c>
    </row>
    <row r="19" spans="1:8">
      <c r="A19" t="s">
        <v>82</v>
      </c>
      <c r="B19">
        <v>0</v>
      </c>
      <c r="C19">
        <v>0</v>
      </c>
      <c r="D19">
        <v>0</v>
      </c>
      <c r="E19">
        <v>0</v>
      </c>
      <c r="F19">
        <v>0</v>
      </c>
      <c r="G19">
        <v>12</v>
      </c>
      <c r="H19">
        <f>SUM(Table7[[#This Row],[To Do]:[Done]])</f>
        <v>12</v>
      </c>
    </row>
    <row r="20" spans="1:8">
      <c r="A20" t="s">
        <v>86</v>
      </c>
      <c r="B20">
        <v>1</v>
      </c>
      <c r="C20">
        <v>0</v>
      </c>
      <c r="D20">
        <v>0</v>
      </c>
      <c r="E20">
        <v>0</v>
      </c>
      <c r="F20">
        <v>0</v>
      </c>
      <c r="G20">
        <v>8</v>
      </c>
      <c r="H20">
        <f>SUM(Table7[[#This Row],[To Do]:[Done]])</f>
        <v>9</v>
      </c>
    </row>
    <row r="21" spans="1:8">
      <c r="A21" t="s">
        <v>87</v>
      </c>
      <c r="B21">
        <v>3</v>
      </c>
      <c r="C21">
        <v>0</v>
      </c>
      <c r="D21">
        <v>0</v>
      </c>
      <c r="E21">
        <v>0</v>
      </c>
      <c r="F21">
        <v>0</v>
      </c>
      <c r="G21">
        <v>8</v>
      </c>
      <c r="H21">
        <f>SUM(Table7[[#This Row],[To Do]:[Done]])</f>
        <v>11</v>
      </c>
    </row>
    <row r="22" spans="1:8">
      <c r="A22" t="s">
        <v>93</v>
      </c>
      <c r="B22">
        <v>8</v>
      </c>
      <c r="C22">
        <v>0</v>
      </c>
      <c r="D22">
        <v>0</v>
      </c>
      <c r="E22">
        <v>5</v>
      </c>
      <c r="F22">
        <v>0</v>
      </c>
      <c r="G22">
        <v>17</v>
      </c>
      <c r="H22" s="12">
        <f>SUM(Table7[[#This Row],[To Do]:[Done]])</f>
        <v>30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87DEB-55FC-DC4E-A4B1-F7171B8F3237}">
  <dimension ref="A1:I21"/>
  <sheetViews>
    <sheetView zoomScaleNormal="100" workbookViewId="0">
      <selection activeCell="J19" sqref="J19"/>
    </sheetView>
  </sheetViews>
  <sheetFormatPr defaultColWidth="11.5546875" defaultRowHeight="15"/>
  <cols>
    <col min="1" max="1" width="11.21875" customWidth="1"/>
    <col min="2" max="2" width="18.44140625" customWidth="1"/>
    <col min="3" max="3" width="23.21875" customWidth="1"/>
    <col min="4" max="4" width="23.109375" customWidth="1"/>
    <col min="5" max="5" width="18.109375" customWidth="1"/>
    <col min="6" max="6" width="29.33203125" customWidth="1"/>
    <col min="7" max="8" width="20.109375" customWidth="1"/>
    <col min="9" max="9" width="14.21875" customWidth="1"/>
  </cols>
  <sheetData>
    <row r="1" spans="1:9" ht="21" thickBot="1">
      <c r="A1" s="6" t="s">
        <v>22</v>
      </c>
      <c r="B1" s="7" t="s">
        <v>23</v>
      </c>
      <c r="C1" s="7" t="s">
        <v>27</v>
      </c>
      <c r="D1" s="7" t="s">
        <v>40</v>
      </c>
      <c r="E1" s="7" t="s">
        <v>25</v>
      </c>
      <c r="F1" s="7" t="s">
        <v>54</v>
      </c>
      <c r="G1" s="7" t="s">
        <v>24</v>
      </c>
      <c r="H1" s="8" t="s">
        <v>26</v>
      </c>
      <c r="I1" s="9" t="s">
        <v>3</v>
      </c>
    </row>
    <row r="2" spans="1:9" ht="18" thickBot="1">
      <c r="A2" s="4" t="s">
        <v>99</v>
      </c>
      <c r="B2" s="5">
        <v>27</v>
      </c>
      <c r="C2" s="5">
        <v>0</v>
      </c>
      <c r="D2" s="5">
        <v>0</v>
      </c>
      <c r="E2" s="5">
        <v>1</v>
      </c>
      <c r="F2" s="5">
        <v>0</v>
      </c>
      <c r="G2" s="5">
        <v>5</v>
      </c>
      <c r="H2" s="5">
        <v>3</v>
      </c>
      <c r="I2" s="15">
        <f>SUM(Table5[[#This Row],[To Do (0%)]:[WON''T DO (100%)]])</f>
        <v>36</v>
      </c>
    </row>
    <row r="3" spans="1:9" ht="18" thickBot="1">
      <c r="A3" s="4" t="s">
        <v>28</v>
      </c>
      <c r="B3" s="5">
        <v>1</v>
      </c>
      <c r="C3" s="5">
        <v>0</v>
      </c>
      <c r="D3" s="5">
        <v>0</v>
      </c>
      <c r="E3" s="5">
        <v>0</v>
      </c>
      <c r="F3" s="5">
        <v>0</v>
      </c>
      <c r="G3" s="5">
        <v>39</v>
      </c>
      <c r="H3" s="5">
        <v>6</v>
      </c>
      <c r="I3" s="5">
        <f>SUM(Table5[[#This Row],[To Do (0%)]:[WON''T DO (100%)]])</f>
        <v>46</v>
      </c>
    </row>
    <row r="4" spans="1:9" ht="18" thickBot="1">
      <c r="A4" s="4" t="s">
        <v>29</v>
      </c>
      <c r="B4" s="5">
        <v>1</v>
      </c>
      <c r="C4" s="5">
        <v>0</v>
      </c>
      <c r="D4" s="5">
        <v>0</v>
      </c>
      <c r="E4" s="5">
        <v>0</v>
      </c>
      <c r="F4" s="5">
        <v>0</v>
      </c>
      <c r="G4" s="5">
        <v>45</v>
      </c>
      <c r="H4" s="5">
        <v>7</v>
      </c>
      <c r="I4" s="5">
        <f>SUM(Table5[[#This Row],[To Do (0%)]:[WON''T DO (100%)]])</f>
        <v>53</v>
      </c>
    </row>
    <row r="5" spans="1:9" ht="18" thickBot="1">
      <c r="A5" s="4" t="s">
        <v>30</v>
      </c>
      <c r="B5" s="5">
        <v>1</v>
      </c>
      <c r="C5" s="5">
        <v>0</v>
      </c>
      <c r="D5" s="5">
        <v>0</v>
      </c>
      <c r="E5" s="5">
        <v>0</v>
      </c>
      <c r="F5" s="5">
        <v>0</v>
      </c>
      <c r="G5" s="5">
        <v>18</v>
      </c>
      <c r="H5" s="5">
        <v>1</v>
      </c>
      <c r="I5" s="5">
        <f>SUM(Table5[[#This Row],[To Do (0%)]:[WON''T DO (100%)]])</f>
        <v>20</v>
      </c>
    </row>
    <row r="6" spans="1:9" ht="18" thickBot="1">
      <c r="A6" s="4" t="s">
        <v>31</v>
      </c>
      <c r="B6" s="5">
        <v>3</v>
      </c>
      <c r="C6" s="5">
        <v>0</v>
      </c>
      <c r="D6" s="5">
        <v>0</v>
      </c>
      <c r="E6" s="5">
        <v>0</v>
      </c>
      <c r="F6" s="5">
        <v>0</v>
      </c>
      <c r="G6" s="5">
        <v>25</v>
      </c>
      <c r="H6" s="5">
        <v>4</v>
      </c>
      <c r="I6" s="5">
        <f>SUM(Table5[[#This Row],[To Do (0%)]:[WON''T DO (100%)]])</f>
        <v>32</v>
      </c>
    </row>
    <row r="7" spans="1:9" ht="18" thickBot="1">
      <c r="A7" s="4" t="s">
        <v>33</v>
      </c>
      <c r="B7" s="5">
        <v>3</v>
      </c>
      <c r="C7" s="5">
        <v>0</v>
      </c>
      <c r="D7" s="5">
        <v>0</v>
      </c>
      <c r="E7" s="5">
        <v>0</v>
      </c>
      <c r="F7" s="5">
        <v>0</v>
      </c>
      <c r="G7" s="5">
        <v>45</v>
      </c>
      <c r="H7" s="5">
        <v>5</v>
      </c>
      <c r="I7" s="5">
        <f>SUM(Table5[[#This Row],[To Do (0%)]:[WON''T DO (100%)]])</f>
        <v>53</v>
      </c>
    </row>
    <row r="8" spans="1:9" ht="18" thickBot="1">
      <c r="A8" s="4" t="s">
        <v>34</v>
      </c>
      <c r="B8" s="5">
        <v>0</v>
      </c>
      <c r="C8" s="5">
        <v>0</v>
      </c>
      <c r="D8" s="5">
        <v>0</v>
      </c>
      <c r="E8" s="5">
        <v>0</v>
      </c>
      <c r="F8" s="5">
        <v>0</v>
      </c>
      <c r="G8" s="5">
        <v>24</v>
      </c>
      <c r="H8" s="5">
        <v>1</v>
      </c>
      <c r="I8" s="5">
        <f>SUM(Table5[[#This Row],[To Do (0%)]:[WON''T DO (100%)]])</f>
        <v>25</v>
      </c>
    </row>
    <row r="9" spans="1:9" ht="18" thickBot="1">
      <c r="A9" s="4" t="s">
        <v>41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43</v>
      </c>
      <c r="H9" s="5">
        <v>0</v>
      </c>
      <c r="I9" s="5">
        <f>SUM(Table5[[#This Row],[To Do (0%)]:[WON''T DO (100%)]])</f>
        <v>43</v>
      </c>
    </row>
    <row r="10" spans="1:9" ht="18" thickBot="1">
      <c r="A10" s="4" t="s">
        <v>44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35</v>
      </c>
      <c r="H10" s="5">
        <v>0</v>
      </c>
      <c r="I10" s="5">
        <f>SUM(Table5[[#This Row],[To Do (0%)]:[WON''T DO (100%)]])</f>
        <v>35</v>
      </c>
    </row>
    <row r="11" spans="1:9" ht="18" thickBot="1">
      <c r="A11" s="4" t="s">
        <v>45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29</v>
      </c>
      <c r="H11" s="5">
        <v>0</v>
      </c>
      <c r="I11" s="5">
        <f>SUM(Table5[[#This Row],[To Do (0%)]:[WON''T DO (100%)]])</f>
        <v>29</v>
      </c>
    </row>
    <row r="12" spans="1:9" ht="18" thickBot="1">
      <c r="A12" s="4" t="s">
        <v>48</v>
      </c>
      <c r="B12" s="5">
        <v>3</v>
      </c>
      <c r="C12" s="5">
        <v>0</v>
      </c>
      <c r="D12" s="5">
        <v>0</v>
      </c>
      <c r="E12" s="5">
        <v>0</v>
      </c>
      <c r="F12" s="5">
        <v>0</v>
      </c>
      <c r="G12" s="5">
        <v>40</v>
      </c>
      <c r="H12" s="5">
        <v>1</v>
      </c>
      <c r="I12" s="5">
        <f>SUM(Table5[[#This Row],[To Do (0%)]:[WON''T DO (100%)]])</f>
        <v>44</v>
      </c>
    </row>
    <row r="13" spans="1:9" ht="18" thickBot="1">
      <c r="A13" s="4" t="s">
        <v>50</v>
      </c>
      <c r="B13" s="5">
        <v>3</v>
      </c>
      <c r="C13" s="5">
        <v>0</v>
      </c>
      <c r="D13" s="5">
        <v>0</v>
      </c>
      <c r="E13" s="5">
        <v>0</v>
      </c>
      <c r="F13" s="5">
        <v>0</v>
      </c>
      <c r="G13" s="5">
        <v>32</v>
      </c>
      <c r="H13" s="5">
        <v>1</v>
      </c>
      <c r="I13" s="5">
        <f>SUM(Table5[[#This Row],[To Do (0%)]:[WON''T DO (100%)]])</f>
        <v>36</v>
      </c>
    </row>
    <row r="14" spans="1:9" ht="18" thickBot="1">
      <c r="A14" s="4" t="s">
        <v>51</v>
      </c>
      <c r="B14" s="5">
        <v>4</v>
      </c>
      <c r="C14" s="5">
        <v>0</v>
      </c>
      <c r="D14" s="5">
        <v>0</v>
      </c>
      <c r="E14" s="5">
        <v>0</v>
      </c>
      <c r="F14" s="5">
        <v>0</v>
      </c>
      <c r="G14" s="5">
        <v>31</v>
      </c>
      <c r="H14" s="5">
        <v>1</v>
      </c>
      <c r="I14" s="5">
        <f>SUM(Table5[[#This Row],[To Do (0%)]:[WON''T DO (100%)]])</f>
        <v>36</v>
      </c>
    </row>
    <row r="15" spans="1:9" ht="18" thickBot="1">
      <c r="A15" s="4" t="s">
        <v>94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31</v>
      </c>
      <c r="H15" s="5">
        <v>0</v>
      </c>
      <c r="I15" s="5">
        <f>SUM(Table5[[#This Row],[To Do (0%)]:[WON''T DO (100%)]])</f>
        <v>31</v>
      </c>
    </row>
    <row r="16" spans="1:9" ht="18" thickBot="1">
      <c r="A16" s="4" t="s">
        <v>95</v>
      </c>
      <c r="B16" s="5">
        <v>1</v>
      </c>
      <c r="C16" s="5">
        <v>0</v>
      </c>
      <c r="D16" s="5">
        <v>0</v>
      </c>
      <c r="E16" s="5">
        <v>0</v>
      </c>
      <c r="F16" s="5">
        <v>0</v>
      </c>
      <c r="G16" s="5">
        <v>33</v>
      </c>
      <c r="H16" s="5">
        <v>2</v>
      </c>
      <c r="I16" s="5">
        <f>SUM(Table5[[#This Row],[To Do (0%)]:[WON''T DO (100%)]])</f>
        <v>36</v>
      </c>
    </row>
    <row r="17" spans="1:9" ht="18" thickBot="1">
      <c r="A17" s="4" t="s">
        <v>96</v>
      </c>
      <c r="B17" s="5">
        <v>4</v>
      </c>
      <c r="C17" s="5">
        <v>0</v>
      </c>
      <c r="D17" s="5">
        <v>0</v>
      </c>
      <c r="E17" s="5">
        <v>0</v>
      </c>
      <c r="F17" s="5">
        <v>0</v>
      </c>
      <c r="G17" s="5">
        <v>28</v>
      </c>
      <c r="H17" s="5">
        <v>5</v>
      </c>
      <c r="I17" s="15">
        <f>SUM(Table5[[#This Row],[To Do (0%)]:[WON''T DO (100%)]])</f>
        <v>37</v>
      </c>
    </row>
    <row r="18" spans="1:9" ht="18" thickBot="1">
      <c r="A18" s="4" t="s">
        <v>97</v>
      </c>
      <c r="B18" s="5">
        <v>3</v>
      </c>
      <c r="C18" s="5">
        <v>1</v>
      </c>
      <c r="D18" s="5">
        <v>0</v>
      </c>
      <c r="E18" s="5">
        <v>0</v>
      </c>
      <c r="F18" s="5">
        <v>0</v>
      </c>
      <c r="G18" s="5">
        <v>14</v>
      </c>
      <c r="H18" s="5">
        <v>8</v>
      </c>
      <c r="I18" s="5">
        <f>SUM(Table5[[#This Row],[To Do (0%)]:[WON''T DO (100%)]])</f>
        <v>26</v>
      </c>
    </row>
    <row r="19" spans="1:9" ht="18" thickBot="1">
      <c r="A19" s="4" t="s">
        <v>88</v>
      </c>
      <c r="B19" s="5">
        <v>2</v>
      </c>
      <c r="C19" s="5">
        <v>1</v>
      </c>
      <c r="D19" s="5">
        <v>0</v>
      </c>
      <c r="E19" s="5">
        <v>0</v>
      </c>
      <c r="F19" s="5">
        <v>1</v>
      </c>
      <c r="G19" s="5">
        <v>13</v>
      </c>
      <c r="H19" s="5">
        <v>10</v>
      </c>
      <c r="I19" s="15">
        <f>SUM(Table5[[#This Row],[To Do (0%)]:[WON''T DO (100%)]])</f>
        <v>27</v>
      </c>
    </row>
    <row r="20" spans="1:9" ht="18" thickBot="1">
      <c r="A20" s="4" t="s">
        <v>98</v>
      </c>
      <c r="B20" s="5">
        <v>11</v>
      </c>
      <c r="C20" s="5">
        <v>2</v>
      </c>
      <c r="D20" s="5">
        <v>0</v>
      </c>
      <c r="E20" s="5">
        <v>3</v>
      </c>
      <c r="F20" s="5">
        <v>1</v>
      </c>
      <c r="G20" s="5">
        <v>6</v>
      </c>
      <c r="H20" s="5">
        <v>1</v>
      </c>
      <c r="I20" s="15">
        <f>SUM(Table5[[#This Row],[To Do (0%)]:[WON''T DO (100%)]])</f>
        <v>24</v>
      </c>
    </row>
    <row r="21" spans="1:9" ht="18" thickBot="1">
      <c r="A21" s="4" t="s">
        <v>101</v>
      </c>
      <c r="B21" s="5">
        <v>2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15">
        <f>SUM(Table5[[#This Row],[To Do (0%)]:[WON''T DO (100%)]])</f>
        <v>2</v>
      </c>
    </row>
  </sheetData>
  <phoneticPr fontId="1" type="noConversion"/>
  <hyperlinks>
    <hyperlink ref="B3" r:id="rId1" display="https://xrspace.atlassian.net/issues/?jql=created+%3E%3D+2025-02-01+AND+created+%3C%3D+2026-12-31+AND+type+%3D+Bug+AND+project+%3D+SOVA+AND+Sprint+%3D+2157+AND+status+%3D+%22To+Do+%280%25%29%22" xr:uid="{50E9E599-5CFD-41ED-A8D8-46BAA4D3EED4}"/>
    <hyperlink ref="D3" r:id="rId2" display="https://xrspace.atlassian.net/issues/?jql=created+%3E%3D+2025-02-01+AND+created+%3C%3D+2026-12-31+AND+type+%3D+Bug+AND+project+%3D+SOVA+AND+Sprint+%3D+2157+AND+status+%3D+%22In+Progress+%2850+%7E+70%25%29%22" xr:uid="{B85C9760-0D11-4AB9-A49A-614DF0C6073C}"/>
    <hyperlink ref="G3" r:id="rId3" display="https://xrspace.atlassian.net/issues/?jql=created+%3E%3D+2025-02-01+AND+created+%3C%3D+2026-12-31+AND+type+%3D+Bug+AND+project+%3D+SOVA+AND+Sprint+%3D+2157+AND+status+%3D+%22Done+%28100%25%29%22" xr:uid="{6FEA474A-7B4A-4C76-AD08-43D1060B41E5}"/>
    <hyperlink ref="E3" r:id="rId4" display="https://xrspace.atlassian.net/issues/?jql=created+%3E%3D+2025-02-01+AND+created+%3C%3D+2026-12-31+AND+type+%3D+Bug+AND+project+%3D+SOVA+AND+Sprint+%3D+2157+AND+status+%3D+%22IN+REVIEW+%2880%25%29%22" xr:uid="{24388256-2CE2-41F4-89B2-EDAC12E6A5B7}"/>
    <hyperlink ref="H3" r:id="rId5" display="https://xrspace.atlassian.net/issues/?jql=created+%3E%3D+2025-02-01+AND+created+%3C%3D+2026-12-31+AND+type+%3D+Bug+AND+project+%3D+SOVA+AND+Sprint+%3D+2157+AND+status+%3D+%22WON%27T+DO+%28100%25%29%22" xr:uid="{4E124E69-02C5-4ECA-A84C-83D564342A01}"/>
    <hyperlink ref="C3" r:id="rId6" display="https://xrspace.atlassian.net/issues/?jql=created+%3E%3D+2025-02-01+AND+created+%3C%3D+2026-12-31+AND+type+%3D+Bug+AND+project+%3D+SOVA+AND+Sprint+%3D+2157+AND+status+%3D+%22STARTING+%2810+%7E+40%25%29%22" xr:uid="{285A6FE9-2F08-4A03-B9B1-70B41F6A395C}"/>
    <hyperlink ref="F3" r:id="rId7" display="https://xrspace.atlassian.net/issues/?jql=created+%3E%3D+2025-02-01+AND+created+%3C%3D+2026-12-31+AND+type+%3D+Bug+AND+project+%3D+SOVA+AND+Sprint+%3D+2157+AND+status+%3D+%22READY+FOR+TESTING+%2890%25%29%22" xr:uid="{C9A5ACB7-3D99-47D3-92FD-A714B5C26045}"/>
    <hyperlink ref="B4" r:id="rId8" display="https://xrspace.atlassian.net/issues/?jql=created+%3E%3D+2025-02-01+AND+created+%3C%3D+2026-12-31+AND+type+%3D+Bug+AND+project+%3D+SOVA+AND+Sprint+%3D+2618+AND+status+%3D+%22To+Do+%280%25%29%22" xr:uid="{C5F045C4-E6F9-48B4-BAA6-BAE040424DB9}"/>
    <hyperlink ref="D4" r:id="rId9" display="https://xrspace.atlassian.net/issues/?jql=created+%3E%3D+2025-02-01+AND+created+%3C%3D+2026-12-31+AND+type+%3D+Bug+AND+project+%3D+SOVA+AND+Sprint+%3D+2618+AND+status+%3D+%22In+Progress+%2850+%7E+70%25%29%22" xr:uid="{6C2EB921-2738-422B-92F3-CF12BBF1F0C3}"/>
    <hyperlink ref="G4" r:id="rId10" display="https://xrspace.atlassian.net/issues/?jql=created+%3E%3D+2025-02-01+AND+created+%3C%3D+2026-12-31+AND+type+%3D+Bug+AND+project+%3D+SOVA+AND+Sprint+%3D+2618+AND+status+%3D+%22Done+%28100%25%29%22" xr:uid="{E2449A45-7BAD-4D06-9AB2-9055A249B81E}"/>
    <hyperlink ref="E4" r:id="rId11" display="https://xrspace.atlassian.net/issues/?jql=created+%3E%3D+2025-02-01+AND+created+%3C%3D+2026-12-31+AND+type+%3D+Bug+AND+project+%3D+SOVA+AND+Sprint+%3D+2618+AND+status+%3D+%22IN+REVIEW+%2880%25%29%22" xr:uid="{193FB45E-30D3-4846-AF00-7ED73B5DCC57}"/>
    <hyperlink ref="H4" r:id="rId12" display="https://xrspace.atlassian.net/issues/?jql=created+%3E%3D+2025-02-01+AND+created+%3C%3D+2026-12-31+AND+type+%3D+Bug+AND+project+%3D+SOVA+AND+Sprint+%3D+2618+AND+status+%3D+%22WON%27T+DO+%28100%25%29%22" xr:uid="{FCBEB0DB-7057-4CE2-8924-F2B730EFC628}"/>
    <hyperlink ref="C4" r:id="rId13" display="https://xrspace.atlassian.net/issues/?jql=created+%3E%3D+2025-02-01+AND+created+%3C%3D+2026-12-31+AND+type+%3D+Bug+AND+project+%3D+SOVA+AND+Sprint+%3D+2618+AND+status+%3D+%22STARTING+%2810+%7E+40%25%29%22" xr:uid="{0FD026F5-97BA-45FB-B37A-06EC8AC37D85}"/>
    <hyperlink ref="F4" r:id="rId14" display="https://xrspace.atlassian.net/issues/?jql=created+%3E%3D+2025-02-01+AND+created+%3C%3D+2026-12-31+AND+type+%3D+Bug+AND+project+%3D+SOVA+AND+Sprint+%3D+2618+AND+status+%3D+%22READY+FOR+TESTING+%2890%25%29%22" xr:uid="{F0F2108D-02DD-413E-ACBA-D339BAF7FF84}"/>
    <hyperlink ref="B5" r:id="rId15" display="https://xrspace.atlassian.net/issues/?jql=created+%3E%3D+2025-02-01+AND+created+%3C%3D+2026-12-31+AND+type+%3D+Bug+AND+project+%3D+SOVA+AND+Sprint+%3D+2619+AND+status+%3D+%22To+Do+%280%25%29%22" xr:uid="{BAE147B3-6135-4835-9298-AED303B172E4}"/>
    <hyperlink ref="D5" r:id="rId16" display="https://xrspace.atlassian.net/issues/?jql=created+%3E%3D+2025-02-01+AND+created+%3C%3D+2026-12-31+AND+type+%3D+Bug+AND+project+%3D+SOVA+AND+Sprint+%3D+2619+AND+status+%3D+%22In+Progress+%2850+%7E+70%25%29%22" xr:uid="{EE7B98F1-C0E3-4264-AC7D-A16A3D8E5F94}"/>
    <hyperlink ref="G5" r:id="rId17" display="https://xrspace.atlassian.net/issues/?jql=created+%3E%3D+2025-02-01+AND+created+%3C%3D+2026-12-31+AND+type+%3D+Bug+AND+project+%3D+SOVA+AND+Sprint+%3D+2619+AND+status+%3D+%22Done+%28100%25%29%22" xr:uid="{259B2BFC-6F02-46C2-A0CB-7B33AB87C85B}"/>
    <hyperlink ref="E5" r:id="rId18" display="https://xrspace.atlassian.net/issues/?jql=created+%3E%3D+2025-02-01+AND+created+%3C%3D+2026-12-31+AND+type+%3D+Bug+AND+project+%3D+SOVA+AND+Sprint+%3D+2619+AND+status+%3D+%22IN+REVIEW+%2880%25%29%22" xr:uid="{14A9F5CA-4728-4539-9A46-13F94CD97BC7}"/>
    <hyperlink ref="H5" r:id="rId19" display="https://xrspace.atlassian.net/issues/?jql=created+%3E%3D+2025-02-01+AND+created+%3C%3D+2026-12-31+AND+type+%3D+Bug+AND+project+%3D+SOVA+AND+Sprint+%3D+2619+AND+status+%3D+%22WON%27T+DO+%28100%25%29%22" xr:uid="{540817AA-E0DE-4BDA-A7C0-27EF137F7909}"/>
    <hyperlink ref="C5" r:id="rId20" display="https://xrspace.atlassian.net/issues/?jql=created+%3E%3D+2025-02-01+AND+created+%3C%3D+2026-12-31+AND+type+%3D+Bug+AND+project+%3D+SOVA+AND+Sprint+%3D+2619+AND+status+%3D+%22STARTING+%2810+%7E+40%25%29%22" xr:uid="{9AE2D00F-179D-4717-9C69-DB85BE9D4115}"/>
    <hyperlink ref="F5" r:id="rId21" display="https://xrspace.atlassian.net/issues/?jql=created+%3E%3D+2025-02-01+AND+created+%3C%3D+2026-12-31+AND+type+%3D+Bug+AND+project+%3D+SOVA+AND+Sprint+%3D+2619+AND+status+%3D+%22READY+FOR+TESTING+%2890%25%29%22" xr:uid="{F13274C3-DA0C-4090-85C2-9102BAE4E720}"/>
    <hyperlink ref="B6" r:id="rId22" display="https://xrspace.atlassian.net/issues/?jql=created+%3E%3D+2025-02-01+AND+created+%3C%3D+2026-12-31+AND+type+%3D+Bug+AND+project+%3D+SOVA+AND+Sprint+%3D+2882+AND+status+%3D+%22To+Do+%280%25%29%22" xr:uid="{3BF89A95-47F3-4297-8608-23A45AF8CD66}"/>
    <hyperlink ref="D6" r:id="rId23" display="https://xrspace.atlassian.net/issues/?jql=created+%3E%3D+2025-02-01+AND+created+%3C%3D+2026-12-31+AND+type+%3D+Bug+AND+project+%3D+SOVA+AND+Sprint+%3D+2882+AND+status+%3D+%22In+Progress+%2850+%7E+70%25%29%22" xr:uid="{6C8DE154-29D5-45CB-9A9F-3D1F9489C57D}"/>
    <hyperlink ref="G6" r:id="rId24" display="https://xrspace.atlassian.net/issues/?jql=created+%3E%3D+2025-02-01+AND+created+%3C%3D+2026-12-31+AND+type+%3D+Bug+AND+project+%3D+SOVA+AND+Sprint+%3D+2882+AND+status+%3D+%22Done+%28100%25%29%22" xr:uid="{6FC914FE-CC82-4C10-A06B-E1F421C7C3D4}"/>
    <hyperlink ref="E6" r:id="rId25" display="https://xrspace.atlassian.net/issues/?jql=created+%3E%3D+2025-02-01+AND+created+%3C%3D+2026-12-31+AND+type+%3D+Bug+AND+project+%3D+SOVA+AND+Sprint+%3D+2882+AND+status+%3D+%22IN+REVIEW+%2880%25%29%22" xr:uid="{4AB47F5D-6B13-4A18-AF18-E8848284F481}"/>
    <hyperlink ref="H6" r:id="rId26" display="https://xrspace.atlassian.net/issues/?jql=created+%3E%3D+2025-02-01+AND+created+%3C%3D+2026-12-31+AND+type+%3D+Bug+AND+project+%3D+SOVA+AND+Sprint+%3D+2882+AND+status+%3D+%22WON%27T+DO+%28100%25%29%22" xr:uid="{0857D33E-F367-42D5-9F4B-6BF43AB3A68A}"/>
    <hyperlink ref="C6" r:id="rId27" display="https://xrspace.atlassian.net/issues/?jql=created+%3E%3D+2025-02-01+AND+created+%3C%3D+2026-12-31+AND+type+%3D+Bug+AND+project+%3D+SOVA+AND+Sprint+%3D+2882+AND+status+%3D+%22STARTING+%2810+%7E+40%25%29%22" xr:uid="{7DD744D9-DAE6-48A5-B83D-529C1C75F4C1}"/>
    <hyperlink ref="F6" r:id="rId28" display="https://xrspace.atlassian.net/issues/?jql=created+%3E%3D+2025-02-01+AND+created+%3C%3D+2026-12-31+AND+type+%3D+Bug+AND+project+%3D+SOVA+AND+Sprint+%3D+2882+AND+status+%3D+%22READY+FOR+TESTING+%2890%25%29%22" xr:uid="{70664B76-5365-44C1-827C-EC11AF155614}"/>
    <hyperlink ref="B7" r:id="rId29" display="https://xrspace.atlassian.net/issues/?jql=created+%3E%3D+2025-02-01+AND+created+%3C%3D+2026-12-31+AND+type+%3D+Bug+AND+project+%3D+SOVA+AND+Sprint+%3D+3213+AND+status+%3D+%22To+Do+%280%25%29%22" xr:uid="{5AC8F9BC-F082-4484-9D6D-782FCE2545E6}"/>
    <hyperlink ref="D7" r:id="rId30" display="https://xrspace.atlassian.net/issues/?jql=created+%3E%3D+2025-02-01+AND+created+%3C%3D+2026-12-31+AND+type+%3D+Bug+AND+project+%3D+SOVA+AND+Sprint+%3D+3213+AND+status+%3D+%22In+Progress+%2850+%7E+70%25%29%22" xr:uid="{2776D09D-0B06-4D38-B8F6-B77270C946F5}"/>
    <hyperlink ref="G7" r:id="rId31" display="https://xrspace.atlassian.net/issues/?jql=created+%3E%3D+2025-02-01+AND+created+%3C%3D+2026-12-31+AND+type+%3D+Bug+AND+project+%3D+SOVA+AND+Sprint+%3D+3213+AND+status+%3D+%22Done+%28100%25%29%22" xr:uid="{DA7FF8E9-877C-4E73-830D-73673B565842}"/>
    <hyperlink ref="E7" r:id="rId32" display="https://xrspace.atlassian.net/issues/?jql=created+%3E%3D+2025-02-01+AND+created+%3C%3D+2026-12-31+AND+type+%3D+Bug+AND+project+%3D+SOVA+AND+Sprint+%3D+3213+AND+status+%3D+%22IN+REVIEW+%2880%25%29%22" xr:uid="{A69FF9DB-A1AD-4A53-A4F3-4483742FE87E}"/>
    <hyperlink ref="H7" r:id="rId33" display="https://xrspace.atlassian.net/issues/?jql=created+%3E%3D+2025-02-01+AND+created+%3C%3D+2026-12-31+AND+type+%3D+Bug+AND+project+%3D+SOVA+AND+Sprint+%3D+3213+AND+status+%3D+%22WON%27T+DO+%28100%25%29%22" xr:uid="{67D337DC-8B4E-41A0-97B3-2901CDC61DE4}"/>
    <hyperlink ref="C7" r:id="rId34" display="https://xrspace.atlassian.net/issues/?jql=created+%3E%3D+2025-02-01+AND+created+%3C%3D+2026-12-31+AND+type+%3D+Bug+AND+project+%3D+SOVA+AND+Sprint+%3D+3213+AND+status+%3D+%22STARTING+%2810+%7E+40%25%29%22" xr:uid="{61A66B1D-DD4A-4DB1-97B8-E489484A7702}"/>
    <hyperlink ref="F7" r:id="rId35" display="https://xrspace.atlassian.net/issues/?jql=created+%3E%3D+2025-02-01+AND+created+%3C%3D+2026-12-31+AND+type+%3D+Bug+AND+project+%3D+SOVA+AND+Sprint+%3D+3213+AND+status+%3D+%22READY+FOR+TESTING+%2890%25%29%22" xr:uid="{20AC0E6C-DE89-43F9-95EA-F521180501A9}"/>
    <hyperlink ref="B8" r:id="rId36" display="https://xrspace.atlassian.net/issues/?jql=created+%3E%3D+2025-02-01+AND+created+%3C%3D+2026-12-31+AND+type+%3D+Bug+AND+project+%3D+SOVA+AND+Sprint+%3D+3245+AND+status+%3D+%22To+Do+%280%25%29%22" xr:uid="{0840AA83-8E57-4A4D-B1F0-002D987D9FA7}"/>
    <hyperlink ref="D8" r:id="rId37" display="https://xrspace.atlassian.net/issues/?jql=created+%3E%3D+2025-02-01+AND+created+%3C%3D+2026-12-31+AND+type+%3D+Bug+AND+project+%3D+SOVA+AND+Sprint+%3D+3245+AND+status+%3D+%22In+Progress+%2850+%7E+70%25%29%22" xr:uid="{0E7FAA92-E325-47E4-906D-9ED8ECF898AB}"/>
    <hyperlink ref="G8" r:id="rId38" display="https://xrspace.atlassian.net/issues/?jql=created+%3E%3D+2025-02-01+AND+created+%3C%3D+2026-12-31+AND+type+%3D+Bug+AND+project+%3D+SOVA+AND+Sprint+%3D+3245+AND+status+%3D+%22Done+%28100%25%29%22" xr:uid="{312DEF36-A151-4D11-8A05-705B5AED5519}"/>
    <hyperlink ref="E8" r:id="rId39" display="https://xrspace.atlassian.net/issues/?jql=created+%3E%3D+2025-02-01+AND+created+%3C%3D+2026-12-31+AND+type+%3D+Bug+AND+project+%3D+SOVA+AND+Sprint+%3D+3245+AND+status+%3D+%22IN+REVIEW+%2880%25%29%22" xr:uid="{64F1067D-74DF-46BE-A310-8866B1C9768C}"/>
    <hyperlink ref="H8" r:id="rId40" display="https://xrspace.atlassian.net/issues/?jql=created+%3E%3D+2025-02-01+AND+created+%3C%3D+2026-12-31+AND+type+%3D+Bug+AND+project+%3D+SOVA+AND+Sprint+%3D+3245+AND+status+%3D+%22WON%27T+DO+%28100%25%29%22" xr:uid="{DEFBFB8B-FDC0-4E81-AA50-73315C288026}"/>
    <hyperlink ref="C8" r:id="rId41" display="https://xrspace.atlassian.net/issues/?jql=created+%3E%3D+2025-02-01+AND+created+%3C%3D+2026-12-31+AND+type+%3D+Bug+AND+project+%3D+SOVA+AND+Sprint+%3D+3245+AND+status+%3D+%22STARTING+%2810+%7E+40%25%29%22" xr:uid="{9C4C3E17-5C69-4DBF-9484-A8D64CE2ADCB}"/>
    <hyperlink ref="F8" r:id="rId42" display="https://xrspace.atlassian.net/issues/?jql=created+%3E%3D+2025-02-01+AND+created+%3C%3D+2026-12-31+AND+type+%3D+Bug+AND+project+%3D+SOVA+AND+Sprint+%3D+3245+AND+status+%3D+%22READY+FOR+TESTING+%2890%25%29%22" xr:uid="{BA77CA9F-4B32-43C6-94F8-D9411E9D7F4D}"/>
    <hyperlink ref="B9" r:id="rId43" display="https://xrspace.atlassian.net/issues/?jql=created+%3E%3D+2025-02-01+AND+created+%3C%3D+2026-12-31+AND+type+%3D+Bug+AND+project+%3D+SOVA+AND+Sprint+%3D+3246+AND+status+%3D+%22To+Do+%280%25%29%22" xr:uid="{5B65AEB4-D6BE-40CA-91F1-CD49DDDDD18F}"/>
    <hyperlink ref="D9" r:id="rId44" display="https://xrspace.atlassian.net/issues/?jql=created+%3E%3D+2025-02-01+AND+created+%3C%3D+2026-12-31+AND+type+%3D+Bug+AND+project+%3D+SOVA+AND+Sprint+%3D+3246+AND+status+%3D+%22In+Progress+%2850+%7E+70%25%29%22" xr:uid="{90B7FBF8-74E8-424B-AC98-5F883A4D407D}"/>
    <hyperlink ref="G9" r:id="rId45" display="https://xrspace.atlassian.net/issues/?jql=created+%3E%3D+2025-02-01+AND+created+%3C%3D+2026-12-31+AND+type+%3D+Bug+AND+project+%3D+SOVA+AND+Sprint+%3D+3246+AND+status+%3D+%22Done+%28100%25%29%22" xr:uid="{39348141-46B4-4FC0-85C6-4B117D8D031B}"/>
    <hyperlink ref="E9" r:id="rId46" display="https://xrspace.atlassian.net/issues/?jql=created+%3E%3D+2025-02-01+AND+created+%3C%3D+2026-12-31+AND+type+%3D+Bug+AND+project+%3D+SOVA+AND+Sprint+%3D+3246+AND+status+%3D+%22IN+REVIEW+%2880%25%29%22" xr:uid="{12D6C63A-617A-406C-AB14-567FD23400A1}"/>
    <hyperlink ref="H9" r:id="rId47" display="https://xrspace.atlassian.net/issues/?jql=created+%3E%3D+2025-02-01+AND+created+%3C%3D+2026-12-31+AND+type+%3D+Bug+AND+project+%3D+SOVA+AND+Sprint+%3D+3246+AND+status+%3D+%22WON%27T+DO+%28100%25%29%22" xr:uid="{7AEF2B43-9EBE-4071-B54A-E5962991B758}"/>
    <hyperlink ref="C9" r:id="rId48" display="https://xrspace.atlassian.net/issues/?jql=created+%3E%3D+2025-02-01+AND+created+%3C%3D+2026-12-31+AND+type+%3D+Bug+AND+project+%3D+SOVA+AND+Sprint+%3D+3246+AND+status+%3D+%22STARTING+%2810+%7E+40%25%29%22" xr:uid="{E0494D17-DC11-4A05-A7BA-7CCAC2CB8A00}"/>
    <hyperlink ref="F9" r:id="rId49" display="https://xrspace.atlassian.net/issues/?jql=created+%3E%3D+2025-02-01+AND+created+%3C%3D+2026-12-31+AND+type+%3D+Bug+AND+project+%3D+SOVA+AND+Sprint+%3D+3246+AND+status+%3D+%22READY+FOR+TESTING+%2890%25%29%22" xr:uid="{48944CC3-6116-4FFB-8E86-0078E51147A1}"/>
    <hyperlink ref="B10" r:id="rId50" display="https://xrspace.atlassian.net/issues/?jql=created+%3E%3D+2025-02-01+AND+created+%3C%3D+2026-12-31+AND+type+%3D+Bug+AND+project+%3D+SOVA+AND+Sprint+%3D+3575+AND+status+%3D+%22To+Do+%280%25%29%22" xr:uid="{06C3C4A1-9B97-4B72-9816-F483E79F0CB3}"/>
    <hyperlink ref="D10" r:id="rId51" display="https://xrspace.atlassian.net/issues/?jql=created+%3E%3D+2025-02-01+AND+created+%3C%3D+2026-12-31+AND+type+%3D+Bug+AND+project+%3D+SOVA+AND+Sprint+%3D+3575+AND+status+%3D+%22In+Progress+%2850+%7E+70%25%29%22" xr:uid="{586E5A66-DF99-4CAE-9533-435C08189A2E}"/>
    <hyperlink ref="G10" r:id="rId52" display="https://xrspace.atlassian.net/issues/?jql=created+%3E%3D+2025-02-01+AND+created+%3C%3D+2026-12-31+AND+type+%3D+Bug+AND+project+%3D+SOVA+AND+Sprint+%3D+3575+AND+status+%3D+%22Done+%28100%25%29%22" xr:uid="{439F45B9-4DDE-4686-8035-EF2E7BD5AE72}"/>
    <hyperlink ref="E10" r:id="rId53" display="https://xrspace.atlassian.net/issues/?jql=created+%3E%3D+2025-02-01+AND+created+%3C%3D+2026-12-31+AND+type+%3D+Bug+AND+project+%3D+SOVA+AND+Sprint+%3D+3575+AND+status+%3D+%22IN+REVIEW+%2880%25%29%22" xr:uid="{EFB687B8-3182-4384-AFBB-6698E0A7DBE8}"/>
    <hyperlink ref="H10" r:id="rId54" display="https://xrspace.atlassian.net/issues/?jql=created+%3E%3D+2025-02-01+AND+created+%3C%3D+2026-12-31+AND+type+%3D+Bug+AND+project+%3D+SOVA+AND+Sprint+%3D+3575+AND+status+%3D+%22WON%27T+DO+%28100%25%29%22" xr:uid="{6BED7F43-81E4-4D7F-A0EF-5E1F0654785A}"/>
    <hyperlink ref="C10" r:id="rId55" display="https://xrspace.atlassian.net/issues/?jql=created+%3E%3D+2025-02-01+AND+created+%3C%3D+2026-12-31+AND+type+%3D+Bug+AND+project+%3D+SOVA+AND+Sprint+%3D+3575+AND+status+%3D+%22STARTING+%2810+%7E+40%25%29%22" xr:uid="{B87355AB-18E9-4526-839F-2443A9E4F791}"/>
    <hyperlink ref="F10" r:id="rId56" display="https://xrspace.atlassian.net/issues/?jql=created+%3E%3D+2025-02-01+AND+created+%3C%3D+2026-12-31+AND+type+%3D+Bug+AND+project+%3D+SOVA+AND+Sprint+%3D+3575+AND+status+%3D+%22READY+FOR+TESTING+%2890%25%29%22" xr:uid="{4974306B-1FB2-40A2-B528-E08427347F75}"/>
    <hyperlink ref="B11" r:id="rId57" display="https://xrspace.atlassian.net/issues/?jql=created+%3E%3D+2025-02-01+AND+created+%3C%3D+2026-12-31+AND+type+%3D+Bug+AND+project+%3D+SOVA+AND+Sprint+%3D+3608+AND+status+%3D+%22To+Do+%280%25%29%22" xr:uid="{8B6D3979-3ADB-47A9-AD1C-B7684DEF197B}"/>
    <hyperlink ref="D11" r:id="rId58" display="https://xrspace.atlassian.net/issues/?jql=created+%3E%3D+2025-02-01+AND+created+%3C%3D+2026-12-31+AND+type+%3D+Bug+AND+project+%3D+SOVA+AND+Sprint+%3D+3608+AND+status+%3D+%22In+Progress+%2850+%7E+70%25%29%22" xr:uid="{C4942774-4AC1-4BC5-B0BD-38FE65AD1002}"/>
    <hyperlink ref="G11" r:id="rId59" display="https://xrspace.atlassian.net/issues/?jql=created+%3E%3D+2025-02-01+AND+created+%3C%3D+2026-12-31+AND+type+%3D+Bug+AND+project+%3D+SOVA+AND+Sprint+%3D+3608+AND+status+%3D+%22Done+%28100%25%29%22" xr:uid="{D5C6CE63-27AA-4459-92D7-3775CEE155D8}"/>
    <hyperlink ref="E11" r:id="rId60" display="https://xrspace.atlassian.net/issues/?jql=created+%3E%3D+2025-02-01+AND+created+%3C%3D+2026-12-31+AND+type+%3D+Bug+AND+project+%3D+SOVA+AND+Sprint+%3D+3608+AND+status+%3D+%22IN+REVIEW+%2880%25%29%22" xr:uid="{4F72E7AF-C15C-482B-A87D-D97595B91C08}"/>
    <hyperlink ref="H11" r:id="rId61" display="https://xrspace.atlassian.net/issues/?jql=created+%3E%3D+2025-02-01+AND+created+%3C%3D+2026-12-31+AND+type+%3D+Bug+AND+project+%3D+SOVA+AND+Sprint+%3D+3608+AND+status+%3D+%22WON%27T+DO+%28100%25%29%22" xr:uid="{D0B8122E-382B-4AA7-8A9D-FEF4F63FBB66}"/>
    <hyperlink ref="C11" r:id="rId62" display="https://xrspace.atlassian.net/issues/?jql=created+%3E%3D+2025-02-01+AND+created+%3C%3D+2026-12-31+AND+type+%3D+Bug+AND+project+%3D+SOVA+AND+Sprint+%3D+3608+AND+status+%3D+%22STARTING+%2810+%7E+40%25%29%22" xr:uid="{F7505046-BB14-4F1A-A123-AACCF4617212}"/>
    <hyperlink ref="F11" r:id="rId63" display="https://xrspace.atlassian.net/issues/?jql=created+%3E%3D+2025-02-01+AND+created+%3C%3D+2026-12-31+AND+type+%3D+Bug+AND+project+%3D+SOVA+AND+Sprint+%3D+3608+AND+status+%3D+%22READY+FOR+TESTING+%2890%25%29%22" xr:uid="{3040BE3B-A157-49B9-8D4C-EB86201C31E3}"/>
    <hyperlink ref="B12" r:id="rId64" display="https://xrspace.atlassian.net/issues/?jql=created+%3E%3D+2025-02-01+AND+created+%3C%3D+2026-12-31+AND+type+%3D+Bug+AND+project+%3D+SOVA+AND+Sprint+%3D+3872+AND+status+%3D+%22To+Do+%280%25%29%22" xr:uid="{C8BA4C83-95BA-4559-B932-F5A1056BD98B}"/>
    <hyperlink ref="D12" r:id="rId65" display="https://xrspace.atlassian.net/issues/?jql=created+%3E%3D+2025-02-01+AND+created+%3C%3D+2026-12-31+AND+type+%3D+Bug+AND+project+%3D+SOVA+AND+Sprint+%3D+3872+AND+status+%3D+%22In+Progress+%2850+%7E+70%25%29%22" xr:uid="{55C40183-53E5-4D85-953F-8B7DD1399FCE}"/>
    <hyperlink ref="G12" r:id="rId66" display="https://xrspace.atlassian.net/issues/?jql=created+%3E%3D+2025-02-01+AND+created+%3C%3D+2026-12-31+AND+type+%3D+Bug+AND+project+%3D+SOVA+AND+Sprint+%3D+3872+AND+status+%3D+%22Done+%28100%25%29%22" xr:uid="{73F43BB0-87E4-42B4-BA24-7E7BAF28F54F}"/>
    <hyperlink ref="E12" r:id="rId67" display="https://xrspace.atlassian.net/issues/?jql=created+%3E%3D+2025-02-01+AND+created+%3C%3D+2026-12-31+AND+type+%3D+Bug+AND+project+%3D+SOVA+AND+Sprint+%3D+3872+AND+status+%3D+%22IN+REVIEW+%2880%25%29%22" xr:uid="{D8D2B8F9-E738-4017-84CB-6687778196FB}"/>
    <hyperlink ref="H12" r:id="rId68" display="https://xrspace.atlassian.net/issues/?jql=created+%3E%3D+2025-02-01+AND+created+%3C%3D+2026-12-31+AND+type+%3D+Bug+AND+project+%3D+SOVA+AND+Sprint+%3D+3872+AND+status+%3D+%22WON%27T+DO+%28100%25%29%22" xr:uid="{23BB84CE-DBD1-4A60-B53E-09D40446D792}"/>
    <hyperlink ref="C12" r:id="rId69" display="https://xrspace.atlassian.net/issues/?jql=created+%3E%3D+2025-02-01+AND+created+%3C%3D+2026-12-31+AND+type+%3D+Bug+AND+project+%3D+SOVA+AND+Sprint+%3D+3872+AND+status+%3D+%22STARTING+%2810+%7E+40%25%29%22" xr:uid="{CB44B879-42F3-46D0-8BC8-9AD1DF99B5BA}"/>
    <hyperlink ref="F12" r:id="rId70" display="https://xrspace.atlassian.net/issues/?jql=created+%3E%3D+2025-02-01+AND+created+%3C%3D+2026-12-31+AND+type+%3D+Bug+AND+project+%3D+SOVA+AND+Sprint+%3D+3872+AND+status+%3D+%22READY+FOR+TESTING+%2890%25%29%22" xr:uid="{666B4B5C-0195-4886-9E45-AD2F30A82E22}"/>
    <hyperlink ref="B13" r:id="rId71" display="https://xrspace.atlassian.net/issues/?jql=created+%3E%3D+2025-02-01+AND+created+%3C%3D+2026-12-31+AND+type+%3D+Bug+AND+project+%3D+SOVA+AND+Sprint+%3D+3873+AND+status+%3D+%22To+Do+%280%25%29%22" xr:uid="{B15C9641-34E7-4FEF-80FC-945CB20D306B}"/>
    <hyperlink ref="D13" r:id="rId72" display="https://xrspace.atlassian.net/issues/?jql=created+%3E%3D+2025-02-01+AND+created+%3C%3D+2026-12-31+AND+type+%3D+Bug+AND+project+%3D+SOVA+AND+Sprint+%3D+3873+AND+status+%3D+%22In+Progress+%2850+%7E+70%25%29%22" xr:uid="{7474072E-B419-414F-B836-EF86FC926568}"/>
    <hyperlink ref="G13" r:id="rId73" display="https://xrspace.atlassian.net/issues/?jql=created+%3E%3D+2025-02-01+AND+created+%3C%3D+2026-12-31+AND+type+%3D+Bug+AND+project+%3D+SOVA+AND+Sprint+%3D+3873+AND+status+%3D+%22Done+%28100%25%29%22" xr:uid="{CDE67AEC-2EBA-455C-9EE2-1CDBEA32B9E5}"/>
    <hyperlink ref="E13" r:id="rId74" display="https://xrspace.atlassian.net/issues/?jql=created+%3E%3D+2025-02-01+AND+created+%3C%3D+2026-12-31+AND+type+%3D+Bug+AND+project+%3D+SOVA+AND+Sprint+%3D+3873+AND+status+%3D+%22IN+REVIEW+%2880%25%29%22" xr:uid="{6C5FF922-60C7-421E-81FC-614F9ACB99B4}"/>
    <hyperlink ref="H13" r:id="rId75" display="https://xrspace.atlassian.net/issues/?jql=created+%3E%3D+2025-02-01+AND+created+%3C%3D+2026-12-31+AND+type+%3D+Bug+AND+project+%3D+SOVA+AND+Sprint+%3D+3873+AND+status+%3D+%22WON%27T+DO+%28100%25%29%22" xr:uid="{57289B00-7025-4349-A08A-1B9747230DB7}"/>
    <hyperlink ref="C13" r:id="rId76" display="https://xrspace.atlassian.net/issues/?jql=created+%3E%3D+2025-02-01+AND+created+%3C%3D+2026-12-31+AND+type+%3D+Bug+AND+project+%3D+SOVA+AND+Sprint+%3D+3873+AND+status+%3D+%22STARTING+%2810+%7E+40%25%29%22" xr:uid="{D1457DEF-57B2-4572-9C4E-23D8AD7DC39C}"/>
    <hyperlink ref="F13" r:id="rId77" display="https://xrspace.atlassian.net/issues/?jql=created+%3E%3D+2025-02-01+AND+created+%3C%3D+2026-12-31+AND+type+%3D+Bug+AND+project+%3D+SOVA+AND+Sprint+%3D+3873+AND+status+%3D+%22READY+FOR+TESTING+%2890%25%29%22" xr:uid="{3B3DA548-22F9-4032-ABA1-15941CD12FEE}"/>
    <hyperlink ref="B14" r:id="rId78" display="https://xrspace.atlassian.net/issues/?jql=created+%3E%3D+2025-02-01+AND+created+%3C%3D+2026-12-31+AND+type+%3D+Bug+AND+project+%3D+SOVA+AND+Sprint+%3D+4140+AND+status+%3D+%22To+Do+%280%25%29%22" xr:uid="{F670E5A0-5FE6-4FEC-906C-3B872544AF26}"/>
    <hyperlink ref="D14" r:id="rId79" display="https://xrspace.atlassian.net/issues/?jql=created+%3E%3D+2025-02-01+AND+created+%3C%3D+2026-12-31+AND+type+%3D+Bug+AND+project+%3D+SOVA+AND+Sprint+%3D+4140+AND+status+%3D+%22In+Progress+%2850+%7E+70%25%29%22" xr:uid="{BE4AA068-1D4D-492C-98F8-5EA30EE6CAE7}"/>
    <hyperlink ref="G14" r:id="rId80" display="https://xrspace.atlassian.net/issues/?jql=created+%3E%3D+2025-02-01+AND+created+%3C%3D+2026-12-31+AND+type+%3D+Bug+AND+project+%3D+SOVA+AND+Sprint+%3D+4140+AND+status+%3D+%22Done+%28100%25%29%22" xr:uid="{AAB95841-B793-4805-82B5-FC4380E78149}"/>
    <hyperlink ref="E14" r:id="rId81" display="https://xrspace.atlassian.net/issues/?jql=created+%3E%3D+2025-02-01+AND+created+%3C%3D+2026-12-31+AND+type+%3D+Bug+AND+project+%3D+SOVA+AND+Sprint+%3D+4140+AND+status+%3D+%22IN+REVIEW+%2880%25%29%22" xr:uid="{3215996B-1CC9-4DCF-83A2-DE991845EACD}"/>
    <hyperlink ref="H14" r:id="rId82" display="https://xrspace.atlassian.net/issues/?jql=created+%3E%3D+2025-02-01+AND+created+%3C%3D+2026-12-31+AND+type+%3D+Bug+AND+project+%3D+SOVA+AND+Sprint+%3D+4140+AND+status+%3D+%22WON%27T+DO+%28100%25%29%22" xr:uid="{FEE0B498-158F-42B5-9162-413DEB62E762}"/>
    <hyperlink ref="C14" r:id="rId83" display="https://xrspace.atlassian.net/issues/?jql=created+%3E%3D+2025-02-01+AND+created+%3C%3D+2026-12-31+AND+type+%3D+Bug+AND+project+%3D+SOVA+AND+Sprint+%3D+4140+AND+status+%3D+%22STARTING+%2810+%7E+40%25%29%22" xr:uid="{B2947B98-5E81-4613-8CCC-78D8E881BC03}"/>
    <hyperlink ref="F14" r:id="rId84" display="https://xrspace.atlassian.net/issues/?jql=created+%3E%3D+2025-02-01+AND+created+%3C%3D+2026-12-31+AND+type+%3D+Bug+AND+project+%3D+SOVA+AND+Sprint+%3D+4140+AND+status+%3D+%22READY+FOR+TESTING+%2890%25%29%22" xr:uid="{312E5695-1866-4A0B-AE02-5AB02EC42B7F}"/>
    <hyperlink ref="B15" r:id="rId85" display="https://xrspace.atlassian.net/issues/?jql=created+%3E%3D+2025-02-01+AND+created+%3C%3D+2026-12-31+AND+type+%3D+Bug+AND+project+%3D+SOVA+AND+Sprint+%3D+4206+AND+status+%3D+%22To+Do+%280%25%29%22" xr:uid="{CF585A91-1459-4927-9B79-F4D2DCDA21E3}"/>
    <hyperlink ref="D15" r:id="rId86" display="https://xrspace.atlassian.net/issues/?jql=created+%3E%3D+2025-02-01+AND+created+%3C%3D+2026-12-31+AND+type+%3D+Bug+AND+project+%3D+SOVA+AND+Sprint+%3D+4206+AND+status+%3D+%22In+Progress+%2850+%7E+70%25%29%22" xr:uid="{B90A4A1A-9F6C-4D81-BD30-673F862C14BE}"/>
    <hyperlink ref="G15" r:id="rId87" display="https://xrspace.atlassian.net/issues/?jql=created+%3E%3D+2025-02-01+AND+created+%3C%3D+2026-12-31+AND+type+%3D+Bug+AND+project+%3D+SOVA+AND+Sprint+%3D+4206+AND+status+%3D+%22Done+%28100%25%29%22" xr:uid="{C02DFD04-2908-41AE-92FF-E76C1FF3F094}"/>
    <hyperlink ref="E15" r:id="rId88" display="https://xrspace.atlassian.net/issues/?jql=created+%3E%3D+2025-02-01+AND+created+%3C%3D+2026-12-31+AND+type+%3D+Bug+AND+project+%3D+SOVA+AND+Sprint+%3D+4206+AND+status+%3D+%22IN+REVIEW+%2880%25%29%22" xr:uid="{38486787-361F-4E5A-AD8B-1AAA716E8ED6}"/>
    <hyperlink ref="H15" r:id="rId89" display="https://xrspace.atlassian.net/issues/?jql=created+%3E%3D+2025-02-01+AND+created+%3C%3D+2026-12-31+AND+type+%3D+Bug+AND+project+%3D+SOVA+AND+Sprint+%3D+4206+AND+status+%3D+%22WON%27T+DO+%28100%25%29%22" xr:uid="{847F7338-A1F3-4C68-814A-23D71D9A1241}"/>
    <hyperlink ref="C15" r:id="rId90" display="https://xrspace.atlassian.net/issues/?jql=created+%3E%3D+2025-02-01+AND+created+%3C%3D+2026-12-31+AND+type+%3D+Bug+AND+project+%3D+SOVA+AND+Sprint+%3D+4206+AND+status+%3D+%22STARTING+%2810+%7E+40%25%29%22" xr:uid="{DFEDB758-7AE3-4D8C-A876-CDD2ECEB38BC}"/>
    <hyperlink ref="F15" r:id="rId91" display="https://xrspace.atlassian.net/issues/?jql=created+%3E%3D+2025-02-01+AND+created+%3C%3D+2026-12-31+AND+type+%3D+Bug+AND+project+%3D+SOVA+AND+Sprint+%3D+4206+AND+status+%3D+%22READY+FOR+TESTING+%2890%25%29%22" xr:uid="{B0BAFB94-E17A-40A6-AA6B-8F49572CD2EA}"/>
    <hyperlink ref="B16" r:id="rId92" display="https://xrspace.atlassian.net/issues/?jql=created+%3E%3D+2025-02-01+AND+created+%3C%3D+2026-12-31+AND+type+%3D+Bug+AND+project+%3D+SOVA+AND+Sprint+%3D+4477+AND+status+%3D+%22To+Do+%280%25%29%22" xr:uid="{9BACC8D7-43CD-4B68-84FA-0EAC462439F2}"/>
    <hyperlink ref="D16" r:id="rId93" display="https://xrspace.atlassian.net/issues/?jql=created+%3E%3D+2025-02-01+AND+created+%3C%3D+2026-12-31+AND+type+%3D+Bug+AND+project+%3D+SOVA+AND+Sprint+%3D+4477+AND+status+%3D+%22In+Progress+%2850+%7E+70%25%29%22" xr:uid="{D3ED5F46-F1F0-4D25-9D83-397768AE4D18}"/>
    <hyperlink ref="G16" r:id="rId94" display="https://xrspace.atlassian.net/issues/?jql=created+%3E%3D+2025-02-01+AND+created+%3C%3D+2026-12-31+AND+type+%3D+Bug+AND+project+%3D+SOVA+AND+Sprint+%3D+4477+AND+status+%3D+%22Done+%28100%25%29%22" xr:uid="{6AF37A41-2CBB-4BEB-82AF-F0158246D6BA}"/>
    <hyperlink ref="E16" r:id="rId95" display="https://xrspace.atlassian.net/issues/?jql=created+%3E%3D+2025-02-01+AND+created+%3C%3D+2026-12-31+AND+type+%3D+Bug+AND+project+%3D+SOVA+AND+Sprint+%3D+4477+AND+status+%3D+%22IN+REVIEW+%2880%25%29%22" xr:uid="{E294A650-F17F-4CD0-B1A2-0AB02F758FAB}"/>
    <hyperlink ref="H16" r:id="rId96" display="https://xrspace.atlassian.net/issues/?jql=created+%3E%3D+2025-02-01+AND+created+%3C%3D+2026-12-31+AND+type+%3D+Bug+AND+project+%3D+SOVA+AND+Sprint+%3D+4477+AND+status+%3D+%22WON%27T+DO+%28100%25%29%22" xr:uid="{5F4A56E0-A489-43BC-B918-B229E7A3B683}"/>
    <hyperlink ref="C16" r:id="rId97" display="https://xrspace.atlassian.net/issues/?jql=created+%3E%3D+2025-02-01+AND+created+%3C%3D+2026-12-31+AND+type+%3D+Bug+AND+project+%3D+SOVA+AND+Sprint+%3D+4477+AND+status+%3D+%22STARTING+%2810+%7E+40%25%29%22" xr:uid="{FBA5408E-5478-4730-AA35-C7C9B23E8B69}"/>
    <hyperlink ref="F16" r:id="rId98" display="https://xrspace.atlassian.net/issues/?jql=created+%3E%3D+2025-02-01+AND+created+%3C%3D+2026-12-31+AND+type+%3D+Bug+AND+project+%3D+SOVA+AND+Sprint+%3D+4477+AND+status+%3D+%22READY+FOR+TESTING+%2890%25%29%22" xr:uid="{D2CCCE37-9F9D-44AF-A4F2-B66106301CE6}"/>
    <hyperlink ref="B17" r:id="rId99" display="https://xrspace.atlassian.net/issues/?jql=created+%3E%3D+2025-02-01+AND+created+%3C%3D+2026-12-31+AND+type+%3D+Bug+AND+project+%3D+SOVA+AND+Sprint+%3D+4478+AND+status+%3D+%22To+Do+%280%25%29%22" xr:uid="{3A2F27C0-918C-4377-BCE2-386898C48588}"/>
    <hyperlink ref="D17" r:id="rId100" display="https://xrspace.atlassian.net/issues/?jql=created+%3E%3D+2025-02-01+AND+created+%3C%3D+2026-12-31+AND+type+%3D+Bug+AND+project+%3D+SOVA+AND+Sprint+%3D+4478+AND+status+%3D+%22In+Progress+%2850+%7E+70%25%29%22" xr:uid="{372EBD09-B259-4D7C-B75E-43F8FE32AC04}"/>
    <hyperlink ref="G17" r:id="rId101" display="https://xrspace.atlassian.net/issues/?jql=created+%3E%3D+2025-02-01+AND+created+%3C%3D+2026-12-31+AND+type+%3D+Bug+AND+project+%3D+SOVA+AND+Sprint+%3D+4478+AND+status+%3D+%22Done+%28100%25%29%22" xr:uid="{75C45EFD-6D37-47AB-99E2-0ACD483ADC02}"/>
    <hyperlink ref="E17" r:id="rId102" display="https://xrspace.atlassian.net/issues/?jql=created+%3E%3D+2025-02-01+AND+created+%3C%3D+2026-12-31+AND+type+%3D+Bug+AND+project+%3D+SOVA+AND+Sprint+%3D+4478+AND+status+%3D+%22IN+REVIEW+%2880%25%29%22" xr:uid="{ACB55C8C-9FD1-46AA-8700-035C6E92BD0A}"/>
    <hyperlink ref="H17" r:id="rId103" display="https://xrspace.atlassian.net/issues/?jql=created+%3E%3D+2025-02-01+AND+created+%3C%3D+2026-12-31+AND+type+%3D+Bug+AND+project+%3D+SOVA+AND+Sprint+%3D+4478+AND+status+%3D+%22WON%27T+DO+%28100%25%29%22" xr:uid="{C9F9453F-6A47-4EF1-B5C4-899B590FFCFF}"/>
    <hyperlink ref="C17" r:id="rId104" display="https://xrspace.atlassian.net/issues/?jql=created+%3E%3D+2025-02-01+AND+created+%3C%3D+2026-12-31+AND+type+%3D+Bug+AND+project+%3D+SOVA+AND+Sprint+%3D+4478+AND+status+%3D+%22STARTING+%2810+%7E+40%25%29%22" xr:uid="{6C04FC9F-E127-48AB-B8B2-83D4B729D79A}"/>
    <hyperlink ref="F17" r:id="rId105" display="https://xrspace.atlassian.net/issues/?jql=created+%3E%3D+2025-02-01+AND+created+%3C%3D+2026-12-31+AND+type+%3D+Bug+AND+project+%3D+SOVA+AND+Sprint+%3D+4478+AND+status+%3D+%22READY+FOR+TESTING+%2890%25%29%22" xr:uid="{9EB47DDB-6EFD-47E0-99AF-FDDFA87642C0}"/>
    <hyperlink ref="B18" r:id="rId106" display="https://xrspace.atlassian.net/issues/?jql=created+%3E%3D+2025-02-01+AND+created+%3C%3D+2026-12-31+AND+type+%3D+Bug+AND+project+%3D+SOVA+AND+Sprint+%3D+4677+AND+status+%3D+%22To+Do+%280%25%29%22" xr:uid="{5E191D0F-B37E-49D7-899E-06DC11C8F540}"/>
    <hyperlink ref="D18" r:id="rId107" display="https://xrspace.atlassian.net/issues/?jql=created+%3E%3D+2025-02-01+AND+created+%3C%3D+2026-12-31+AND+type+%3D+Bug+AND+project+%3D+SOVA+AND+Sprint+%3D+4677+AND+status+%3D+%22In+Progress+%2850+%7E+70%25%29%22" xr:uid="{D90F9BB5-0468-4ADD-A7DB-D0F89A958F60}"/>
    <hyperlink ref="G18" r:id="rId108" display="https://xrspace.atlassian.net/issues/?jql=created+%3E%3D+2025-02-01+AND+created+%3C%3D+2026-12-31+AND+type+%3D+Bug+AND+project+%3D+SOVA+AND+Sprint+%3D+4677+AND+status+%3D+%22Done+%28100%25%29%22" xr:uid="{7602955A-12C9-45CA-ABF3-4106AD778FD2}"/>
    <hyperlink ref="E18" r:id="rId109" display="https://xrspace.atlassian.net/issues/?jql=created+%3E%3D+2025-02-01+AND+created+%3C%3D+2026-12-31+AND+type+%3D+Bug+AND+project+%3D+SOVA+AND+Sprint+%3D+4677+AND+status+%3D+%22IN+REVIEW+%2880%25%29%22" xr:uid="{36D33C22-46C2-4A9E-9080-DD59506EFEFA}"/>
    <hyperlink ref="H18" r:id="rId110" display="https://xrspace.atlassian.net/issues/?jql=created+%3E%3D+2025-02-01+AND+created+%3C%3D+2026-12-31+AND+type+%3D+Bug+AND+project+%3D+SOVA+AND+Sprint+%3D+4677+AND+status+%3D+%22WON%27T+DO+%28100%25%29%22" xr:uid="{14F8460F-3B6D-4331-AAA4-A15D30071532}"/>
    <hyperlink ref="C18" r:id="rId111" display="https://xrspace.atlassian.net/issues/?jql=created+%3E%3D+2025-02-01+AND+created+%3C%3D+2026-12-31+AND+type+%3D+Bug+AND+project+%3D+SOVA+AND+Sprint+%3D+4677+AND+status+%3D+%22STARTING+%2810+%7E+40%25%29%22" xr:uid="{99E0D922-53B7-4A95-8FF1-7E16C5B0C49F}"/>
    <hyperlink ref="F18" r:id="rId112" display="https://xrspace.atlassian.net/issues/?jql=created+%3E%3D+2025-02-01+AND+created+%3C%3D+2026-12-31+AND+type+%3D+Bug+AND+project+%3D+SOVA+AND+Sprint+%3D+4677+AND+status+%3D+%22READY+FOR+TESTING+%2890%25%29%22" xr:uid="{17425BFE-FCF5-4253-98EB-A595799BB6A3}"/>
    <hyperlink ref="B19" r:id="rId113" display="https://xrspace.atlassian.net/issues/?jql=created+%3E%3D+2025-02-01+AND+created+%3C%3D+2026-12-31+AND+type+%3D+Bug+AND+project+%3D+SOVA+AND+Sprint+%3D+4678+AND+status+%3D+%22To+Do+%280%25%29%22" xr:uid="{3D33838B-9DA8-4365-B9E5-E0006EA1BAA0}"/>
    <hyperlink ref="D19" r:id="rId114" display="https://xrspace.atlassian.net/issues/?jql=created+%3E%3D+2025-02-01+AND+created+%3C%3D+2026-12-31+AND+type+%3D+Bug+AND+project+%3D+SOVA+AND+Sprint+%3D+4678+AND+status+%3D+%22In+Progress+%2850+%7E+70%25%29%22" xr:uid="{28301C5C-13B1-4EB8-8C33-975C727C4987}"/>
    <hyperlink ref="G19" r:id="rId115" display="https://xrspace.atlassian.net/issues/?jql=created+%3E%3D+2025-02-01+AND+created+%3C%3D+2026-12-31+AND+type+%3D+Bug+AND+project+%3D+SOVA+AND+Sprint+%3D+4678+AND+status+%3D+%22Done+%28100%25%29%22" xr:uid="{C6FBD222-F519-4FD7-B120-3E2DFE5E735B}"/>
    <hyperlink ref="E19" r:id="rId116" display="https://xrspace.atlassian.net/issues/?jql=created+%3E%3D+2025-02-01+AND+created+%3C%3D+2026-12-31+AND+type+%3D+Bug+AND+project+%3D+SOVA+AND+Sprint+%3D+4678+AND+status+%3D+%22IN+REVIEW+%2880%25%29%22" xr:uid="{37F655AD-FF9E-4B3C-9D19-A87FCD2F5978}"/>
    <hyperlink ref="H19" r:id="rId117" display="https://xrspace.atlassian.net/issues/?jql=created+%3E%3D+2025-02-01+AND+created+%3C%3D+2026-12-31+AND+type+%3D+Bug+AND+project+%3D+SOVA+AND+Sprint+%3D+4678+AND+status+%3D+%22WON%27T+DO+%28100%25%29%22" xr:uid="{1970AED8-9FF1-4DB5-B9F2-FB12E6F6B70D}"/>
    <hyperlink ref="C19" r:id="rId118" display="https://xrspace.atlassian.net/issues/?jql=created+%3E%3D+2025-02-01+AND+created+%3C%3D+2026-12-31+AND+type+%3D+Bug+AND+project+%3D+SOVA+AND+Sprint+%3D+4678+AND+status+%3D+%22STARTING+%2810+%7E+40%25%29%22" xr:uid="{6A276FA8-CA65-4846-BCA0-8D2E0615D8D2}"/>
    <hyperlink ref="F19" r:id="rId119" display="https://xrspace.atlassian.net/issues/?jql=created+%3E%3D+2025-02-01+AND+created+%3C%3D+2026-12-31+AND+type+%3D+Bug+AND+project+%3D+SOVA+AND+Sprint+%3D+4678+AND+status+%3D+%22READY+FOR+TESTING+%2890%25%29%22" xr:uid="{C8DE29AE-5DB1-47BD-8F1A-76A658F995DF}"/>
    <hyperlink ref="B20" r:id="rId120" display="https://xrspace.atlassian.net/issues/?jql=created+%3E%3D+2025-02-01+AND+created+%3C%3D+2026-12-31+AND+type+%3D+Bug+AND+project+%3D+SOVA+AND+Sprint+%3D+4910+AND+status+%3D+%22To+Do+%280%25%29%22" xr:uid="{B55D3ACD-BA84-4A2F-931E-A7BA48A2632A}"/>
    <hyperlink ref="D20" r:id="rId121" display="https://xrspace.atlassian.net/issues/?jql=created+%3E%3D+2025-02-01+AND+created+%3C%3D+2026-12-31+AND+type+%3D+Bug+AND+project+%3D+SOVA+AND+Sprint+%3D+4910+AND+status+%3D+%22In+Progress+%2850+%7E+70%25%29%22" xr:uid="{74934FEF-5EFB-418D-A97C-E887E11D170F}"/>
    <hyperlink ref="G20" r:id="rId122" display="https://xrspace.atlassian.net/issues/?jql=created+%3E%3D+2025-02-01+AND+created+%3C%3D+2026-12-31+AND+type+%3D+Bug+AND+project+%3D+SOVA+AND+Sprint+%3D+4910+AND+status+%3D+%22Done+%28100%25%29%22" xr:uid="{2CDD700B-A3EF-440D-9D87-F20229618646}"/>
    <hyperlink ref="E20" r:id="rId123" display="https://xrspace.atlassian.net/issues/?jql=created+%3E%3D+2025-02-01+AND+created+%3C%3D+2026-12-31+AND+type+%3D+Bug+AND+project+%3D+SOVA+AND+Sprint+%3D+4910+AND+status+%3D+%22IN+REVIEW+%2880%25%29%22" xr:uid="{0F650398-DB50-4489-AE36-703F07C579E8}"/>
    <hyperlink ref="H20" r:id="rId124" display="https://xrspace.atlassian.net/issues/?jql=created+%3E%3D+2025-02-01+AND+created+%3C%3D+2026-12-31+AND+type+%3D+Bug+AND+project+%3D+SOVA+AND+Sprint+%3D+4910+AND+status+%3D+%22WON%27T+DO+%28100%25%29%22" xr:uid="{C66A7764-EB57-495D-9DDD-4220ADF8DB35}"/>
    <hyperlink ref="C20" r:id="rId125" display="https://xrspace.atlassian.net/issues/?jql=created+%3E%3D+2025-02-01+AND+created+%3C%3D+2026-12-31+AND+type+%3D+Bug+AND+project+%3D+SOVA+AND+Sprint+%3D+4910+AND+status+%3D+%22STARTING+%2810+%7E+40%25%29%22" xr:uid="{6A2BE896-132A-4F79-AE4D-BDE5C0BB03F3}"/>
    <hyperlink ref="F20" r:id="rId126" display="https://xrspace.atlassian.net/issues/?jql=created+%3E%3D+2025-02-01+AND+created+%3C%3D+2026-12-31+AND+type+%3D+Bug+AND+project+%3D+SOVA+AND+Sprint+%3D+4910+AND+status+%3D+%22READY+FOR+TESTING+%2890%25%29%22" xr:uid="{A2F5A538-3485-406A-8427-4642F73CD9B9}"/>
    <hyperlink ref="B21" r:id="rId127" display="https://xrspace.atlassian.net/issues/?jql=created+%3E%3D+2025-02-01+AND+created+%3C%3D+2026-12-31+AND+type+%3D+Bug+AND+project+%3D+SOVA+AND+Sprint+%3D+5044+AND+status+%3D+%22To+Do+%280%25%29%22" xr:uid="{4E7BF4D0-8875-4D36-9898-C17657226526}"/>
    <hyperlink ref="D21" r:id="rId128" display="https://xrspace.atlassian.net/issues/?jql=created+%3E%3D+2025-02-01+AND+created+%3C%3D+2026-12-31+AND+type+%3D+Bug+AND+project+%3D+SOVA+AND+Sprint+%3D+5044+AND+status+%3D+%22In+Progress+%2850+%7E+70%25%29%22" xr:uid="{AA9DD13D-FF20-46F5-BD43-67F2FC398A30}"/>
    <hyperlink ref="G21" r:id="rId129" display="https://xrspace.atlassian.net/issues/?jql=created+%3E%3D+2025-02-01+AND+created+%3C%3D+2026-12-31+AND+type+%3D+Bug+AND+project+%3D+SOVA+AND+Sprint+%3D+5044+AND+status+%3D+%22Done+%28100%25%29%22" xr:uid="{4B4FB0BC-A26A-4D25-8C13-A5B41B22D823}"/>
    <hyperlink ref="E21" r:id="rId130" display="https://xrspace.atlassian.net/issues/?jql=created+%3E%3D+2025-02-01+AND+created+%3C%3D+2026-12-31+AND+type+%3D+Bug+AND+project+%3D+SOVA+AND+Sprint+%3D+5044+AND+status+%3D+%22IN+REVIEW+%2880%25%29%22" xr:uid="{E97A2D9A-0990-4CC8-9E12-B7AFFDF473CA}"/>
    <hyperlink ref="H21" r:id="rId131" display="https://xrspace.atlassian.net/issues/?jql=created+%3E%3D+2025-02-01+AND+created+%3C%3D+2026-12-31+AND+type+%3D+Bug+AND+project+%3D+SOVA+AND+Sprint+%3D+5044+AND+status+%3D+%22WON%27T+DO+%28100%25%29%22" xr:uid="{13A50D75-9314-4E6C-89F4-4969E75ACA81}"/>
    <hyperlink ref="C21" r:id="rId132" display="https://xrspace.atlassian.net/issues/?jql=created+%3E%3D+2025-02-01+AND+created+%3C%3D+2026-12-31+AND+type+%3D+Bug+AND+project+%3D+SOVA+AND+Sprint+%3D+5044+AND+status+%3D+%22STARTING+%2810+%7E+40%25%29%22" xr:uid="{1BBFD2D6-595B-4BD4-807B-904B9AB4DC3D}"/>
    <hyperlink ref="F21" r:id="rId133" display="https://xrspace.atlassian.net/issues/?jql=created+%3E%3D+2025-02-01+AND+created+%3C%3D+2026-12-31+AND+type+%3D+Bug+AND+project+%3D+SOVA+AND+Sprint+%3D+5044+AND+status+%3D+%22READY+FOR+TESTING+%2890%25%29%22" xr:uid="{DA576953-964D-4757-A144-2D2AB07CDE05}"/>
    <hyperlink ref="B2" r:id="rId134" display="https://xrspace.atlassian.net/issues/?jql=created+%3E%3D+2025-02-01+AND+created+%3C%3D+2026-12-31+AND+type+%3D+Bug+AND+project+%3D+SOVA+AND+Sprint+%3D+2915+AND+status+%3D+%22To+Do+%280%25%29%22" xr:uid="{C0A8AA4D-52B7-4A7D-8615-4D55B30EFFFF}"/>
    <hyperlink ref="D2" r:id="rId135" display="https://xrspace.atlassian.net/issues/?jql=created+%3E%3D+2025-02-01+AND+created+%3C%3D+2026-12-31+AND+type+%3D+Bug+AND+project+%3D+SOVA+AND+Sprint+%3D+2915+AND+status+%3D+%22In+Progress+%2850+%7E+70%25%29%22" xr:uid="{4C0C44D4-CCE0-4217-8F6B-9D30C4606984}"/>
    <hyperlink ref="G2" r:id="rId136" display="https://xrspace.atlassian.net/issues/?jql=created+%3E%3D+2025-02-01+AND+created+%3C%3D+2026-12-31+AND+type+%3D+Bug+AND+project+%3D+SOVA+AND+Sprint+%3D+2915+AND+status+%3D+%22Done+%28100%25%29%22" xr:uid="{D1678847-FB3D-4552-81DD-8C2981E5CC2A}"/>
    <hyperlink ref="E2" r:id="rId137" display="https://xrspace.atlassian.net/issues/?jql=created+%3E%3D+2025-02-01+AND+created+%3C%3D+2026-12-31+AND+type+%3D+Bug+AND+project+%3D+SOVA+AND+Sprint+%3D+2915+AND+status+%3D+%22IN+REVIEW+%2880%25%29%22" xr:uid="{F8BE245D-EADA-47E2-AC3A-1389F3437174}"/>
    <hyperlink ref="H2" r:id="rId138" display="https://xrspace.atlassian.net/issues/?jql=created+%3E%3D+2025-02-01+AND+created+%3C%3D+2026-12-31+AND+type+%3D+Bug+AND+project+%3D+SOVA+AND+Sprint+%3D+2915+AND+status+%3D+%22WON%27T+DO+%28100%25%29%22" xr:uid="{8505D4EF-3679-48AB-9FF9-4EFA437C84BA}"/>
    <hyperlink ref="C2" r:id="rId139" display="https://xrspace.atlassian.net/issues/?jql=created+%3E%3D+2025-02-01+AND+created+%3C%3D+2026-12-31+AND+type+%3D+Bug+AND+project+%3D+SOVA+AND+Sprint+%3D+2915+AND+status+%3D+%22STARTING+%2810+%7E+40%25%29%22" xr:uid="{EFA63E47-6A81-458C-AA2E-BDF8F26FBD22}"/>
    <hyperlink ref="F2" r:id="rId140" display="https://xrspace.atlassian.net/issues/?jql=created+%3E%3D+2025-02-01+AND+created+%3C%3D+2026-12-31+AND+type+%3D+Bug+AND+project+%3D+SOVA+AND+Sprint+%3D+2915+AND+status+%3D+%22READY+FOR+TESTING+%2890%25%29%22" xr:uid="{4D4E4EE4-DE43-4F03-8145-0EB95FF79668}"/>
  </hyperlinks>
  <pageMargins left="0.7" right="0.7" top="0.75" bottom="0.75" header="0.3" footer="0.3"/>
  <pageSetup orientation="portrait" r:id="rId141"/>
  <drawing r:id="rId142"/>
  <tableParts count="1">
    <tablePart r:id="rId14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3F3FC-17EF-4D6A-9290-8FAFFC789915}">
  <dimension ref="A1:E23"/>
  <sheetViews>
    <sheetView tabSelected="1" workbookViewId="0">
      <selection activeCell="H22" sqref="H22"/>
    </sheetView>
  </sheetViews>
  <sheetFormatPr defaultRowHeight="15"/>
  <cols>
    <col min="1" max="1" width="9.5546875" customWidth="1"/>
    <col min="2" max="5" width="20.77734375" customWidth="1"/>
  </cols>
  <sheetData>
    <row r="1" spans="1:5">
      <c r="A1" s="2" t="s">
        <v>36</v>
      </c>
      <c r="B1" s="2" t="s">
        <v>1</v>
      </c>
      <c r="C1" s="2" t="s">
        <v>2</v>
      </c>
      <c r="D1" s="2" t="s">
        <v>0</v>
      </c>
      <c r="E1" s="2" t="s">
        <v>3</v>
      </c>
    </row>
    <row r="2" spans="1:5" ht="20.100000000000001" customHeight="1">
      <c r="A2" s="2" t="s">
        <v>56</v>
      </c>
      <c r="B2" s="13">
        <v>0</v>
      </c>
      <c r="C2" s="13">
        <v>0</v>
      </c>
      <c r="D2" s="13">
        <v>91</v>
      </c>
      <c r="E2" s="13">
        <f>SUM(Table25[[#This Row],[Done]:[TODO (P1)]])</f>
        <v>91</v>
      </c>
    </row>
    <row r="3" spans="1:5" ht="20.100000000000001" customHeight="1">
      <c r="A3" s="3" t="s">
        <v>57</v>
      </c>
      <c r="B3" s="14">
        <v>0</v>
      </c>
      <c r="C3" s="14">
        <v>1</v>
      </c>
      <c r="D3" s="14">
        <v>90</v>
      </c>
      <c r="E3" s="14">
        <f>SUM(Table25[[#This Row],[Done]:[TODO (P1)]])</f>
        <v>91</v>
      </c>
    </row>
    <row r="4" spans="1:5" ht="20.100000000000001" customHeight="1">
      <c r="A4" s="2" t="s">
        <v>58</v>
      </c>
      <c r="B4" s="14">
        <v>0</v>
      </c>
      <c r="C4" s="14">
        <v>1</v>
      </c>
      <c r="D4" s="14">
        <v>90</v>
      </c>
      <c r="E4" s="14">
        <f>SUM(Table25[[#This Row],[Done]:[TODO (P1)]])</f>
        <v>91</v>
      </c>
    </row>
    <row r="5" spans="1:5" ht="20.100000000000001" customHeight="1">
      <c r="A5" s="3" t="s">
        <v>59</v>
      </c>
      <c r="B5" s="14">
        <v>0</v>
      </c>
      <c r="C5" s="14">
        <v>1</v>
      </c>
      <c r="D5" s="14">
        <v>90</v>
      </c>
      <c r="E5" s="14">
        <f>SUM(Table25[[#This Row],[Done]:[TODO (P1)]])</f>
        <v>91</v>
      </c>
    </row>
    <row r="6" spans="1:5" ht="20.100000000000001" customHeight="1">
      <c r="A6" s="3" t="s">
        <v>60</v>
      </c>
      <c r="B6" s="14">
        <v>5</v>
      </c>
      <c r="C6" s="14">
        <v>0</v>
      </c>
      <c r="D6" s="14">
        <v>77</v>
      </c>
      <c r="E6" s="14">
        <f>SUM(Table25[[#This Row],[Done]:[TODO (P1)]])</f>
        <v>82</v>
      </c>
    </row>
    <row r="7" spans="1:5" ht="20.100000000000001" customHeight="1">
      <c r="A7" s="3" t="s">
        <v>61</v>
      </c>
      <c r="B7" s="14">
        <v>5</v>
      </c>
      <c r="C7" s="14">
        <v>0</v>
      </c>
      <c r="D7" s="14">
        <v>77</v>
      </c>
      <c r="E7" s="14">
        <f>SUM(Table25[[#This Row],[Done]:[TODO (P1)]])</f>
        <v>82</v>
      </c>
    </row>
    <row r="8" spans="1:5" ht="20.100000000000001" customHeight="1">
      <c r="A8" s="3" t="s">
        <v>62</v>
      </c>
      <c r="B8" s="14">
        <v>5</v>
      </c>
      <c r="C8" s="14">
        <v>1</v>
      </c>
      <c r="D8" s="14">
        <v>76</v>
      </c>
      <c r="E8" s="14">
        <f>SUM(Table25[[#This Row],[Done]:[TODO (P1)]])</f>
        <v>82</v>
      </c>
    </row>
    <row r="9" spans="1:5" ht="20.100000000000001" customHeight="1">
      <c r="A9" s="3" t="s">
        <v>63</v>
      </c>
      <c r="B9" s="14">
        <v>6</v>
      </c>
      <c r="C9" s="14">
        <v>1</v>
      </c>
      <c r="D9" s="14">
        <v>76</v>
      </c>
      <c r="E9" s="14">
        <f>SUM(Table25[[#This Row],[Done]:[TODO (P1)]])</f>
        <v>83</v>
      </c>
    </row>
    <row r="10" spans="1:5" ht="20.100000000000001" customHeight="1">
      <c r="A10" s="3" t="s">
        <v>64</v>
      </c>
      <c r="B10" s="14">
        <v>6</v>
      </c>
      <c r="C10" s="14">
        <v>1</v>
      </c>
      <c r="D10" s="14">
        <v>76</v>
      </c>
      <c r="E10" s="14">
        <f>SUM(Table25[[#This Row],[Done]:[TODO (P1)]])</f>
        <v>83</v>
      </c>
    </row>
    <row r="11" spans="1:5" ht="20.100000000000001" customHeight="1">
      <c r="A11" s="3" t="s">
        <v>65</v>
      </c>
      <c r="B11" s="14">
        <v>12</v>
      </c>
      <c r="C11" s="14">
        <v>0</v>
      </c>
      <c r="D11" s="14">
        <v>77</v>
      </c>
      <c r="E11" s="14">
        <v>89</v>
      </c>
    </row>
    <row r="12" spans="1:5" ht="20.100000000000001" customHeight="1">
      <c r="A12" s="3" t="s">
        <v>66</v>
      </c>
      <c r="B12" s="14">
        <v>22</v>
      </c>
      <c r="C12" s="14">
        <v>0</v>
      </c>
      <c r="D12" s="14">
        <v>74</v>
      </c>
      <c r="E12" s="14">
        <f>SUM(Table25[[#This Row],[Done]:[TODO (P1)]])</f>
        <v>96</v>
      </c>
    </row>
    <row r="13" spans="1:5" ht="20.100000000000001" customHeight="1">
      <c r="A13" s="3" t="s">
        <v>67</v>
      </c>
      <c r="B13" s="14">
        <v>27</v>
      </c>
      <c r="C13" s="14">
        <v>0</v>
      </c>
      <c r="D13" s="14">
        <v>69</v>
      </c>
      <c r="E13" s="14">
        <f>SUM(Table25[[#This Row],[Done]:[TODO (P1)]])</f>
        <v>96</v>
      </c>
    </row>
    <row r="14" spans="1:5" ht="20.100000000000001" customHeight="1">
      <c r="A14" s="3" t="s">
        <v>55</v>
      </c>
      <c r="B14" s="14">
        <v>27</v>
      </c>
      <c r="C14" s="14">
        <v>2</v>
      </c>
      <c r="D14" s="14">
        <v>67</v>
      </c>
      <c r="E14" s="14">
        <f>SUM(Table25[[#This Row],[Done]:[TODO (P1)]])</f>
        <v>96</v>
      </c>
    </row>
    <row r="15" spans="1:5" ht="20.100000000000001" customHeight="1">
      <c r="A15" s="3" t="s">
        <v>68</v>
      </c>
      <c r="B15" s="14">
        <v>44</v>
      </c>
      <c r="C15" s="14">
        <v>3</v>
      </c>
      <c r="D15" s="14">
        <v>50</v>
      </c>
      <c r="E15" s="14">
        <f>SUM(Table25[[#This Row],[Done]:[TODO (P1)]])</f>
        <v>97</v>
      </c>
    </row>
    <row r="16" spans="1:5" ht="20.100000000000001" customHeight="1">
      <c r="A16" s="3" t="s">
        <v>83</v>
      </c>
      <c r="B16" s="14">
        <v>57</v>
      </c>
      <c r="C16" s="14">
        <v>0</v>
      </c>
      <c r="D16" s="14">
        <v>41</v>
      </c>
      <c r="E16" s="14">
        <f>SUM(Table25[[#This Row],[Done]:[TODO (P1)]])</f>
        <v>98</v>
      </c>
    </row>
    <row r="17" spans="1:5" ht="20.100000000000001" customHeight="1">
      <c r="A17" s="3" t="s">
        <v>84</v>
      </c>
      <c r="B17" s="14">
        <v>68</v>
      </c>
      <c r="C17" s="14">
        <v>0</v>
      </c>
      <c r="D17" s="14">
        <v>38</v>
      </c>
      <c r="E17" s="14">
        <f>SUM(Table25[[#This Row],[Done]:[TODO (P1)]])</f>
        <v>106</v>
      </c>
    </row>
    <row r="18" spans="1:5" ht="20.100000000000001" customHeight="1">
      <c r="A18" s="3" t="s">
        <v>85</v>
      </c>
      <c r="B18" s="14">
        <v>80</v>
      </c>
      <c r="C18" s="14">
        <v>0</v>
      </c>
      <c r="D18" s="14">
        <v>27</v>
      </c>
      <c r="E18" s="14">
        <f>SUM(Table25[[#This Row],[Done]:[TODO (P1)]])</f>
        <v>107</v>
      </c>
    </row>
    <row r="19" spans="1:5" ht="20.100000000000001" customHeight="1">
      <c r="A19" s="3" t="s">
        <v>89</v>
      </c>
      <c r="B19" s="14">
        <v>92</v>
      </c>
      <c r="C19" s="14">
        <v>6</v>
      </c>
      <c r="D19" s="14">
        <v>13</v>
      </c>
      <c r="E19" s="14">
        <f>SUM(Table25[[#This Row],[Done]:[TODO (P1)]])</f>
        <v>111</v>
      </c>
    </row>
    <row r="20" spans="1:5" ht="20.100000000000001" customHeight="1">
      <c r="A20" s="3" t="s">
        <v>90</v>
      </c>
      <c r="B20" s="14">
        <v>97</v>
      </c>
      <c r="C20" s="14">
        <v>3</v>
      </c>
      <c r="D20" s="14">
        <v>13</v>
      </c>
      <c r="E20" s="14">
        <f>SUM(Table25[[#This Row],[Done]:[TODO (P1)]])</f>
        <v>113</v>
      </c>
    </row>
    <row r="21" spans="1:5" ht="20.100000000000001" customHeight="1">
      <c r="A21" s="3" t="s">
        <v>91</v>
      </c>
      <c r="B21" s="14">
        <v>98</v>
      </c>
      <c r="C21" s="14">
        <v>1</v>
      </c>
      <c r="D21" s="14">
        <v>14</v>
      </c>
      <c r="E21" s="14">
        <f>SUM(Table25[[#This Row],[Done]:[TODO (P1)]])</f>
        <v>113</v>
      </c>
    </row>
    <row r="22" spans="1:5" ht="20.100000000000001" customHeight="1">
      <c r="A22" s="3" t="s">
        <v>100</v>
      </c>
      <c r="B22" s="14">
        <v>98</v>
      </c>
      <c r="C22" s="14">
        <v>1</v>
      </c>
      <c r="D22" s="14">
        <v>14</v>
      </c>
      <c r="E22" s="14">
        <f>SUM(Table25[[#This Row],[Done]:[TODO (P1)]])</f>
        <v>113</v>
      </c>
    </row>
    <row r="23" spans="1:5" ht="20.100000000000001" customHeight="1">
      <c r="A23" s="3" t="s">
        <v>102</v>
      </c>
      <c r="B23" s="14">
        <v>98</v>
      </c>
      <c r="C23" s="14">
        <v>1</v>
      </c>
      <c r="D23" s="14">
        <v>14</v>
      </c>
      <c r="E23" s="14">
        <f>SUM(Table25[[#This Row],[Done]:[TODO (P1)]])</f>
        <v>113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8DEA836-90D3-4533-84B8-03F1DE36876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TestAutomationProgress</vt:lpstr>
      <vt:lpstr>Humi-TestResult</vt:lpstr>
      <vt:lpstr>SOVA-TestResult</vt:lpstr>
      <vt:lpstr>Humi-BugTrend</vt:lpstr>
      <vt:lpstr>SOVA-BugTrend</vt:lpstr>
      <vt:lpstr>SOVA-UIAutomation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Hsu</dc:creator>
  <cp:lastModifiedBy>William Hsu</cp:lastModifiedBy>
  <dcterms:created xsi:type="dcterms:W3CDTF">2025-08-28T03:22:38Z</dcterms:created>
  <dcterms:modified xsi:type="dcterms:W3CDTF">2026-03-19T23:40:54Z</dcterms:modified>
</cp:coreProperties>
</file>