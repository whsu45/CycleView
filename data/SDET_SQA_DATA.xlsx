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879EB1A2-B729-4D91-A89B-B6B87971FF20}" xr6:coauthVersionLast="47" xr6:coauthVersionMax="47" xr10:uidLastSave="{00000000-0000-0000-0000-000000000000}"/>
  <bookViews>
    <workbookView xWindow="-120" yWindow="-120" windowWidth="29040" windowHeight="15720" activeTab="1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4" l="1"/>
  <c r="H12" i="4"/>
  <c r="H13" i="4"/>
  <c r="H14" i="4"/>
  <c r="H15" i="4"/>
  <c r="E19" i="1"/>
  <c r="H24" i="2"/>
  <c r="E12" i="6"/>
  <c r="H22" i="3"/>
  <c r="H21" i="3"/>
  <c r="H19" i="5"/>
  <c r="H23" i="2"/>
  <c r="E18" i="1"/>
  <c r="E10" i="6"/>
  <c r="E20" i="1"/>
  <c r="E17" i="1"/>
  <c r="H25" i="2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20" i="5"/>
  <c r="E9" i="6"/>
  <c r="H22" i="2"/>
  <c r="H21" i="2"/>
  <c r="E8" i="6"/>
  <c r="H19" i="2"/>
  <c r="E6" i="6"/>
  <c r="E15" i="1"/>
  <c r="E5" i="6"/>
  <c r="E16" i="1"/>
  <c r="H18" i="2"/>
  <c r="E7" i="6"/>
  <c r="E14" i="1"/>
  <c r="H20" i="2"/>
  <c r="E13" i="1"/>
  <c r="E12" i="1"/>
  <c r="E3" i="6"/>
  <c r="E2" i="6"/>
  <c r="E4" i="6"/>
  <c r="H16" i="2"/>
  <c r="H20" i="3"/>
  <c r="E2" i="1"/>
  <c r="E3" i="1"/>
  <c r="E4" i="1"/>
  <c r="E5" i="1"/>
  <c r="E6" i="1"/>
  <c r="E7" i="1"/>
  <c r="E8" i="1"/>
  <c r="E9" i="1"/>
  <c r="E10" i="1"/>
  <c r="E11" i="1"/>
  <c r="H10" i="4"/>
  <c r="H19" i="3"/>
  <c r="H14" i="2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6" i="2"/>
  <c r="H2" i="2"/>
  <c r="H4" i="2"/>
  <c r="H8" i="2"/>
  <c r="H10" i="2"/>
  <c r="H12" i="2"/>
  <c r="H9" i="4"/>
  <c r="H3" i="4"/>
  <c r="H4" i="4"/>
  <c r="H5" i="4"/>
  <c r="H6" i="4"/>
  <c r="H7" i="4"/>
  <c r="H8" i="4"/>
  <c r="H2" i="4"/>
</calcChain>
</file>

<file path=xl/sharedStrings.xml><?xml version="1.0" encoding="utf-8"?>
<sst xmlns="http://schemas.openxmlformats.org/spreadsheetml/2006/main" count="150" uniqueCount="89">
  <si>
    <t>TODO (P1)</t>
  </si>
  <si>
    <t>W32</t>
  </si>
  <si>
    <t>W33</t>
  </si>
  <si>
    <t>W34</t>
  </si>
  <si>
    <t>W35</t>
  </si>
  <si>
    <t>Done</t>
  </si>
  <si>
    <t>In Review/Progress</t>
  </si>
  <si>
    <t>Total</t>
  </si>
  <si>
    <t>W36</t>
  </si>
  <si>
    <t>W37</t>
  </si>
  <si>
    <t>W38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</si>
  <si>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</si>
  <si>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</si>
  <si>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</si>
  <si>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</si>
  <si>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</si>
  <si>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</si>
  <si>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</si>
  <si>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</si>
  <si>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</si>
  <si>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</si>
  <si>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</si>
  <si>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</si>
  <si>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W28</t>
  </si>
  <si>
    <t>W29</t>
  </si>
  <si>
    <t>W30</t>
  </si>
  <si>
    <t>W31</t>
  </si>
  <si>
    <t>Blocked</t>
  </si>
  <si>
    <t>In Review</t>
  </si>
  <si>
    <t>To Do</t>
  </si>
  <si>
    <t>v1.15</t>
  </si>
  <si>
    <t>v1.16</t>
  </si>
  <si>
    <t>v1.17</t>
  </si>
  <si>
    <t>v1.18</t>
  </si>
  <si>
    <t>v1.19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</si>
  <si>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</si>
  <si>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</si>
  <si>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</si>
  <si>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</si>
  <si>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</si>
  <si>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</si>
  <si>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</si>
  <si>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</si>
  <si>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</si>
  <si>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y25w28</t>
  </si>
  <si>
    <t>y25w30</t>
  </si>
  <si>
    <t>y25w32</t>
  </si>
  <si>
    <t>y25w34</t>
  </si>
  <si>
    <t>y25w36</t>
  </si>
  <si>
    <t>Versions</t>
  </si>
  <si>
    <t>y25w38</t>
  </si>
  <si>
    <t>y25w40</t>
  </si>
  <si>
    <t>y25w16</t>
  </si>
  <si>
    <t>y25w18</t>
  </si>
  <si>
    <t>y25w20</t>
  </si>
  <si>
    <t>y25w22</t>
  </si>
  <si>
    <t>y25w24</t>
  </si>
  <si>
    <t>y25w26</t>
  </si>
  <si>
    <t>In Progress</t>
  </si>
  <si>
    <t>Week</t>
  </si>
  <si>
    <t>v1.29</t>
  </si>
  <si>
    <t>W39</t>
  </si>
  <si>
    <t>In QA</t>
  </si>
  <si>
    <t>Internal Test</t>
  </si>
  <si>
    <t>In Progress (50 ~ 70%)</t>
  </si>
  <si>
    <t>y25w42</t>
  </si>
  <si>
    <t>W40</t>
  </si>
  <si>
    <t>v1.30</t>
  </si>
  <si>
    <t>W41</t>
  </si>
  <si>
    <t>W42</t>
  </si>
  <si>
    <t>v1.31</t>
  </si>
  <si>
    <t>y25w44</t>
  </si>
  <si>
    <t>W43</t>
  </si>
  <si>
    <t>y25w46</t>
  </si>
  <si>
    <t>W44</t>
  </si>
  <si>
    <t>v1.32</t>
  </si>
  <si>
    <t>v1.33</t>
  </si>
  <si>
    <t>W45</t>
  </si>
  <si>
    <t>y25w48</t>
  </si>
  <si>
    <t>W46</t>
  </si>
  <si>
    <t>v1.34</t>
  </si>
  <si>
    <t>W47</t>
  </si>
  <si>
    <t>y25w50</t>
  </si>
  <si>
    <t>W48</t>
  </si>
  <si>
    <t>W49</t>
  </si>
  <si>
    <t>W50</t>
  </si>
  <si>
    <t>y25w52</t>
  </si>
  <si>
    <t>v1.35</t>
  </si>
  <si>
    <t>W51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</si>
</sst>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0" fillId="0" borderId="0" xfId="0" applyNumberFormat="1"/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</cellXfs>
  <cellStyles count="2">
    <cellStyle name="Hyperlink" xfId="1" builtinId="8"/>
    <cellStyle name="Normal" xfId="0" builtinId="0"/>
  </cellStyles>
  <dxfs count="34"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TestAutomationProgress!$A$2:$A$20</c:f>
              <c:strCache>
                <c:ptCount val="19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  <c:pt idx="18">
                  <c:v>W51</c:v>
                </c:pt>
              </c:strCache>
            </c:strRef>
          </c:cat>
          <c:val>
            <c:numRef>
              <c:f>TestAutomationProgress!$B$2:$B$20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15</c:v>
                </c:pt>
                <c:pt idx="8">
                  <c:v>15</c:v>
                </c:pt>
                <c:pt idx="9">
                  <c:v>12</c:v>
                </c:pt>
                <c:pt idx="10">
                  <c:v>13</c:v>
                </c:pt>
                <c:pt idx="11">
                  <c:v>15</c:v>
                </c:pt>
                <c:pt idx="12">
                  <c:v>18</c:v>
                </c:pt>
                <c:pt idx="13">
                  <c:v>21</c:v>
                </c:pt>
                <c:pt idx="14">
                  <c:v>22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TestAutomationProgress!$A$2:$A$20</c:f>
              <c:strCache>
                <c:ptCount val="19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  <c:pt idx="18">
                  <c:v>W51</c:v>
                </c:pt>
              </c:strCache>
            </c:strRef>
          </c:cat>
          <c:val>
            <c:numRef>
              <c:f>TestAutomationProgress!$C$2:$C$20</c:f>
              <c:numCache>
                <c:formatCode>General</c:formatCode>
                <c:ptCount val="19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  <c:pt idx="12">
                  <c:v>11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8</c:v>
                </c:pt>
                <c:pt idx="17">
                  <c:v>6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TestAutomationProgress!$A$2:$A$20</c:f>
              <c:strCache>
                <c:ptCount val="19"/>
                <c:pt idx="0">
                  <c:v>W32</c:v>
                </c:pt>
                <c:pt idx="1">
                  <c:v>W33</c:v>
                </c:pt>
                <c:pt idx="2">
                  <c:v>W34</c:v>
                </c:pt>
                <c:pt idx="3">
                  <c:v>W35</c:v>
                </c:pt>
                <c:pt idx="4">
                  <c:v>W36</c:v>
                </c:pt>
                <c:pt idx="5">
                  <c:v>W37</c:v>
                </c:pt>
                <c:pt idx="6">
                  <c:v>W38</c:v>
                </c:pt>
                <c:pt idx="7">
                  <c:v>W39</c:v>
                </c:pt>
                <c:pt idx="8">
                  <c:v>W40</c:v>
                </c:pt>
                <c:pt idx="9">
                  <c:v>W41</c:v>
                </c:pt>
                <c:pt idx="10">
                  <c:v>W42</c:v>
                </c:pt>
                <c:pt idx="11">
                  <c:v>W43</c:v>
                </c:pt>
                <c:pt idx="12">
                  <c:v>W44</c:v>
                </c:pt>
                <c:pt idx="13">
                  <c:v>W45</c:v>
                </c:pt>
                <c:pt idx="14">
                  <c:v>W46</c:v>
                </c:pt>
                <c:pt idx="15">
                  <c:v>W47</c:v>
                </c:pt>
                <c:pt idx="16">
                  <c:v>W49</c:v>
                </c:pt>
                <c:pt idx="17">
                  <c:v>W50</c:v>
                </c:pt>
                <c:pt idx="18">
                  <c:v>W51</c:v>
                </c:pt>
              </c:strCache>
            </c:strRef>
          </c:cat>
          <c:val>
            <c:numRef>
              <c:f>TestAutomationProgress!$D$2:$D$20</c:f>
              <c:numCache>
                <c:formatCode>General</c:formatCode>
                <c:ptCount val="19"/>
                <c:pt idx="0">
                  <c:v>115</c:v>
                </c:pt>
                <c:pt idx="1">
                  <c:v>114</c:v>
                </c:pt>
                <c:pt idx="2">
                  <c:v>109</c:v>
                </c:pt>
                <c:pt idx="3">
                  <c:v>108</c:v>
                </c:pt>
                <c:pt idx="4">
                  <c:v>104</c:v>
                </c:pt>
                <c:pt idx="5">
                  <c:v>228</c:v>
                </c:pt>
                <c:pt idx="6">
                  <c:v>224</c:v>
                </c:pt>
                <c:pt idx="7">
                  <c:v>220</c:v>
                </c:pt>
                <c:pt idx="8">
                  <c:v>219</c:v>
                </c:pt>
                <c:pt idx="9">
                  <c:v>173</c:v>
                </c:pt>
                <c:pt idx="10">
                  <c:v>172</c:v>
                </c:pt>
                <c:pt idx="11">
                  <c:v>168</c:v>
                </c:pt>
                <c:pt idx="12">
                  <c:v>166</c:v>
                </c:pt>
                <c:pt idx="13">
                  <c:v>160</c:v>
                </c:pt>
                <c:pt idx="14">
                  <c:v>160</c:v>
                </c:pt>
                <c:pt idx="15">
                  <c:v>161</c:v>
                </c:pt>
                <c:pt idx="16">
                  <c:v>160</c:v>
                </c:pt>
                <c:pt idx="17">
                  <c:v>160</c:v>
                </c:pt>
                <c:pt idx="18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'Humi-TestResult'!$B$2:$B$15</c:f>
              <c:numCache>
                <c:formatCode>General</c:formatCode>
                <c:ptCount val="14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'Humi-TestResult'!$C$2:$C$15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'Humi-TestResult'!$D$2:$D$15</c:f>
              <c:numCache>
                <c:formatCode>General</c:formatCode>
                <c:ptCount val="14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'Humi-TestResult'!$E$2:$E$15</c:f>
              <c:numCache>
                <c:formatCode>General</c:formatCode>
                <c:ptCount val="14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'Humi-TestResult'!$F$2:$F$15</c:f>
              <c:numCache>
                <c:formatCode>General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'Humi-TestResult'!$G$2:$G$15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'Humi-TestResult'!$A$2:$A$15</c:f>
              <c:strCache>
                <c:ptCount val="14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</c:strCache>
            </c:strRef>
          </c:cat>
          <c:val>
            <c:numRef>
              <c:f>'Humi-TestResult'!$H$2:$H$15</c:f>
              <c:numCache>
                <c:formatCode>General</c:formatCode>
                <c:ptCount val="14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2062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'SOVA-TestResult'!$A$2:$A$25</c:f>
              <c:strCache>
                <c:ptCount val="24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</c:strCache>
            </c:strRef>
          </c:cat>
          <c:val>
            <c:numRef>
              <c:f>'SOVA-TestResult'!$B$2:$B$25</c:f>
              <c:numCache>
                <c:formatCode>General</c:formatCode>
                <c:ptCount val="24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'SOVA-TestResult'!$A$2:$A$25</c:f>
              <c:strCache>
                <c:ptCount val="24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</c:strCache>
            </c:strRef>
          </c:cat>
          <c:val>
            <c:numRef>
              <c:f>'SOVA-TestResult'!$C$2:$C$25</c:f>
              <c:numCache>
                <c:formatCode>General</c:formatCode>
                <c:ptCount val="24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'SOVA-TestResult'!$A$2:$A$25</c:f>
              <c:strCache>
                <c:ptCount val="24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</c:strCache>
            </c:strRef>
          </c:cat>
          <c:val>
            <c:numRef>
              <c:f>'SOVA-TestResult'!$D$2:$D$25</c:f>
              <c:numCache>
                <c:formatCode>General</c:formatCode>
                <c:ptCount val="24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'SOVA-TestResult'!$A$2:$A$25</c:f>
              <c:strCache>
                <c:ptCount val="24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</c:strCache>
            </c:strRef>
          </c:cat>
          <c:val>
            <c:numRef>
              <c:f>'SOVA-TestResult'!$E$2:$E$25</c:f>
              <c:numCache>
                <c:formatCode>General</c:formatCode>
                <c:ptCount val="24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'SOVA-TestResult'!$A$2:$A$25</c:f>
              <c:strCache>
                <c:ptCount val="24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</c:strCache>
            </c:strRef>
          </c:cat>
          <c:val>
            <c:numRef>
              <c:f>'SOVA-TestResult'!$F$2:$F$25</c:f>
              <c:numCache>
                <c:formatCode>General</c:formatCode>
                <c:ptCount val="24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'SOVA-TestResult'!$A$2:$A$25</c:f>
              <c:strCache>
                <c:ptCount val="24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</c:strCache>
            </c:strRef>
          </c:cat>
          <c:val>
            <c:numRef>
              <c:f>'SOVA-TestResult'!$G$2:$G$25</c:f>
              <c:numCache>
                <c:formatCode>General</c:formatCode>
                <c:ptCount val="24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'SOVA-TestResult'!$A$2:$A$25</c:f>
              <c:strCache>
                <c:ptCount val="24"/>
                <c:pt idx="0">
                  <c:v>W28</c:v>
                </c:pt>
                <c:pt idx="1">
                  <c:v>W29</c:v>
                </c:pt>
                <c:pt idx="2">
                  <c:v>W30</c:v>
                </c:pt>
                <c:pt idx="3">
                  <c:v>W31</c:v>
                </c:pt>
                <c:pt idx="4">
                  <c:v>W32</c:v>
                </c:pt>
                <c:pt idx="5">
                  <c:v>W33</c:v>
                </c:pt>
                <c:pt idx="6">
                  <c:v>W34</c:v>
                </c:pt>
                <c:pt idx="7">
                  <c:v>W35</c:v>
                </c:pt>
                <c:pt idx="8">
                  <c:v>W36</c:v>
                </c:pt>
                <c:pt idx="9">
                  <c:v>W37</c:v>
                </c:pt>
                <c:pt idx="10">
                  <c:v>W38</c:v>
                </c:pt>
                <c:pt idx="11">
                  <c:v>W39</c:v>
                </c:pt>
                <c:pt idx="12">
                  <c:v>W40</c:v>
                </c:pt>
                <c:pt idx="13">
                  <c:v>W41</c:v>
                </c:pt>
                <c:pt idx="14">
                  <c:v>W42</c:v>
                </c:pt>
                <c:pt idx="15">
                  <c:v>W43</c:v>
                </c:pt>
                <c:pt idx="16">
                  <c:v>W44</c:v>
                </c:pt>
                <c:pt idx="17">
                  <c:v>W45</c:v>
                </c:pt>
                <c:pt idx="18">
                  <c:v>W46</c:v>
                </c:pt>
                <c:pt idx="19">
                  <c:v>W47</c:v>
                </c:pt>
                <c:pt idx="20">
                  <c:v>W48</c:v>
                </c:pt>
                <c:pt idx="21">
                  <c:v>W49</c:v>
                </c:pt>
                <c:pt idx="22">
                  <c:v>W50</c:v>
                </c:pt>
                <c:pt idx="23">
                  <c:v>W51</c:v>
                </c:pt>
              </c:strCache>
            </c:strRef>
          </c:cat>
          <c:val>
            <c:numRef>
              <c:f>'SOVA-TestResult'!$H$2:$H$25</c:f>
              <c:numCache>
                <c:formatCode>General</c:formatCode>
                <c:ptCount val="24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'Humi-BugTrend'!$A$2:$A$22</c:f>
              <c:strCache>
                <c:ptCount val="21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</c:strCache>
            </c:strRef>
          </c:cat>
          <c:val>
            <c:numRef>
              <c:f>'Humi-BugTrend'!$B$2:$B$22</c:f>
              <c:numCache>
                <c:formatCode>General</c:formatCode>
                <c:ptCount val="21"/>
                <c:pt idx="0">
                  <c:v>9</c:v>
                </c:pt>
                <c:pt idx="1">
                  <c:v>7</c:v>
                </c:pt>
                <c:pt idx="2">
                  <c:v>25</c:v>
                </c:pt>
                <c:pt idx="3">
                  <c:v>31</c:v>
                </c:pt>
                <c:pt idx="4">
                  <c:v>15</c:v>
                </c:pt>
                <c:pt idx="5">
                  <c:v>15</c:v>
                </c:pt>
                <c:pt idx="6">
                  <c:v>7</c:v>
                </c:pt>
                <c:pt idx="7">
                  <c:v>18</c:v>
                </c:pt>
                <c:pt idx="8">
                  <c:v>17</c:v>
                </c:pt>
                <c:pt idx="9">
                  <c:v>26</c:v>
                </c:pt>
                <c:pt idx="10">
                  <c:v>15</c:v>
                </c:pt>
                <c:pt idx="11">
                  <c:v>9</c:v>
                </c:pt>
                <c:pt idx="12">
                  <c:v>5</c:v>
                </c:pt>
                <c:pt idx="13">
                  <c:v>11</c:v>
                </c:pt>
                <c:pt idx="14">
                  <c:v>2</c:v>
                </c:pt>
                <c:pt idx="15">
                  <c:v>15</c:v>
                </c:pt>
                <c:pt idx="16">
                  <c:v>1</c:v>
                </c:pt>
                <c:pt idx="17">
                  <c:v>5</c:v>
                </c:pt>
                <c:pt idx="18">
                  <c:v>17</c:v>
                </c:pt>
                <c:pt idx="19">
                  <c:v>10</c:v>
                </c:pt>
                <c:pt idx="2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</c:strCache>
            </c:strRef>
          </c:cat>
          <c:val>
            <c:numRef>
              <c:f>'Humi-BugTrend'!$C$2:$C$22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</c:strCache>
            </c:strRef>
          </c:cat>
          <c:val>
            <c:numRef>
              <c:f>'Humi-BugTrend'!$D$2:$D$22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</c:strCache>
            </c:strRef>
          </c:cat>
          <c:val>
            <c:numRef>
              <c:f>'Humi-BugTrend'!$E$2:$E$22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</c:strCache>
            </c:strRef>
          </c:cat>
          <c:val>
            <c:numRef>
              <c:f>'Humi-BugTrend'!$F$2:$F$22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</c:strCache>
            </c:strRef>
          </c:cat>
          <c:val>
            <c:numRef>
              <c:f>'Humi-BugTrend'!$G$2:$G$22</c:f>
              <c:numCache>
                <c:formatCode>General</c:formatCode>
                <c:ptCount val="21"/>
                <c:pt idx="0">
                  <c:v>92</c:v>
                </c:pt>
                <c:pt idx="1">
                  <c:v>59</c:v>
                </c:pt>
                <c:pt idx="2">
                  <c:v>168</c:v>
                </c:pt>
                <c:pt idx="3">
                  <c:v>156</c:v>
                </c:pt>
                <c:pt idx="4">
                  <c:v>76</c:v>
                </c:pt>
                <c:pt idx="5">
                  <c:v>61</c:v>
                </c:pt>
                <c:pt idx="6">
                  <c:v>46</c:v>
                </c:pt>
                <c:pt idx="7">
                  <c:v>42</c:v>
                </c:pt>
                <c:pt idx="8">
                  <c:v>33</c:v>
                </c:pt>
                <c:pt idx="9">
                  <c:v>25</c:v>
                </c:pt>
                <c:pt idx="10">
                  <c:v>55</c:v>
                </c:pt>
                <c:pt idx="11">
                  <c:v>39</c:v>
                </c:pt>
                <c:pt idx="12">
                  <c:v>33</c:v>
                </c:pt>
                <c:pt idx="13">
                  <c:v>28</c:v>
                </c:pt>
                <c:pt idx="14">
                  <c:v>1</c:v>
                </c:pt>
                <c:pt idx="15">
                  <c:v>7</c:v>
                </c:pt>
                <c:pt idx="16">
                  <c:v>11</c:v>
                </c:pt>
                <c:pt idx="17">
                  <c:v>8</c:v>
                </c:pt>
                <c:pt idx="18">
                  <c:v>28</c:v>
                </c:pt>
                <c:pt idx="19">
                  <c:v>28</c:v>
                </c:pt>
                <c:pt idx="2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'Humi-BugTrend'!$A$2:$A$22</c:f>
              <c:strCache>
                <c:ptCount val="21"/>
                <c:pt idx="0">
                  <c:v>v1.15</c:v>
                </c:pt>
                <c:pt idx="1">
                  <c:v>v1.16</c:v>
                </c:pt>
                <c:pt idx="2">
                  <c:v>v1.17</c:v>
                </c:pt>
                <c:pt idx="3">
                  <c:v>v1.18</c:v>
                </c:pt>
                <c:pt idx="4">
                  <c:v>v1.19</c:v>
                </c:pt>
                <c:pt idx="5">
                  <c:v>v1.20</c:v>
                </c:pt>
                <c:pt idx="6">
                  <c:v>v1.21</c:v>
                </c:pt>
                <c:pt idx="7">
                  <c:v>v1.22</c:v>
                </c:pt>
                <c:pt idx="8">
                  <c:v>v1.23</c:v>
                </c:pt>
                <c:pt idx="9">
                  <c:v>v1.24</c:v>
                </c:pt>
                <c:pt idx="10">
                  <c:v>v1.25</c:v>
                </c:pt>
                <c:pt idx="11">
                  <c:v>v1.26</c:v>
                </c:pt>
                <c:pt idx="12">
                  <c:v>v1.27</c:v>
                </c:pt>
                <c:pt idx="13">
                  <c:v>v1.28</c:v>
                </c:pt>
                <c:pt idx="14">
                  <c:v>v1.29</c:v>
                </c:pt>
                <c:pt idx="15">
                  <c:v>v1.30</c:v>
                </c:pt>
                <c:pt idx="16">
                  <c:v>v1.31</c:v>
                </c:pt>
                <c:pt idx="17">
                  <c:v>v1.32</c:v>
                </c:pt>
                <c:pt idx="18">
                  <c:v>v1.33</c:v>
                </c:pt>
                <c:pt idx="19">
                  <c:v>v1.34</c:v>
                </c:pt>
                <c:pt idx="20">
                  <c:v>v1.35</c:v>
                </c:pt>
              </c:strCache>
            </c:strRef>
          </c:cat>
          <c:val>
            <c:numRef>
              <c:f>'Humi-BugTrend'!$H$2:$H$22</c:f>
              <c:numCache>
                <c:formatCode>General</c:formatCode>
                <c:ptCount val="21"/>
                <c:pt idx="0">
                  <c:v>101</c:v>
                </c:pt>
                <c:pt idx="1">
                  <c:v>66</c:v>
                </c:pt>
                <c:pt idx="2">
                  <c:v>193</c:v>
                </c:pt>
                <c:pt idx="3">
                  <c:v>187</c:v>
                </c:pt>
                <c:pt idx="4">
                  <c:v>91</c:v>
                </c:pt>
                <c:pt idx="5">
                  <c:v>77</c:v>
                </c:pt>
                <c:pt idx="6">
                  <c:v>53</c:v>
                </c:pt>
                <c:pt idx="7">
                  <c:v>62</c:v>
                </c:pt>
                <c:pt idx="8">
                  <c:v>51</c:v>
                </c:pt>
                <c:pt idx="9">
                  <c:v>51</c:v>
                </c:pt>
                <c:pt idx="10">
                  <c:v>70</c:v>
                </c:pt>
                <c:pt idx="11">
                  <c:v>48</c:v>
                </c:pt>
                <c:pt idx="12">
                  <c:v>38</c:v>
                </c:pt>
                <c:pt idx="13">
                  <c:v>40</c:v>
                </c:pt>
                <c:pt idx="14">
                  <c:v>3</c:v>
                </c:pt>
                <c:pt idx="15">
                  <c:v>22</c:v>
                </c:pt>
                <c:pt idx="16">
                  <c:v>12</c:v>
                </c:pt>
                <c:pt idx="17" formatCode="0">
                  <c:v>13</c:v>
                </c:pt>
                <c:pt idx="18" formatCode="0">
                  <c:v>47</c:v>
                </c:pt>
                <c:pt idx="19" formatCode="0">
                  <c:v>40</c:v>
                </c:pt>
                <c:pt idx="20" formatCode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'SOVA-BugTrend'!$B$2:$B$20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9</c:v>
                </c:pt>
                <c:pt idx="17">
                  <c:v>11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'SOVA-BugTrend'!$C$2:$C$20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4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'SOVA-BugTrend'!$D$2:$D$20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'SOVA-BugTrend'!$E$2:$E$20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'SOVA-BugTrend'!$F$2:$F$20</c:f>
              <c:numCache>
                <c:formatCode>General</c:formatCode>
                <c:ptCount val="19"/>
                <c:pt idx="0">
                  <c:v>20</c:v>
                </c:pt>
                <c:pt idx="1">
                  <c:v>20</c:v>
                </c:pt>
                <c:pt idx="2">
                  <c:v>16</c:v>
                </c:pt>
                <c:pt idx="3">
                  <c:v>16</c:v>
                </c:pt>
                <c:pt idx="4">
                  <c:v>55</c:v>
                </c:pt>
                <c:pt idx="5">
                  <c:v>35</c:v>
                </c:pt>
                <c:pt idx="6">
                  <c:v>39</c:v>
                </c:pt>
                <c:pt idx="7">
                  <c:v>39</c:v>
                </c:pt>
                <c:pt idx="8">
                  <c:v>45</c:v>
                </c:pt>
                <c:pt idx="9">
                  <c:v>18</c:v>
                </c:pt>
                <c:pt idx="10">
                  <c:v>25</c:v>
                </c:pt>
                <c:pt idx="11">
                  <c:v>45</c:v>
                </c:pt>
                <c:pt idx="12">
                  <c:v>24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34</c:v>
                </c:pt>
                <c:pt idx="17">
                  <c:v>19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'SOVA-BugTrend'!$G$2:$G$20</c:f>
              <c:numCache>
                <c:formatCode>General</c:formatCode>
                <c:ptCount val="19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'SOVA-BugTrend'!$A$2:$A$20</c:f>
              <c:strCache>
                <c:ptCount val="19"/>
                <c:pt idx="0">
                  <c:v>y25w16</c:v>
                </c:pt>
                <c:pt idx="1">
                  <c:v>y25w18</c:v>
                </c:pt>
                <c:pt idx="2">
                  <c:v>y25w20</c:v>
                </c:pt>
                <c:pt idx="3">
                  <c:v>y25w22</c:v>
                </c:pt>
                <c:pt idx="4">
                  <c:v>y25w24</c:v>
                </c:pt>
                <c:pt idx="5">
                  <c:v>y25w26</c:v>
                </c:pt>
                <c:pt idx="6">
                  <c:v>y25w28</c:v>
                </c:pt>
                <c:pt idx="7">
                  <c:v>y25w30</c:v>
                </c:pt>
                <c:pt idx="8">
                  <c:v>y25w32</c:v>
                </c:pt>
                <c:pt idx="9">
                  <c:v>y25w34</c:v>
                </c:pt>
                <c:pt idx="10">
                  <c:v>y25w36</c:v>
                </c:pt>
                <c:pt idx="11">
                  <c:v>y25w38</c:v>
                </c:pt>
                <c:pt idx="12">
                  <c:v>y25w40</c:v>
                </c:pt>
                <c:pt idx="13">
                  <c:v>y25w42</c:v>
                </c:pt>
                <c:pt idx="14">
                  <c:v>y25w44</c:v>
                </c:pt>
                <c:pt idx="15">
                  <c:v>y25w46</c:v>
                </c:pt>
                <c:pt idx="16">
                  <c:v>y25w48</c:v>
                </c:pt>
                <c:pt idx="17">
                  <c:v>y25w50</c:v>
                </c:pt>
                <c:pt idx="18">
                  <c:v>y25w52</c:v>
                </c:pt>
              </c:strCache>
            </c:strRef>
          </c:cat>
          <c:val>
            <c:numRef>
              <c:f>'SOVA-BugTrend'!$H$2:$H$20</c:f>
              <c:numCache>
                <c:formatCode>General</c:formatCode>
                <c:ptCount val="19"/>
                <c:pt idx="0">
                  <c:v>23</c:v>
                </c:pt>
                <c:pt idx="1">
                  <c:v>22</c:v>
                </c:pt>
                <c:pt idx="2">
                  <c:v>18</c:v>
                </c:pt>
                <c:pt idx="3">
                  <c:v>18</c:v>
                </c:pt>
                <c:pt idx="4">
                  <c:v>59</c:v>
                </c:pt>
                <c:pt idx="5">
                  <c:v>39</c:v>
                </c:pt>
                <c:pt idx="6">
                  <c:v>42</c:v>
                </c:pt>
                <c:pt idx="7">
                  <c:v>46</c:v>
                </c:pt>
                <c:pt idx="8">
                  <c:v>53</c:v>
                </c:pt>
                <c:pt idx="9">
                  <c:v>20</c:v>
                </c:pt>
                <c:pt idx="10">
                  <c:v>32</c:v>
                </c:pt>
                <c:pt idx="11">
                  <c:v>53</c:v>
                </c:pt>
                <c:pt idx="12">
                  <c:v>25</c:v>
                </c:pt>
                <c:pt idx="13">
                  <c:v>43</c:v>
                </c:pt>
                <c:pt idx="14">
                  <c:v>35</c:v>
                </c:pt>
                <c:pt idx="15">
                  <c:v>29</c:v>
                </c:pt>
                <c:pt idx="16">
                  <c:v>44</c:v>
                </c:pt>
                <c:pt idx="17">
                  <c:v>37</c:v>
                </c:pt>
                <c:pt idx="1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23</xdr:row>
      <xdr:rowOff>171448</xdr:rowOff>
    </xdr:from>
    <xdr:to>
      <xdr:col>8</xdr:col>
      <xdr:colOff>95250</xdr:colOff>
      <xdr:row>52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114300</xdr:rowOff>
    </xdr:from>
    <xdr:to>
      <xdr:col>6</xdr:col>
      <xdr:colOff>1028700</xdr:colOff>
      <xdr:row>46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29</xdr:row>
      <xdr:rowOff>69662</xdr:rowOff>
    </xdr:from>
    <xdr:to>
      <xdr:col>6</xdr:col>
      <xdr:colOff>1057275</xdr:colOff>
      <xdr:row>58</xdr:row>
      <xdr:rowOff>31562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24</xdr:row>
      <xdr:rowOff>142875</xdr:rowOff>
    </xdr:from>
    <xdr:to>
      <xdr:col>8</xdr:col>
      <xdr:colOff>428625</xdr:colOff>
      <xdr:row>53</xdr:row>
      <xdr:rowOff>88899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24</xdr:row>
      <xdr:rowOff>12700</xdr:rowOff>
    </xdr:from>
    <xdr:to>
      <xdr:col>7</xdr:col>
      <xdr:colOff>219075</xdr:colOff>
      <xdr:row>53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0" totalsRowShown="0" headerRowDxfId="33">
  <autoFilter ref="A1:E20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2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15" totalsRowShown="0" headerRowDxfId="0">
  <autoFilter ref="A1:H15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>
      <calculatedColumnFormula>SUM(B2:G2)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25" totalsRowShown="0" headerRowDxfId="31">
  <autoFilter ref="A1:H25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2" totalsRowShown="0" headerRowDxfId="29">
  <autoFilter ref="A1:H22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H20" totalsRowShown="0" headerRowDxfId="20" dataDxfId="18" headerRowBorderDxfId="19" tableBorderDxfId="17" totalsRowBorderDxfId="16" dataCellStyle="Hyperlink">
  <autoFilter ref="A1:H20" xr:uid="{108F5145-A108-41DB-B2C3-516BE7C86923}"/>
  <tableColumns count="8">
    <tableColumn id="1" xr3:uid="{5BE08AE0-E0B5-4B46-9423-456B88C2D9BC}" name="Sprint" dataDxfId="15"/>
    <tableColumn id="2" xr3:uid="{030F9647-4FC0-4C7E-9B3A-AB099CC59EBA}" name="To Do (0%)" dataDxfId="14" dataCellStyle="Hyperlink"/>
    <tableColumn id="3" xr3:uid="{7D2923F3-E2CF-4FD9-A7A5-68C36BB95591}" name="STARTING (10 ~ 40%)" dataDxfId="13" dataCellStyle="Hyperlink"/>
    <tableColumn id="4" xr3:uid="{48FB5317-7F3B-4F74-B244-5A49C7749EBD}" name="In Progress (50 ~ 70%)" dataDxfId="12" dataCellStyle="Hyperlink"/>
    <tableColumn id="5" xr3:uid="{86F5CCB5-C4C2-4C36-935A-657F085500B1}" name="IN REVIEW (80%)" dataDxfId="11" dataCellStyle="Hyperlink"/>
    <tableColumn id="6" xr3:uid="{33C9BCE6-D9EB-4032-9B0A-DDD9A4051A2D}" name="Done (100%)" dataDxfId="10" dataCellStyle="Hyperlink"/>
    <tableColumn id="8" xr3:uid="{D624FC89-A88E-45AC-9D22-66D66702B8C5}" name="WON'T DO (100%)" dataDxfId="9" dataCellStyle="Hyperlink"/>
    <tableColumn id="7" xr3:uid="{EFEEB7EC-E2D1-40EA-B265-A558311E5D30}" name="Total" dataDxfId="8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12" totalsRowShown="0" headerRowDxfId="7" dataDxfId="6">
  <autoFilter ref="A1:E12" xr:uid="{2C55E946-0086-4A42-AEAE-DA5ED4E8BB10}"/>
  <tableColumns count="5">
    <tableColumn id="1" xr3:uid="{7070D9F2-0ED1-4F39-8D72-28B37C8E98F2}" name="Week" dataDxfId="5"/>
    <tableColumn id="2" xr3:uid="{1173F443-CC27-4C6E-A432-BF66DB2A740E}" name="Done" dataDxfId="4"/>
    <tableColumn id="3" xr3:uid="{2EE10CB5-1AF1-4B50-9456-B3A666DD5338}" name="In Review/Progress" dataDxfId="3"/>
    <tableColumn id="4" xr3:uid="{328D0A00-85F0-4BFF-81FE-C023998A3701}" name="TODO (P1)" dataDxfId="2"/>
    <tableColumn id="5" xr3:uid="{E385808E-1FCD-451C-9807-DAF18A42B704}" name="Total" dataDxfId="1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xrspace.atlassian.net/issues/?jql=created+%3E%3D+2025-01-01+AND+created+%3C%3D+2025-12-31+AND+type+%3D+Bug+AND+project+%3D+SOVA+AND+Sprint+%3D+2156+AND+status+%3D+%22In+Progress+%2850+%7E+70%25%29%22" TargetMode="External"/><Relationship Id="rId117" Type="http://schemas.openxmlformats.org/officeDocument/2006/relationships/table" Target="../tables/table5.xml"/><Relationship Id="rId21" Type="http://schemas.openxmlformats.org/officeDocument/2006/relationships/hyperlink" Target="https://xrspace.atlassian.net/issues/?jql=created+%3E%3D+2025-01-01+AND+created+%3C%3D+2025-12-31+AND+type+%3D+Bug+AND+project+%3D+SOVA+AND+Sprint+%3D+1499+AND+status+%3D+%22To+Do+%280%25%29%22" TargetMode="External"/><Relationship Id="rId42" Type="http://schemas.openxmlformats.org/officeDocument/2006/relationships/hyperlink" Target="https://xrspace.atlassian.net/issues/?jql=created+%3E%3D+2025-01-01+AND+created+%3C%3D+2025-12-31+AND+type+%3D+Bug+AND+project+%3D+SOVA+AND+Sprint+%3D+2882+AND+status+%3D+%22In+Progress+%2850+%7E+70%25%29%22" TargetMode="External"/><Relationship Id="rId47" Type="http://schemas.openxmlformats.org/officeDocument/2006/relationships/hyperlink" Target="https://xrspace.atlassian.net/issues/?jql=created+%3E%3D+2025-01-01+AND+created+%3C%3D+2025-12-31+AND+type+%3D+Bug+AND+project+%3D+SOVA+AND+Sprint+%3D+3213+AND+status+%3D+%22IN+REVIEW+%2880%25%29%22" TargetMode="External"/><Relationship Id="rId63" Type="http://schemas.openxmlformats.org/officeDocument/2006/relationships/hyperlink" Target="https://xrspace.atlassian.net/issues/?jql=created+%3E%3D+2025-01-01+AND+created+%3C%3D+2025-12-31+AND+type+%3D+Bug+AND+project+%3D+SOVA+AND+Sprint+%3D+3608+AND+status+%3D+%22IN+REVIEW+%2880%25%29%22" TargetMode="External"/><Relationship Id="rId68" Type="http://schemas.openxmlformats.org/officeDocument/2006/relationships/hyperlink" Target="https://xrspace.atlassian.net/issues/?jql=created+%3E%3D+2025-01-01+AND+created+%3C%3D+2025-12-31+AND+type+%3D+Bug+AND+project+%3D+SOVA+AND+Sprint+%3D+3872+AND+status+%3D+%22STARTING+%2810+%7E+40%25%29%22" TargetMode="External"/><Relationship Id="rId84" Type="http://schemas.openxmlformats.org/officeDocument/2006/relationships/hyperlink" Target="https://xrspace.atlassian.net/issues/?jql=created+%3E%3D+2025-01-01+AND+created+%3C%3D+2025-12-31+AND+type+%3D+Bug+AND+project+%3D+SOVA+AND+Sprint+%3D+2157+AND+status+%3D+%22Done+%28100%25%29%22" TargetMode="External"/><Relationship Id="rId89" Type="http://schemas.openxmlformats.org/officeDocument/2006/relationships/hyperlink" Target="https://xrspace.atlassian.net/issues/?jql=created+%3E%3D+2025-01-01+AND+created+%3C%3D+2025-12-31+AND+type+%3D+Bug+AND+project+%3D+SOVA+AND+Sprint+%3D+3245+AND+status+%3D+%22Done+%28100%25%29%22" TargetMode="External"/><Relationship Id="rId112" Type="http://schemas.openxmlformats.org/officeDocument/2006/relationships/hyperlink" Target="https://xrspace.atlassian.net/issues/?jql=created+%3E%3D+2025-01-01+AND+created+%3C%3D+2025-12-31+AND+type+%3D+Bug+AND+project+%3D+SOVA+AND+Sprint+%3D+3872+AND+status+%3D+%22WON%27T+DO+%28100%25%29%22" TargetMode="External"/><Relationship Id="rId16" Type="http://schemas.openxmlformats.org/officeDocument/2006/relationships/hyperlink" Target="https://xrspace.atlassian.net/issues/?jql=created+%3E%3D+2025-01-01+AND+created+%3C%3D+2025-12-31+AND+type+%3D+Bug+AND+project+%3D+SOVA+AND+Sprint+%3D+1497+AND+status+%3D+%22STARTING+%2810+%7E+40%25%29%22" TargetMode="External"/><Relationship Id="rId107" Type="http://schemas.openxmlformats.org/officeDocument/2006/relationships/hyperlink" Target="https://xrspace.atlassian.net/issues/?jql=created+%3E%3D+2025-01-01+AND+created+%3C%3D+2025-12-31+AND+type+%3D+Bug+AND+project+%3D+SOVA+AND+Sprint+%3D+3213+AND+status+%3D+%22WON%27T+DO+%28100%25%29%22" TargetMode="External"/><Relationship Id="rId11" Type="http://schemas.openxmlformats.org/officeDocument/2006/relationships/hyperlink" Target="https://xrspace.atlassian.net/issues/?jql=created+%3E%3D+2025-01-01+AND+created+%3C%3D+2025-12-31+AND+type+%3D+Bug+AND+project+%3D+SOVA+AND+Sprint+%3D+1496+AND+status+%3D+%22IN+REVIEW+%2880%25%29%22" TargetMode="External"/><Relationship Id="rId32" Type="http://schemas.openxmlformats.org/officeDocument/2006/relationships/hyperlink" Target="https://xrspace.atlassian.net/issues/?jql=created+%3E%3D+2025-01-01+AND+created+%3C%3D+2025-12-31+AND+type+%3D+Bug+AND+project+%3D+SOVA+AND+Sprint+%3D+2157+AND+status+%3D+%22STARTING+%2810+%7E+40%25%29%22" TargetMode="External"/><Relationship Id="rId37" Type="http://schemas.openxmlformats.org/officeDocument/2006/relationships/hyperlink" Target="https://xrspace.atlassian.net/issues/?jql=created+%3E%3D+2025-01-01+AND+created+%3C%3D+2025-12-31+AND+type+%3D+Bug+AND+project+%3D+SOVA+AND+Sprint+%3D+2619+AND+status+%3D+%22To+Do+%280%25%29%22" TargetMode="External"/><Relationship Id="rId53" Type="http://schemas.openxmlformats.org/officeDocument/2006/relationships/hyperlink" Target="https://xrspace.atlassian.net/issues/?jql=created+%3E%3D+2025-01-01+AND+created+%3C%3D+2025-12-31+AND+type+%3D+Bug+AND+project+%3D+SOVA+AND+Sprint+%3D+3246+AND+status+%3D+%22To+Do+%280%25%29%22" TargetMode="External"/><Relationship Id="rId58" Type="http://schemas.openxmlformats.org/officeDocument/2006/relationships/hyperlink" Target="https://xrspace.atlassian.net/issues/?jql=created+%3E%3D+2025-01-01+AND+created+%3C%3D+2025-12-31+AND+type+%3D+Bug+AND+project+%3D+SOVA+AND+Sprint+%3D+3575+AND+status+%3D+%22In+Progress+%2850+%7E+70%25%29%22" TargetMode="External"/><Relationship Id="rId74" Type="http://schemas.openxmlformats.org/officeDocument/2006/relationships/hyperlink" Target="https://xrspace.atlassian.net/issues/?jql=created+%3E%3D+2025-01-01+AND+created+%3C%3D+2025-12-31+AND+type+%3D+Bug+AND+project+%3D+SOVA+AND+Sprint+%3D+4140+AND+status+%3D+%22In+Progress+%2850+%7E+70%25%29%22" TargetMode="External"/><Relationship Id="rId79" Type="http://schemas.openxmlformats.org/officeDocument/2006/relationships/hyperlink" Target="https://xrspace.atlassian.net/issues/?jql=created+%3E%3D+2025-01-01+AND+created+%3C%3D+2025-12-31+AND+type+%3D+Bug+AND+project+%3D+SOVA+AND+Sprint+%3D+1496+AND+status+%3D+%22Done+%28100%25%29%22" TargetMode="External"/><Relationship Id="rId102" Type="http://schemas.openxmlformats.org/officeDocument/2006/relationships/hyperlink" Target="https://xrspace.atlassian.net/issues/?jql=created+%3E%3D+2025-01-01+AND+created+%3C%3D+2025-12-31+AND+type+%3D+Bug+AND+project+%3D+SOVA+AND+Sprint+%3D+2156+AND+status+%3D+%22WON%27T+DO+%28100%25%29%22" TargetMode="External"/><Relationship Id="rId5" Type="http://schemas.openxmlformats.org/officeDocument/2006/relationships/hyperlink" Target="https://xrspace.atlassian.net/issues/?jql=created+%3E%3D+2025-01-01+AND+created+%3C%3D+2025-12-31+AND+type+%3D+Bug+AND+project+%3D+SOVA+AND+Sprint+%3D+1466+AND+status+%3D+%22To+Do+%280%25%29%22" TargetMode="External"/><Relationship Id="rId90" Type="http://schemas.openxmlformats.org/officeDocument/2006/relationships/hyperlink" Target="https://xrspace.atlassian.net/issues/?jql=created+%3E%3D+2025-01-01+AND+created+%3C%3D+2025-12-31+AND+type+%3D+Bug+AND+project+%3D+SOVA+AND+Sprint+%3D+3246+AND+status+%3D+%22Done+%28100%25%29%22" TargetMode="External"/><Relationship Id="rId95" Type="http://schemas.openxmlformats.org/officeDocument/2006/relationships/hyperlink" Target="https://xrspace.atlassian.net/issues/?jql=created+%3E%3D+2025-01-01+AND+created+%3C%3D+2025-12-31+AND+type+%3D+Bug+AND+project+%3D+SOVA+AND+Sprint+%3D+4140+AND+status+%3D+%22Done+%28100%25%29%22" TargetMode="External"/><Relationship Id="rId22" Type="http://schemas.openxmlformats.org/officeDocument/2006/relationships/hyperlink" Target="https://xrspace.atlassian.net/issues/?jql=created+%3E%3D+2025-01-01+AND+created+%3C%3D+2025-12-31+AND+type+%3D+Bug+AND+project+%3D+SOVA+AND+Sprint+%3D+1499+AND+status+%3D+%22In+Progress+%2850+%7E+70%25%29%22" TargetMode="External"/><Relationship Id="rId27" Type="http://schemas.openxmlformats.org/officeDocument/2006/relationships/hyperlink" Target="https://xrspace.atlassian.net/issues/?jql=created+%3E%3D+2025-01-01+AND+created+%3C%3D+2025-12-31+AND+type+%3D+Bug+AND+project+%3D+SOVA+AND+Sprint+%3D+2156+AND+status+%3D+%22IN+REVIEW+%2880%25%29%22" TargetMode="External"/><Relationship Id="rId43" Type="http://schemas.openxmlformats.org/officeDocument/2006/relationships/hyperlink" Target="https://xrspace.atlassian.net/issues/?jql=created+%3E%3D+2025-01-01+AND+created+%3C%3D+2025-12-31+AND+type+%3D+Bug+AND+project+%3D+SOVA+AND+Sprint+%3D+2882+AND+status+%3D+%22IN+REVIEW+%2880%25%29%22" TargetMode="External"/><Relationship Id="rId48" Type="http://schemas.openxmlformats.org/officeDocument/2006/relationships/hyperlink" Target="https://xrspace.atlassian.net/issues/?jql=created+%3E%3D+2025-01-01+AND+created+%3C%3D+2025-12-31+AND+type+%3D+Bug+AND+project+%3D+SOVA+AND+Sprint+%3D+3213+AND+status+%3D+%22STARTING+%2810+%7E+40%25%29%22" TargetMode="External"/><Relationship Id="rId64" Type="http://schemas.openxmlformats.org/officeDocument/2006/relationships/hyperlink" Target="https://xrspace.atlassian.net/issues/?jql=created+%3E%3D+2025-01-01+AND+created+%3C%3D+2025-12-31+AND+type+%3D+Bug+AND+project+%3D+SOVA+AND+Sprint+%3D+3608+AND+status+%3D+%22STARTING+%2810+%7E+40%25%29%22" TargetMode="External"/><Relationship Id="rId69" Type="http://schemas.openxmlformats.org/officeDocument/2006/relationships/hyperlink" Target="https://xrspace.atlassian.net/issues/?jql=created+%3E%3D+2025-01-01+AND+created+%3C%3D+2025-12-31+AND+type+%3D+Bug+AND+project+%3D+SOVA+AND+Sprint+%3D+3873+AND+status+%3D+%22To+Do+%280%25%29%22" TargetMode="External"/><Relationship Id="rId113" Type="http://schemas.openxmlformats.org/officeDocument/2006/relationships/hyperlink" Target="https://xrspace.atlassian.net/issues/?jql=created+%3E%3D+2025-01-01+AND+created+%3C%3D+2025-12-31+AND+type+%3D+Bug+AND+project+%3D+SOVA+AND+Sprint+%3D+3873+AND+status+%3D+%22WON%27T+DO+%28100%25%29%22" TargetMode="External"/><Relationship Id="rId80" Type="http://schemas.openxmlformats.org/officeDocument/2006/relationships/hyperlink" Target="https://xrspace.atlassian.net/issues/?jql=created+%3E%3D+2025-01-01+AND+created+%3C%3D+2025-12-31+AND+type+%3D+Bug+AND+project+%3D+SOVA+AND+Sprint+%3D+1497+AND+status+%3D+%22Done+%28100%25%29%22" TargetMode="External"/><Relationship Id="rId85" Type="http://schemas.openxmlformats.org/officeDocument/2006/relationships/hyperlink" Target="https://xrspace.atlassian.net/issues/?jql=created+%3E%3D+2025-01-01+AND+created+%3C%3D+2025-12-31+AND+type+%3D+Bug+AND+project+%3D+SOVA+AND+Sprint+%3D+2618+AND+status+%3D+%22Done+%28100%25%29%22" TargetMode="External"/><Relationship Id="rId12" Type="http://schemas.openxmlformats.org/officeDocument/2006/relationships/hyperlink" Target="https://xrspace.atlassian.net/issues/?jql=created+%3E%3D+2025-01-01+AND+created+%3C%3D+2025-12-31+AND+type+%3D+Bug+AND+project+%3D+SOVA+AND+Sprint+%3D+1496+AND+status+%3D+%22STARTING+%2810+%7E+40%25%29%22" TargetMode="External"/><Relationship Id="rId17" Type="http://schemas.openxmlformats.org/officeDocument/2006/relationships/hyperlink" Target="https://xrspace.atlassian.net/issues/?jql=created+%3E%3D+2025-01-01+AND+created+%3C%3D+2025-12-31+AND+type+%3D+Bug+AND+project+%3D+SOVA+AND+Sprint+%3D+1498+AND+status+%3D+%22To+Do+%280%25%29%22" TargetMode="External"/><Relationship Id="rId33" Type="http://schemas.openxmlformats.org/officeDocument/2006/relationships/hyperlink" Target="https://xrspace.atlassian.net/issues/?jql=created+%3E%3D+2025-01-01+AND+created+%3C%3D+2025-12-31+AND+type+%3D+Bug+AND+project+%3D+SOVA+AND+Sprint+%3D+2618+AND+status+%3D+%22To+Do+%280%25%29%22" TargetMode="External"/><Relationship Id="rId38" Type="http://schemas.openxmlformats.org/officeDocument/2006/relationships/hyperlink" Target="https://xrspace.atlassian.net/issues/?jql=created+%3E%3D+2025-01-01+AND+created+%3C%3D+2025-12-31+AND+type+%3D+Bug+AND+project+%3D+SOVA+AND+Sprint+%3D+2619+AND+status+%3D+%22In+Progress+%2850+%7E+70%25%29%22" TargetMode="External"/><Relationship Id="rId59" Type="http://schemas.openxmlformats.org/officeDocument/2006/relationships/hyperlink" Target="https://xrspace.atlassian.net/issues/?jql=created+%3E%3D+2025-01-01+AND+created+%3C%3D+2025-12-31+AND+type+%3D+Bug+AND+project+%3D+SOVA+AND+Sprint+%3D+3575+AND+status+%3D+%22IN+REVIEW+%2880%25%29%22" TargetMode="External"/><Relationship Id="rId103" Type="http://schemas.openxmlformats.org/officeDocument/2006/relationships/hyperlink" Target="https://xrspace.atlassian.net/issues/?jql=created+%3E%3D+2025-01-01+AND+created+%3C%3D+2025-12-31+AND+type+%3D+Bug+AND+project+%3D+SOVA+AND+Sprint+%3D+2157+AND+status+%3D+%22WON%27T+DO+%28100%25%29%22" TargetMode="External"/><Relationship Id="rId108" Type="http://schemas.openxmlformats.org/officeDocument/2006/relationships/hyperlink" Target="https://xrspace.atlassian.net/issues/?jql=created+%3E%3D+2025-01-01+AND+created+%3C%3D+2025-12-31+AND+type+%3D+Bug+AND+project+%3D+SOVA+AND+Sprint+%3D+3245+AND+status+%3D+%22WON%27T+DO+%28100%25%29%22" TargetMode="External"/><Relationship Id="rId54" Type="http://schemas.openxmlformats.org/officeDocument/2006/relationships/hyperlink" Target="https://xrspace.atlassian.net/issues/?jql=created+%3E%3D+2025-01-01+AND+created+%3C%3D+2025-12-31+AND+type+%3D+Bug+AND+project+%3D+SOVA+AND+Sprint+%3D+3246+AND+status+%3D+%22In+Progress+%2850+%7E+70%25%29%22" TargetMode="External"/><Relationship Id="rId70" Type="http://schemas.openxmlformats.org/officeDocument/2006/relationships/hyperlink" Target="https://xrspace.atlassian.net/issues/?jql=created+%3E%3D+2025-01-01+AND+created+%3C%3D+2025-12-31+AND+type+%3D+Bug+AND+project+%3D+SOVA+AND+Sprint+%3D+3873+AND+status+%3D+%22In+Progress+%2850+%7E+70%25%29%22" TargetMode="External"/><Relationship Id="rId75" Type="http://schemas.openxmlformats.org/officeDocument/2006/relationships/hyperlink" Target="https://xrspace.atlassian.net/issues/?jql=created+%3E%3D+2025-01-01+AND+created+%3C%3D+2025-12-31+AND+type+%3D+Bug+AND+project+%3D+SOVA+AND+Sprint+%3D+4140+AND+status+%3D+%22IN+REVIEW+%2880%25%29%22" TargetMode="External"/><Relationship Id="rId91" Type="http://schemas.openxmlformats.org/officeDocument/2006/relationships/hyperlink" Target="https://xrspace.atlassian.net/issues/?jql=created+%3E%3D+2025-01-01+AND+created+%3C%3D+2025-12-31+AND+type+%3D+Bug+AND+project+%3D+SOVA+AND+Sprint+%3D+3575+AND+status+%3D+%22Done+%28100%25%29%22" TargetMode="External"/><Relationship Id="rId96" Type="http://schemas.openxmlformats.org/officeDocument/2006/relationships/hyperlink" Target="https://xrspace.atlassian.net/issues/?jql=created+%3E%3D+2025-01-01+AND+created+%3C%3D+2025-12-31+AND+type+%3D+Bug+AND+project+%3D+SOVA+AND+Sprint+%3D+1463+AND+status+%3D+%22WON%27T+DO+%28100%25%29%22" TargetMode="External"/><Relationship Id="rId1" Type="http://schemas.openxmlformats.org/officeDocument/2006/relationships/hyperlink" Target="https://xrspace.atlassian.net/issues/?jql=created+%3E%3D+2025-01-01+AND+created+%3C%3D+2025-12-31+AND+type+%3D+Bug+AND+project+%3D+SOVA+AND+Sprint+%3D+1463+AND+status+%3D+%22To+Do+%280%25%29%22" TargetMode="External"/><Relationship Id="rId6" Type="http://schemas.openxmlformats.org/officeDocument/2006/relationships/hyperlink" Target="https://xrspace.atlassian.net/issues/?jql=created+%3E%3D+2025-01-01+AND+created+%3C%3D+2025-12-31+AND+type+%3D+Bug+AND+project+%3D+SOVA+AND+Sprint+%3D+1466+AND+status+%3D+%22In+Progress+%2850+%7E+70%25%29%22" TargetMode="External"/><Relationship Id="rId23" Type="http://schemas.openxmlformats.org/officeDocument/2006/relationships/hyperlink" Target="https://xrspace.atlassian.net/issues/?jql=created+%3E%3D+2025-01-01+AND+created+%3C%3D+2025-12-31+AND+type+%3D+Bug+AND+project+%3D+SOVA+AND+Sprint+%3D+1499+AND+status+%3D+%22IN+REVIEW+%2880%25%29%22" TargetMode="External"/><Relationship Id="rId28" Type="http://schemas.openxmlformats.org/officeDocument/2006/relationships/hyperlink" Target="https://xrspace.atlassian.net/issues/?jql=created+%3E%3D+2025-01-01+AND+created+%3C%3D+2025-12-31+AND+type+%3D+Bug+AND+project+%3D+SOVA+AND+Sprint+%3D+2156+AND+status+%3D+%22STARTING+%2810+%7E+40%25%29%22" TargetMode="External"/><Relationship Id="rId49" Type="http://schemas.openxmlformats.org/officeDocument/2006/relationships/hyperlink" Target="https://xrspace.atlassian.net/issues/?jql=created+%3E%3D+2025-01-01+AND+created+%3C%3D+2025-12-31+AND+type+%3D+Bug+AND+project+%3D+SOVA+AND+Sprint+%3D+3245+AND+status+%3D+%22To+Do+%280%25%29%22" TargetMode="External"/><Relationship Id="rId114" Type="http://schemas.openxmlformats.org/officeDocument/2006/relationships/hyperlink" Target="https://xrspace.atlassian.net/issues/?jql=created+%3E%3D+2025-01-01+AND+created+%3C%3D+2025-12-31+AND+type+%3D+Bug+AND+project+%3D+SOVA+AND+Sprint+%3D+4140+AND+status+%3D+%22WON%27T+DO+%28100%25%29%22" TargetMode="External"/><Relationship Id="rId10" Type="http://schemas.openxmlformats.org/officeDocument/2006/relationships/hyperlink" Target="https://xrspace.atlassian.net/issues/?jql=created+%3E%3D+2025-01-01+AND+created+%3C%3D+2025-12-31+AND+type+%3D+Bug+AND+project+%3D+SOVA+AND+Sprint+%3D+1496+AND+status+%3D+%22In+Progress+%2850+%7E+70%25%29%22" TargetMode="External"/><Relationship Id="rId31" Type="http://schemas.openxmlformats.org/officeDocument/2006/relationships/hyperlink" Target="https://xrspace.atlassian.net/issues/?jql=created+%3E%3D+2025-01-01+AND+created+%3C%3D+2025-12-31+AND+type+%3D+Bug+AND+project+%3D+SOVA+AND+Sprint+%3D+2157+AND+status+%3D+%22IN+REVIEW+%2880%25%29%22" TargetMode="External"/><Relationship Id="rId44" Type="http://schemas.openxmlformats.org/officeDocument/2006/relationships/hyperlink" Target="https://xrspace.atlassian.net/issues/?jql=created+%3E%3D+2025-01-01+AND+created+%3C%3D+2025-12-31+AND+type+%3D+Bug+AND+project+%3D+SOVA+AND+Sprint+%3D+2882+AND+status+%3D+%22STARTING+%2810+%7E+40%25%29%22" TargetMode="External"/><Relationship Id="rId52" Type="http://schemas.openxmlformats.org/officeDocument/2006/relationships/hyperlink" Target="https://xrspace.atlassian.net/issues/?jql=created+%3E%3D+2025-01-01+AND+created+%3C%3D+2025-12-31+AND+type+%3D+Bug+AND+project+%3D+SOVA+AND+Sprint+%3D+3245+AND+status+%3D+%22STARTING+%2810+%7E+40%25%29%22" TargetMode="External"/><Relationship Id="rId60" Type="http://schemas.openxmlformats.org/officeDocument/2006/relationships/hyperlink" Target="https://xrspace.atlassian.net/issues/?jql=created+%3E%3D+2025-01-01+AND+created+%3C%3D+2025-12-31+AND+type+%3D+Bug+AND+project+%3D+SOVA+AND+Sprint+%3D+3575+AND+status+%3D+%22STARTING+%2810+%7E+40%25%29%22" TargetMode="External"/><Relationship Id="rId65" Type="http://schemas.openxmlformats.org/officeDocument/2006/relationships/hyperlink" Target="https://xrspace.atlassian.net/issues/?jql=created+%3E%3D+2025-01-01+AND+created+%3C%3D+2025-12-31+AND+type+%3D+Bug+AND+project+%3D+SOVA+AND+Sprint+%3D+3872+AND+status+%3D+%22To+Do+%280%25%29%22" TargetMode="External"/><Relationship Id="rId73" Type="http://schemas.openxmlformats.org/officeDocument/2006/relationships/hyperlink" Target="https://xrspace.atlassian.net/issues/?jql=created+%3E%3D+2025-01-01+AND+created+%3C%3D+2025-12-31+AND+type+%3D+Bug+AND+project+%3D+SOVA+AND+Sprint+%3D+4140+AND+status+%3D+%22To+Do+%280%25%29%22" TargetMode="External"/><Relationship Id="rId78" Type="http://schemas.openxmlformats.org/officeDocument/2006/relationships/hyperlink" Target="https://xrspace.atlassian.net/issues/?jql=created+%3E%3D+2025-01-01+AND+created+%3C%3D+2025-12-31+AND+type+%3D+Bug+AND+project+%3D+SOVA+AND+Sprint+%3D+1466+AND+status+%3D+%22Done+%28100%25%29%22" TargetMode="External"/><Relationship Id="rId81" Type="http://schemas.openxmlformats.org/officeDocument/2006/relationships/hyperlink" Target="https://xrspace.atlassian.net/issues/?jql=created+%3E%3D+2025-01-01+AND+created+%3C%3D+2025-12-31+AND+type+%3D+Bug+AND+project+%3D+SOVA+AND+Sprint+%3D+1498+AND+status+%3D+%22Done+%28100%25%29%22" TargetMode="External"/><Relationship Id="rId86" Type="http://schemas.openxmlformats.org/officeDocument/2006/relationships/hyperlink" Target="https://xrspace.atlassian.net/issues/?jql=created+%3E%3D+2025-01-01+AND+created+%3C%3D+2025-12-31+AND+type+%3D+Bug+AND+project+%3D+SOVA+AND+Sprint+%3D+2619+AND+status+%3D+%22Done+%28100%25%29%22" TargetMode="External"/><Relationship Id="rId94" Type="http://schemas.openxmlformats.org/officeDocument/2006/relationships/hyperlink" Target="https://xrspace.atlassian.net/issues/?jql=created+%3E%3D+2025-01-01+AND+created+%3C%3D+2025-12-31+AND+type+%3D+Bug+AND+project+%3D+SOVA+AND+Sprint+%3D+3873+AND+status+%3D+%22Done+%28100%25%29%22" TargetMode="External"/><Relationship Id="rId99" Type="http://schemas.openxmlformats.org/officeDocument/2006/relationships/hyperlink" Target="https://xrspace.atlassian.net/issues/?jql=created+%3E%3D+2025-01-01+AND+created+%3C%3D+2025-12-31+AND+type+%3D+Bug+AND+project+%3D+SOVA+AND+Sprint+%3D+1497+AND+status+%3D+%22WON%27T+DO+%28100%25%29%22" TargetMode="External"/><Relationship Id="rId101" Type="http://schemas.openxmlformats.org/officeDocument/2006/relationships/hyperlink" Target="https://xrspace.atlassian.net/issues/?jql=created+%3E%3D+2025-01-01+AND+created+%3C%3D+2025-12-31+AND+type+%3D+Bug+AND+project+%3D+SOVA+AND+Sprint+%3D+1499+AND+status+%3D+%22WON%27T+DO+%28100%25%29%22" TargetMode="External"/><Relationship Id="rId4" Type="http://schemas.openxmlformats.org/officeDocument/2006/relationships/hyperlink" Target="https://xrspace.atlassian.net/issues/?jql=created+%3E%3D+2025-01-01+AND+created+%3C%3D+2025-12-31+AND+type+%3D+Bug+AND+project+%3D+SOVA+AND+Sprint+%3D+1463+AND+status+%3D+%22STARTING+%2810+%7E+40%25%29%22" TargetMode="External"/><Relationship Id="rId9" Type="http://schemas.openxmlformats.org/officeDocument/2006/relationships/hyperlink" Target="https://xrspace.atlassian.net/issues/?jql=created+%3E%3D+2025-01-01+AND+created+%3C%3D+2025-12-31+AND+type+%3D+Bug+AND+project+%3D+SOVA+AND+Sprint+%3D+1496+AND+status+%3D+%22To+Do+%280%25%29%22" TargetMode="External"/><Relationship Id="rId13" Type="http://schemas.openxmlformats.org/officeDocument/2006/relationships/hyperlink" Target="https://xrspace.atlassian.net/issues/?jql=created+%3E%3D+2025-01-01+AND+created+%3C%3D+2025-12-31+AND+type+%3D+Bug+AND+project+%3D+SOVA+AND+Sprint+%3D+1497+AND+status+%3D+%22To+Do+%280%25%29%22" TargetMode="External"/><Relationship Id="rId18" Type="http://schemas.openxmlformats.org/officeDocument/2006/relationships/hyperlink" Target="https://xrspace.atlassian.net/issues/?jql=created+%3E%3D+2025-01-01+AND+created+%3C%3D+2025-12-31+AND+type+%3D+Bug+AND+project+%3D+SOVA+AND+Sprint+%3D+1498+AND+status+%3D+%22In+Progress+%2850+%7E+70%25%29%22" TargetMode="External"/><Relationship Id="rId39" Type="http://schemas.openxmlformats.org/officeDocument/2006/relationships/hyperlink" Target="https://xrspace.atlassian.net/issues/?jql=created+%3E%3D+2025-01-01+AND+created+%3C%3D+2025-12-31+AND+type+%3D+Bug+AND+project+%3D+SOVA+AND+Sprint+%3D+2619+AND+status+%3D+%22IN+REVIEW+%2880%25%29%22" TargetMode="External"/><Relationship Id="rId109" Type="http://schemas.openxmlformats.org/officeDocument/2006/relationships/hyperlink" Target="https://xrspace.atlassian.net/issues/?jql=created+%3E%3D+2025-01-01+AND+created+%3C%3D+2025-12-31+AND+type+%3D+Bug+AND+project+%3D+SOVA+AND+Sprint+%3D+3246+AND+status+%3D+%22WON%27T+DO+%28100%25%29%22" TargetMode="External"/><Relationship Id="rId34" Type="http://schemas.openxmlformats.org/officeDocument/2006/relationships/hyperlink" Target="https://xrspace.atlassian.net/issues/?jql=created+%3E%3D+2025-01-01+AND+created+%3C%3D+2025-12-31+AND+type+%3D+Bug+AND+project+%3D+SOVA+AND+Sprint+%3D+2618+AND+status+%3D+%22In+Progress+%2850+%7E+70%25%29%22" TargetMode="External"/><Relationship Id="rId50" Type="http://schemas.openxmlformats.org/officeDocument/2006/relationships/hyperlink" Target="https://xrspace.atlassian.net/issues/?jql=created+%3E%3D+2025-01-01+AND+created+%3C%3D+2025-12-31+AND+type+%3D+Bug+AND+project+%3D+SOVA+AND+Sprint+%3D+3245+AND+status+%3D+%22In+Progress+%2850+%7E+70%25%29%22" TargetMode="External"/><Relationship Id="rId55" Type="http://schemas.openxmlformats.org/officeDocument/2006/relationships/hyperlink" Target="https://xrspace.atlassian.net/issues/?jql=created+%3E%3D+2025-01-01+AND+created+%3C%3D+2025-12-31+AND+type+%3D+Bug+AND+project+%3D+SOVA+AND+Sprint+%3D+3246+AND+status+%3D+%22IN+REVIEW+%2880%25%29%22" TargetMode="External"/><Relationship Id="rId76" Type="http://schemas.openxmlformats.org/officeDocument/2006/relationships/hyperlink" Target="https://xrspace.atlassian.net/issues/?jql=created+%3E%3D+2025-01-01+AND+created+%3C%3D+2025-12-31+AND+type+%3D+Bug+AND+project+%3D+SOVA+AND+Sprint+%3D+4140+AND+status+%3D+%22STARTING+%2810+%7E+40%25%29%22" TargetMode="External"/><Relationship Id="rId97" Type="http://schemas.openxmlformats.org/officeDocument/2006/relationships/hyperlink" Target="https://xrspace.atlassian.net/issues/?jql=created+%3E%3D+2025-01-01+AND+created+%3C%3D+2025-12-31+AND+type+%3D+Bug+AND+project+%3D+SOVA+AND+Sprint+%3D+1466+AND+status+%3D+%22WON%27T+DO+%28100%25%29%22" TargetMode="External"/><Relationship Id="rId104" Type="http://schemas.openxmlformats.org/officeDocument/2006/relationships/hyperlink" Target="https://xrspace.atlassian.net/issues/?jql=created+%3E%3D+2025-01-01+AND+created+%3C%3D+2025-12-31+AND+type+%3D+Bug+AND+project+%3D+SOVA+AND+Sprint+%3D+2618+AND+status+%3D+%22WON%27T+DO+%28100%25%29%22" TargetMode="External"/><Relationship Id="rId7" Type="http://schemas.openxmlformats.org/officeDocument/2006/relationships/hyperlink" Target="https://xrspace.atlassian.net/issues/?jql=created+%3E%3D+2025-01-01+AND+created+%3C%3D+2025-12-31+AND+type+%3D+Bug+AND+project+%3D+SOVA+AND+Sprint+%3D+1466+AND+status+%3D+%22IN+REVIEW+%2880%25%29%22" TargetMode="External"/><Relationship Id="rId71" Type="http://schemas.openxmlformats.org/officeDocument/2006/relationships/hyperlink" Target="https://xrspace.atlassian.net/issues/?jql=created+%3E%3D+2025-01-01+AND+created+%3C%3D+2025-12-31+AND+type+%3D+Bug+AND+project+%3D+SOVA+AND+Sprint+%3D+3873+AND+status+%3D+%22IN+REVIEW+%2880%25%29%22" TargetMode="External"/><Relationship Id="rId92" Type="http://schemas.openxmlformats.org/officeDocument/2006/relationships/hyperlink" Target="https://xrspace.atlassian.net/issues/?jql=created+%3E%3D+2025-01-01+AND+created+%3C%3D+2025-12-31+AND+type+%3D+Bug+AND+project+%3D+SOVA+AND+Sprint+%3D+3608+AND+status+%3D+%22Done+%28100%25%29%22" TargetMode="External"/><Relationship Id="rId2" Type="http://schemas.openxmlformats.org/officeDocument/2006/relationships/hyperlink" Target="https://xrspace.atlassian.net/issues/?jql=created+%3E%3D+2025-01-01+AND+created+%3C%3D+2025-12-31+AND+type+%3D+Bug+AND+project+%3D+SOVA+AND+Sprint+%3D+1463+AND+status+%3D+%22In+Progress+%2850+%7E+70%25%29%22" TargetMode="External"/><Relationship Id="rId29" Type="http://schemas.openxmlformats.org/officeDocument/2006/relationships/hyperlink" Target="https://xrspace.atlassian.net/issues/?jql=created+%3E%3D+2025-01-01+AND+created+%3C%3D+2025-12-31+AND+type+%3D+Bug+AND+project+%3D+SOVA+AND+Sprint+%3D+2157+AND+status+%3D+%22To+Do+%280%25%29%22" TargetMode="External"/><Relationship Id="rId24" Type="http://schemas.openxmlformats.org/officeDocument/2006/relationships/hyperlink" Target="https://xrspace.atlassian.net/issues/?jql=created+%3E%3D+2025-01-01+AND+created+%3C%3D+2025-12-31+AND+type+%3D+Bug+AND+project+%3D+SOVA+AND+Sprint+%3D+1499+AND+status+%3D+%22STARTING+%2810+%7E+40%25%29%22" TargetMode="External"/><Relationship Id="rId40" Type="http://schemas.openxmlformats.org/officeDocument/2006/relationships/hyperlink" Target="https://xrspace.atlassian.net/issues/?jql=created+%3E%3D+2025-01-01+AND+created+%3C%3D+2025-12-31+AND+type+%3D+Bug+AND+project+%3D+SOVA+AND+Sprint+%3D+2619+AND+status+%3D+%22STARTING+%2810+%7E+40%25%29%22" TargetMode="External"/><Relationship Id="rId45" Type="http://schemas.openxmlformats.org/officeDocument/2006/relationships/hyperlink" Target="https://xrspace.atlassian.net/issues/?jql=created+%3E%3D+2025-01-01+AND+created+%3C%3D+2025-12-31+AND+type+%3D+Bug+AND+project+%3D+SOVA+AND+Sprint+%3D+3213+AND+status+%3D+%22To+Do+%280%25%29%22" TargetMode="External"/><Relationship Id="rId66" Type="http://schemas.openxmlformats.org/officeDocument/2006/relationships/hyperlink" Target="https://xrspace.atlassian.net/issues/?jql=created+%3E%3D+2025-01-01+AND+created+%3C%3D+2025-12-31+AND+type+%3D+Bug+AND+project+%3D+SOVA+AND+Sprint+%3D+3872+AND+status+%3D+%22In+Progress+%2850+%7E+70%25%29%22" TargetMode="External"/><Relationship Id="rId87" Type="http://schemas.openxmlformats.org/officeDocument/2006/relationships/hyperlink" Target="https://xrspace.atlassian.net/issues/?jql=created+%3E%3D+2025-01-01+AND+created+%3C%3D+2025-12-31+AND+type+%3D+Bug+AND+project+%3D+SOVA+AND+Sprint+%3D+2882+AND+status+%3D+%22Done+%28100%25%29%22" TargetMode="External"/><Relationship Id="rId110" Type="http://schemas.openxmlformats.org/officeDocument/2006/relationships/hyperlink" Target="https://xrspace.atlassian.net/issues/?jql=created+%3E%3D+2025-01-01+AND+created+%3C%3D+2025-12-31+AND+type+%3D+Bug+AND+project+%3D+SOVA+AND+Sprint+%3D+3575+AND+status+%3D+%22WON%27T+DO+%28100%25%29%22" TargetMode="External"/><Relationship Id="rId115" Type="http://schemas.openxmlformats.org/officeDocument/2006/relationships/printerSettings" Target="../printerSettings/printerSettings3.bin"/><Relationship Id="rId61" Type="http://schemas.openxmlformats.org/officeDocument/2006/relationships/hyperlink" Target="https://xrspace.atlassian.net/issues/?jql=created+%3E%3D+2025-01-01+AND+created+%3C%3D+2025-12-31+AND+type+%3D+Bug+AND+project+%3D+SOVA+AND+Sprint+%3D+3608+AND+status+%3D+%22To+Do+%280%25%29%22" TargetMode="External"/><Relationship Id="rId82" Type="http://schemas.openxmlformats.org/officeDocument/2006/relationships/hyperlink" Target="https://xrspace.atlassian.net/issues/?jql=created+%3E%3D+2025-01-01+AND+created+%3C%3D+2025-12-31+AND+type+%3D+Bug+AND+project+%3D+SOVA+AND+Sprint+%3D+1499+AND+status+%3D+%22Done+%28100%25%29%22" TargetMode="External"/><Relationship Id="rId19" Type="http://schemas.openxmlformats.org/officeDocument/2006/relationships/hyperlink" Target="https://xrspace.atlassian.net/issues/?jql=created+%3E%3D+2025-01-01+AND+created+%3C%3D+2025-12-31+AND+type+%3D+Bug+AND+project+%3D+SOVA+AND+Sprint+%3D+1498+AND+status+%3D+%22IN+REVIEW+%2880%25%29%22" TargetMode="External"/><Relationship Id="rId14" Type="http://schemas.openxmlformats.org/officeDocument/2006/relationships/hyperlink" Target="https://xrspace.atlassian.net/issues/?jql=created+%3E%3D+2025-01-01+AND+created+%3C%3D+2025-12-31+AND+type+%3D+Bug+AND+project+%3D+SOVA+AND+Sprint+%3D+1497+AND+status+%3D+%22In+Progress+%2850+%7E+70%25%29%22" TargetMode="External"/><Relationship Id="rId30" Type="http://schemas.openxmlformats.org/officeDocument/2006/relationships/hyperlink" Target="https://xrspace.atlassian.net/issues/?jql=created+%3E%3D+2025-01-01+AND+created+%3C%3D+2025-12-31+AND+type+%3D+Bug+AND+project+%3D+SOVA+AND+Sprint+%3D+2157+AND+status+%3D+%22In+Progress+%2850+%7E+70%25%29%22" TargetMode="External"/><Relationship Id="rId35" Type="http://schemas.openxmlformats.org/officeDocument/2006/relationships/hyperlink" Target="https://xrspace.atlassian.net/issues/?jql=created+%3E%3D+2025-01-01+AND+created+%3C%3D+2025-12-31+AND+type+%3D+Bug+AND+project+%3D+SOVA+AND+Sprint+%3D+2618+AND+status+%3D+%22IN+REVIEW+%2880%25%29%22" TargetMode="External"/><Relationship Id="rId56" Type="http://schemas.openxmlformats.org/officeDocument/2006/relationships/hyperlink" Target="https://xrspace.atlassian.net/issues/?jql=created+%3E%3D+2025-01-01+AND+created+%3C%3D+2025-12-31+AND+type+%3D+Bug+AND+project+%3D+SOVA+AND+Sprint+%3D+3246+AND+status+%3D+%22STARTING+%2810+%7E+40%25%29%22" TargetMode="External"/><Relationship Id="rId77" Type="http://schemas.openxmlformats.org/officeDocument/2006/relationships/hyperlink" Target="https://xrspace.atlassian.net/issues/?jql=created+%3E%3D+2025-01-01+AND+created+%3C%3D+2025-12-31+AND+type+%3D+Bug+AND+project+%3D+SOVA+AND+Sprint+%3D+1463+AND+status+%3D+%22Done+%28100%25%29%22" TargetMode="External"/><Relationship Id="rId100" Type="http://schemas.openxmlformats.org/officeDocument/2006/relationships/hyperlink" Target="https://xrspace.atlassian.net/issues/?jql=created+%3E%3D+2025-01-01+AND+created+%3C%3D+2025-12-31+AND+type+%3D+Bug+AND+project+%3D+SOVA+AND+Sprint+%3D+1498+AND+status+%3D+%22WON%27T+DO+%28100%25%29%22" TargetMode="External"/><Relationship Id="rId105" Type="http://schemas.openxmlformats.org/officeDocument/2006/relationships/hyperlink" Target="https://xrspace.atlassian.net/issues/?jql=created+%3E%3D+2025-01-01+AND+created+%3C%3D+2025-12-31+AND+type+%3D+Bug+AND+project+%3D+SOVA+AND+Sprint+%3D+2619+AND+status+%3D+%22WON%27T+DO+%28100%25%29%22" TargetMode="External"/><Relationship Id="rId8" Type="http://schemas.openxmlformats.org/officeDocument/2006/relationships/hyperlink" Target="https://xrspace.atlassian.net/issues/?jql=created+%3E%3D+2025-01-01+AND+created+%3C%3D+2025-12-31+AND+type+%3D+Bug+AND+project+%3D+SOVA+AND+Sprint+%3D+1466+AND+status+%3D+%22STARTING+%2810+%7E+40%25%29%22" TargetMode="External"/><Relationship Id="rId51" Type="http://schemas.openxmlformats.org/officeDocument/2006/relationships/hyperlink" Target="https://xrspace.atlassian.net/issues/?jql=created+%3E%3D+2025-01-01+AND+created+%3C%3D+2025-12-31+AND+type+%3D+Bug+AND+project+%3D+SOVA+AND+Sprint+%3D+3245+AND+status+%3D+%22IN+REVIEW+%2880%25%29%22" TargetMode="External"/><Relationship Id="rId72" Type="http://schemas.openxmlformats.org/officeDocument/2006/relationships/hyperlink" Target="https://xrspace.atlassian.net/issues/?jql=created+%3E%3D+2025-01-01+AND+created+%3C%3D+2025-12-31+AND+type+%3D+Bug+AND+project+%3D+SOVA+AND+Sprint+%3D+3873+AND+status+%3D+%22STARTING+%2810+%7E+40%25%29%22" TargetMode="External"/><Relationship Id="rId93" Type="http://schemas.openxmlformats.org/officeDocument/2006/relationships/hyperlink" Target="https://xrspace.atlassian.net/issues/?jql=created+%3E%3D+2025-01-01+AND+created+%3C%3D+2025-12-31+AND+type+%3D+Bug+AND+project+%3D+SOVA+AND+Sprint+%3D+3872+AND+status+%3D+%22Done+%28100%25%29%22" TargetMode="External"/><Relationship Id="rId98" Type="http://schemas.openxmlformats.org/officeDocument/2006/relationships/hyperlink" Target="https://xrspace.atlassian.net/issues/?jql=created+%3E%3D+2025-01-01+AND+created+%3C%3D+2025-12-31+AND+type+%3D+Bug+AND+project+%3D+SOVA+AND+Sprint+%3D+1496+AND+status+%3D+%22WON%27T+DO+%28100%25%29%22" TargetMode="External"/><Relationship Id="rId3" Type="http://schemas.openxmlformats.org/officeDocument/2006/relationships/hyperlink" Target="https://xrspace.atlassian.net/issues/?jql=created+%3E%3D+2025-01-01+AND+created+%3C%3D+2025-12-31+AND+type+%3D+Bug+AND+project+%3D+SOVA+AND+Sprint+%3D+1463+AND+status+%3D+%22IN+REVIEW+%2880%25%29%22" TargetMode="External"/><Relationship Id="rId25" Type="http://schemas.openxmlformats.org/officeDocument/2006/relationships/hyperlink" Target="https://xrspace.atlassian.net/issues/?jql=created+%3E%3D+2025-01-01+AND+created+%3C%3D+2025-12-31+AND+type+%3D+Bug+AND+project+%3D+SOVA+AND+Sprint+%3D+2156+AND+status+%3D+%22To+Do+%280%25%29%22" TargetMode="External"/><Relationship Id="rId46" Type="http://schemas.openxmlformats.org/officeDocument/2006/relationships/hyperlink" Target="https://xrspace.atlassian.net/issues/?jql=created+%3E%3D+2025-01-01+AND+created+%3C%3D+2025-12-31+AND+type+%3D+Bug+AND+project+%3D+SOVA+AND+Sprint+%3D+3213+AND+status+%3D+%22In+Progress+%2850+%7E+70%25%29%22" TargetMode="External"/><Relationship Id="rId67" Type="http://schemas.openxmlformats.org/officeDocument/2006/relationships/hyperlink" Target="https://xrspace.atlassian.net/issues/?jql=created+%3E%3D+2025-01-01+AND+created+%3C%3D+2025-12-31+AND+type+%3D+Bug+AND+project+%3D+SOVA+AND+Sprint+%3D+3872+AND+status+%3D+%22IN+REVIEW+%2880%25%29%22" TargetMode="External"/><Relationship Id="rId116" Type="http://schemas.openxmlformats.org/officeDocument/2006/relationships/drawing" Target="../drawings/drawing5.xml"/><Relationship Id="rId20" Type="http://schemas.openxmlformats.org/officeDocument/2006/relationships/hyperlink" Target="https://xrspace.atlassian.net/issues/?jql=created+%3E%3D+2025-01-01+AND+created+%3C%3D+2025-12-31+AND+type+%3D+Bug+AND+project+%3D+SOVA+AND+Sprint+%3D+1498+AND+status+%3D+%22STARTING+%2810+%7E+40%25%29%22" TargetMode="External"/><Relationship Id="rId41" Type="http://schemas.openxmlformats.org/officeDocument/2006/relationships/hyperlink" Target="https://xrspace.atlassian.net/issues/?jql=created+%3E%3D+2025-01-01+AND+created+%3C%3D+2025-12-31+AND+type+%3D+Bug+AND+project+%3D+SOVA+AND+Sprint+%3D+2882+AND+status+%3D+%22To+Do+%280%25%29%22" TargetMode="External"/><Relationship Id="rId62" Type="http://schemas.openxmlformats.org/officeDocument/2006/relationships/hyperlink" Target="https://xrspace.atlassian.net/issues/?jql=created+%3E%3D+2025-01-01+AND+created+%3C%3D+2025-12-31+AND+type+%3D+Bug+AND+project+%3D+SOVA+AND+Sprint+%3D+3608+AND+status+%3D+%22In+Progress+%2850+%7E+70%25%29%22" TargetMode="External"/><Relationship Id="rId83" Type="http://schemas.openxmlformats.org/officeDocument/2006/relationships/hyperlink" Target="https://xrspace.atlassian.net/issues/?jql=created+%3E%3D+2025-01-01+AND+created+%3C%3D+2025-12-31+AND+type+%3D+Bug+AND+project+%3D+SOVA+AND+Sprint+%3D+2156+AND+status+%3D+%22Done+%28100%25%29%22" TargetMode="External"/><Relationship Id="rId88" Type="http://schemas.openxmlformats.org/officeDocument/2006/relationships/hyperlink" Target="https://xrspace.atlassian.net/issues/?jql=created+%3E%3D+2025-01-01+AND+created+%3C%3D+2025-12-31+AND+type+%3D+Bug+AND+project+%3D+SOVA+AND+Sprint+%3D+3213+AND+status+%3D+%22Done+%28100%25%29%22" TargetMode="External"/><Relationship Id="rId111" Type="http://schemas.openxmlformats.org/officeDocument/2006/relationships/hyperlink" Target="https://xrspace.atlassian.net/issues/?jql=created+%3E%3D+2025-01-01+AND+created+%3C%3D+2025-12-31+AND+type+%3D+Bug+AND+project+%3D+SOVA+AND+Sprint+%3D+3608+AND+status+%3D+%22WON%27T+DO+%28100%25%29%22" TargetMode="External"/><Relationship Id="rId15" Type="http://schemas.openxmlformats.org/officeDocument/2006/relationships/hyperlink" Target="https://xrspace.atlassian.net/issues/?jql=created+%3E%3D+2025-01-01+AND+created+%3C%3D+2025-12-31+AND+type+%3D+Bug+AND+project+%3D+SOVA+AND+Sprint+%3D+1497+AND+status+%3D+%22IN+REVIEW+%2880%25%29%22" TargetMode="External"/><Relationship Id="rId36" Type="http://schemas.openxmlformats.org/officeDocument/2006/relationships/hyperlink" Target="https://xrspace.atlassian.net/issues/?jql=created+%3E%3D+2025-01-01+AND+created+%3C%3D+2025-12-31+AND+type+%3D+Bug+AND+project+%3D+SOVA+AND+Sprint+%3D+2618+AND+status+%3D+%22STARTING+%2810+%7E+40%25%29%22" TargetMode="External"/><Relationship Id="rId57" Type="http://schemas.openxmlformats.org/officeDocument/2006/relationships/hyperlink" Target="https://xrspace.atlassian.net/issues/?jql=created+%3E%3D+2025-01-01+AND+created+%3C%3D+2025-12-31+AND+type+%3D+Bug+AND+project+%3D+SOVA+AND+Sprint+%3D+3575+AND+status+%3D+%22To+Do+%280%25%29%22" TargetMode="External"/><Relationship Id="rId106" Type="http://schemas.openxmlformats.org/officeDocument/2006/relationships/hyperlink" Target="https://xrspace.atlassian.net/issues/?jql=created+%3E%3D+2025-01-01+AND+created+%3C%3D+2025-12-31+AND+type+%3D+Bug+AND+project+%3D+SOVA+AND+Sprint+%3D+2882+AND+status+%3D+%22WON%27T+DO+%2810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0"/>
  <sheetViews>
    <sheetView zoomScaleNormal="100" workbookViewId="0">
      <selection activeCell="D21" sqref="D21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59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t="s">
        <v>1</v>
      </c>
      <c r="B2">
        <v>2</v>
      </c>
      <c r="C2">
        <v>1</v>
      </c>
      <c r="D2">
        <v>115</v>
      </c>
      <c r="E2">
        <f>SUM(Table2[[#This Row],[Done]:[TODO (P1)]])</f>
        <v>118</v>
      </c>
    </row>
    <row r="3" spans="1:5" ht="20.100000000000001" customHeight="1">
      <c r="A3" t="s">
        <v>2</v>
      </c>
      <c r="B3">
        <v>3</v>
      </c>
      <c r="C3">
        <v>1</v>
      </c>
      <c r="D3">
        <v>114</v>
      </c>
      <c r="E3">
        <f>SUM(Table2[[#This Row],[Done]:[TODO (P1)]])</f>
        <v>118</v>
      </c>
    </row>
    <row r="4" spans="1:5" ht="20.100000000000001" customHeight="1">
      <c r="A4" t="s">
        <v>3</v>
      </c>
      <c r="B4">
        <v>3</v>
      </c>
      <c r="C4">
        <v>6</v>
      </c>
      <c r="D4">
        <v>109</v>
      </c>
      <c r="E4">
        <f>SUM(Table2[[#This Row],[Done]:[TODO (P1)]])</f>
        <v>118</v>
      </c>
    </row>
    <row r="5" spans="1:5" ht="20.100000000000001" customHeight="1">
      <c r="A5" t="s">
        <v>4</v>
      </c>
      <c r="B5">
        <v>4</v>
      </c>
      <c r="C5">
        <v>6</v>
      </c>
      <c r="D5">
        <v>108</v>
      </c>
      <c r="E5">
        <f>SUM(Table2[[#This Row],[Done]:[TODO (P1)]])</f>
        <v>118</v>
      </c>
    </row>
    <row r="6" spans="1:5" ht="20.100000000000001" customHeight="1">
      <c r="A6" t="s">
        <v>8</v>
      </c>
      <c r="B6">
        <v>8</v>
      </c>
      <c r="C6">
        <v>6</v>
      </c>
      <c r="D6">
        <v>104</v>
      </c>
      <c r="E6">
        <f>SUM(Table2[[#This Row],[Done]:[TODO (P1)]])</f>
        <v>118</v>
      </c>
    </row>
    <row r="7" spans="1:5" ht="20.100000000000001" customHeight="1">
      <c r="A7" t="s">
        <v>9</v>
      </c>
      <c r="B7">
        <v>10</v>
      </c>
      <c r="C7">
        <v>10</v>
      </c>
      <c r="D7">
        <v>228</v>
      </c>
      <c r="E7">
        <f>SUM(Table2[[#This Row],[Done]:[TODO (P1)]])</f>
        <v>248</v>
      </c>
    </row>
    <row r="8" spans="1:5" ht="20.100000000000001" customHeight="1">
      <c r="A8" t="s">
        <v>10</v>
      </c>
      <c r="B8">
        <v>12</v>
      </c>
      <c r="C8">
        <v>12</v>
      </c>
      <c r="D8">
        <v>224</v>
      </c>
      <c r="E8">
        <f>SUM(Table2[[#This Row],[Done]:[TODO (P1)]])</f>
        <v>248</v>
      </c>
    </row>
    <row r="9" spans="1:5" ht="20.100000000000001" customHeight="1">
      <c r="A9" t="s">
        <v>61</v>
      </c>
      <c r="B9">
        <v>15</v>
      </c>
      <c r="C9">
        <v>13</v>
      </c>
      <c r="D9">
        <v>220</v>
      </c>
      <c r="E9">
        <f>SUM(Table2[[#This Row],[Done]:[TODO (P1)]])</f>
        <v>248</v>
      </c>
    </row>
    <row r="10" spans="1:5" ht="20.100000000000001" customHeight="1">
      <c r="A10" t="s">
        <v>66</v>
      </c>
      <c r="B10">
        <v>15</v>
      </c>
      <c r="C10">
        <v>14</v>
      </c>
      <c r="D10">
        <v>219</v>
      </c>
      <c r="E10">
        <f>SUM(Table2[[#This Row],[Done]:[TODO (P1)]])</f>
        <v>248</v>
      </c>
    </row>
    <row r="11" spans="1:5" ht="20.100000000000001" customHeight="1">
      <c r="A11" t="s">
        <v>68</v>
      </c>
      <c r="B11">
        <v>12</v>
      </c>
      <c r="C11">
        <v>11</v>
      </c>
      <c r="D11">
        <v>173</v>
      </c>
      <c r="E11">
        <f>SUM(Table2[[#This Row],[Done]:[TODO (P1)]])</f>
        <v>196</v>
      </c>
    </row>
    <row r="12" spans="1:5" ht="20.100000000000001" customHeight="1">
      <c r="A12" t="s">
        <v>69</v>
      </c>
      <c r="B12">
        <v>13</v>
      </c>
      <c r="C12">
        <v>11</v>
      </c>
      <c r="D12">
        <v>172</v>
      </c>
      <c r="E12" s="13">
        <f>SUM(Table2[[#This Row],[Done]:[TODO (P1)]])</f>
        <v>196</v>
      </c>
    </row>
    <row r="13" spans="1:5" ht="20.100000000000001" customHeight="1">
      <c r="A13" t="s">
        <v>72</v>
      </c>
      <c r="B13">
        <v>15</v>
      </c>
      <c r="C13">
        <v>12</v>
      </c>
      <c r="D13">
        <v>168</v>
      </c>
      <c r="E13" s="13">
        <f>SUM(Table2[[#This Row],[Done]:[TODO (P1)]])</f>
        <v>195</v>
      </c>
    </row>
    <row r="14" spans="1:5" ht="20.100000000000001" customHeight="1">
      <c r="A14" t="s">
        <v>74</v>
      </c>
      <c r="B14">
        <v>18</v>
      </c>
      <c r="C14">
        <v>11</v>
      </c>
      <c r="D14">
        <v>166</v>
      </c>
      <c r="E14" s="13">
        <f>SUM(Table2[[#This Row],[Done]:[TODO (P1)]])</f>
        <v>195</v>
      </c>
    </row>
    <row r="15" spans="1:5" ht="20.100000000000001" customHeight="1">
      <c r="A15" t="s">
        <v>77</v>
      </c>
      <c r="B15">
        <v>21</v>
      </c>
      <c r="C15">
        <v>14</v>
      </c>
      <c r="D15">
        <v>160</v>
      </c>
      <c r="E15" s="13">
        <f>SUM(Table2[[#This Row],[Done]:[TODO (P1)]])</f>
        <v>195</v>
      </c>
    </row>
    <row r="16" spans="1:5" ht="20.100000000000001" customHeight="1">
      <c r="A16" t="s">
        <v>79</v>
      </c>
      <c r="B16">
        <v>22</v>
      </c>
      <c r="C16">
        <v>14</v>
      </c>
      <c r="D16">
        <v>160</v>
      </c>
      <c r="E16" s="13">
        <f>SUM(Table2[[#This Row],[Done]:[TODO (P1)]])</f>
        <v>196</v>
      </c>
    </row>
    <row r="17" spans="1:5" ht="20.100000000000001" customHeight="1">
      <c r="A17" t="s">
        <v>81</v>
      </c>
      <c r="B17">
        <v>25</v>
      </c>
      <c r="C17">
        <v>10</v>
      </c>
      <c r="D17">
        <v>161</v>
      </c>
      <c r="E17" s="13">
        <f>SUM(Table2[[#This Row],[Done]:[TODO (P1)]])</f>
        <v>196</v>
      </c>
    </row>
    <row r="18" spans="1:5" ht="20.100000000000001" customHeight="1">
      <c r="A18" t="s">
        <v>84</v>
      </c>
      <c r="B18">
        <v>28</v>
      </c>
      <c r="C18">
        <v>8</v>
      </c>
      <c r="D18">
        <v>160</v>
      </c>
      <c r="E18" s="13">
        <f>SUM(Table2[[#This Row],[Done]:[TODO (P1)]])</f>
        <v>196</v>
      </c>
    </row>
    <row r="19" spans="1:5" ht="20.100000000000001" customHeight="1">
      <c r="A19" t="s">
        <v>85</v>
      </c>
      <c r="B19">
        <v>30</v>
      </c>
      <c r="C19">
        <v>6</v>
      </c>
      <c r="D19">
        <v>160</v>
      </c>
      <c r="E19" s="13">
        <f>SUM(Table2[[#This Row],[Done]:[TODO (P1)]])</f>
        <v>196</v>
      </c>
    </row>
    <row r="20" spans="1:5" ht="20.100000000000001" customHeight="1">
      <c r="A20" t="s">
        <v>88</v>
      </c>
      <c r="B20">
        <v>32</v>
      </c>
      <c r="C20">
        <v>5</v>
      </c>
      <c r="D20">
        <v>160</v>
      </c>
      <c r="E20" s="13">
        <f>SUM(Table2[[#This Row],[Done]:[TODO (P1)]])</f>
        <v>197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16"/>
  <sheetViews>
    <sheetView tabSelected="1" zoomScaleNormal="100" workbookViewId="0">
      <selection activeCell="I1" sqref="I1:I1048576"/>
    </sheetView>
  </sheetViews>
  <sheetFormatPr defaultColWidth="11.5546875" defaultRowHeight="15"/>
  <cols>
    <col min="1" max="1" width="15.77734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49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1.95" customHeight="1">
      <c r="A2" t="s">
        <v>11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SUM(B2:G2)</f>
        <v>442</v>
      </c>
    </row>
    <row r="3" spans="1:8" ht="21.95" customHeight="1">
      <c r="A3" t="s">
        <v>12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 t="shared" ref="H3:H8" si="0">SUM(B3:G3)</f>
        <v>414</v>
      </c>
    </row>
    <row r="4" spans="1:8" ht="21.95" customHeight="1">
      <c r="A4" t="s">
        <v>13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 t="shared" si="0"/>
        <v>1211</v>
      </c>
    </row>
    <row r="5" spans="1:8" ht="21.95" customHeight="1">
      <c r="A5" t="s">
        <v>14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 t="shared" si="0"/>
        <v>2596</v>
      </c>
    </row>
    <row r="6" spans="1:8" ht="21.95" customHeight="1">
      <c r="A6" t="s">
        <v>15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 t="shared" si="0"/>
        <v>2266</v>
      </c>
    </row>
    <row r="7" spans="1:8" ht="21.95" customHeight="1">
      <c r="A7" t="s">
        <v>16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2723</v>
      </c>
    </row>
    <row r="8" spans="1:8" ht="21.95" customHeight="1">
      <c r="A8" t="s">
        <v>17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 t="shared" si="0"/>
        <v>2531</v>
      </c>
    </row>
    <row r="9" spans="1:8" ht="21.95" customHeight="1">
      <c r="A9" t="s">
        <v>60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SUM(B9:G9)</f>
        <v>1401</v>
      </c>
    </row>
    <row r="10" spans="1:8" ht="21.95" customHeight="1">
      <c r="A10" t="s">
        <v>67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SUM(B10:G10)</f>
        <v>1273</v>
      </c>
    </row>
    <row r="11" spans="1:8" ht="21.95" customHeight="1">
      <c r="A11" t="s">
        <v>70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 t="shared" ref="H11:H15" si="1">SUM(B11:G11)</f>
        <v>1341</v>
      </c>
    </row>
    <row r="12" spans="1:8" ht="21.95" customHeight="1">
      <c r="A12" t="s">
        <v>75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 t="shared" si="1"/>
        <v>1485</v>
      </c>
    </row>
    <row r="13" spans="1:8" ht="21.95" customHeight="1">
      <c r="A13" t="s">
        <v>76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 t="shared" si="1"/>
        <v>2037</v>
      </c>
    </row>
    <row r="14" spans="1:8" ht="21.95" customHeight="1">
      <c r="A14" t="s">
        <v>80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 t="shared" si="1"/>
        <v>1761</v>
      </c>
    </row>
    <row r="15" spans="1:8" ht="21.95" customHeight="1">
      <c r="A15" t="s">
        <v>87</v>
      </c>
      <c r="B15">
        <v>431</v>
      </c>
      <c r="C15">
        <v>0</v>
      </c>
      <c r="D15">
        <v>0</v>
      </c>
      <c r="E15">
        <v>2</v>
      </c>
      <c r="F15">
        <v>15</v>
      </c>
      <c r="G15">
        <v>1614</v>
      </c>
      <c r="H15">
        <f t="shared" si="1"/>
        <v>2062</v>
      </c>
    </row>
    <row r="16" spans="1:8" ht="21.95" customHeight="1"/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25"/>
  <sheetViews>
    <sheetView zoomScaleNormal="100" workbookViewId="0">
      <selection activeCell="I21" sqref="I21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49</v>
      </c>
      <c r="B1" s="2" t="s">
        <v>18</v>
      </c>
      <c r="C1" s="2" t="s">
        <v>27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7</v>
      </c>
    </row>
    <row r="2" spans="1:8" ht="20.100000000000001" customHeight="1">
      <c r="A2" s="3" t="s">
        <v>23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24</v>
      </c>
    </row>
    <row r="4" spans="1:8" ht="20.100000000000001" customHeight="1">
      <c r="A4" s="3" t="s">
        <v>25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26</v>
      </c>
    </row>
    <row r="6" spans="1:8" ht="20.100000000000001" customHeight="1">
      <c r="A6" s="3" t="s">
        <v>1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2</v>
      </c>
    </row>
    <row r="8" spans="1:8" ht="20.100000000000001" customHeight="1">
      <c r="A8" s="3" t="s">
        <v>3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4</v>
      </c>
    </row>
    <row r="10" spans="1:8" ht="20.100000000000001" customHeight="1">
      <c r="A10" s="3" t="s">
        <v>8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9</v>
      </c>
    </row>
    <row r="12" spans="1:8" ht="20.100000000000001" customHeight="1">
      <c r="A12" s="3" t="s">
        <v>10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61</v>
      </c>
    </row>
    <row r="14" spans="1:8" ht="20.100000000000001" customHeight="1">
      <c r="A14" s="3" t="s">
        <v>66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68</v>
      </c>
      <c r="H15" s="13"/>
    </row>
    <row r="16" spans="1:8" ht="20.100000000000001" customHeight="1">
      <c r="A16" s="3" t="s">
        <v>69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3">
        <f>SUM(Table3[[#This Row],[Passed]:[Untested]])</f>
        <v>259</v>
      </c>
    </row>
    <row r="17" spans="1:8" ht="20.100000000000001" customHeight="1">
      <c r="A17" s="3" t="s">
        <v>72</v>
      </c>
      <c r="H17" s="13"/>
    </row>
    <row r="18" spans="1:8" ht="20.100000000000001" customHeight="1">
      <c r="A18" s="3" t="s">
        <v>74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3">
        <f>SUM(Table3[[#This Row],[Passed]:[Untested]])</f>
        <v>285</v>
      </c>
    </row>
    <row r="19" spans="1:8" ht="20.100000000000001" customHeight="1">
      <c r="A19" s="3" t="s">
        <v>77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3">
        <f>SUM(Table3[[#This Row],[Passed]:[Untested]])</f>
        <v>162</v>
      </c>
    </row>
    <row r="20" spans="1:8" ht="20.100000000000001" customHeight="1">
      <c r="A20" s="3" t="s">
        <v>79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3">
        <f>SUM(Table3[[#This Row],[Passed]:[Untested]])</f>
        <v>246</v>
      </c>
    </row>
    <row r="21" spans="1:8" ht="20.100000000000001" customHeight="1">
      <c r="A21" s="3" t="s">
        <v>81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3">
        <f>SUM(Table3[[#This Row],[Passed]:[Untested]])</f>
        <v>303</v>
      </c>
    </row>
    <row r="22" spans="1:8" ht="20.100000000000001" customHeight="1">
      <c r="A22" s="3" t="s">
        <v>83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3">
        <f>SUM(Table3[[#This Row],[Passed]:[Untested]])</f>
        <v>331</v>
      </c>
    </row>
    <row r="23" spans="1:8" ht="20.100000000000001" customHeight="1">
      <c r="A23" s="3" t="s">
        <v>84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3">
        <f>SUM(Table3[[#This Row],[Passed]:[Untested]])</f>
        <v>279</v>
      </c>
    </row>
    <row r="24" spans="1:8" ht="20.100000000000001" customHeight="1">
      <c r="A24" s="3" t="s">
        <v>85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3">
        <f>SUM(Table3[[#This Row],[Passed]:[Untested]])</f>
        <v>362</v>
      </c>
    </row>
    <row r="25" spans="1:8" ht="20.100000000000001" customHeight="1">
      <c r="A25" s="3" t="s">
        <v>88</v>
      </c>
      <c r="B25">
        <v>154</v>
      </c>
      <c r="C25">
        <v>0</v>
      </c>
      <c r="D25">
        <v>8</v>
      </c>
      <c r="E25">
        <v>1</v>
      </c>
      <c r="F25">
        <v>10</v>
      </c>
      <c r="G25">
        <v>224</v>
      </c>
      <c r="H25" s="13">
        <f>SUM(Table3[[#This Row],[Passed]:[Untested]])</f>
        <v>397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2"/>
  <sheetViews>
    <sheetView zoomScaleNormal="100" workbookViewId="0">
      <selection activeCell="J29" sqref="J29"/>
    </sheetView>
  </sheetViews>
  <sheetFormatPr defaultColWidth="11.5546875" defaultRowHeight="15"/>
  <cols>
    <col min="1" max="1" width="15.332031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37</v>
      </c>
      <c r="B1" s="3" t="s">
        <v>29</v>
      </c>
      <c r="C1" s="3" t="s">
        <v>58</v>
      </c>
      <c r="D1" s="3" t="s">
        <v>28</v>
      </c>
      <c r="E1" s="3" t="s">
        <v>62</v>
      </c>
      <c r="F1" s="3" t="s">
        <v>63</v>
      </c>
      <c r="G1" s="3" t="s">
        <v>5</v>
      </c>
      <c r="H1" s="3" t="s">
        <v>7</v>
      </c>
    </row>
    <row r="2" spans="1:8">
      <c r="A2" t="s">
        <v>30</v>
      </c>
      <c r="B2">
        <v>9</v>
      </c>
      <c r="C2">
        <v>0</v>
      </c>
      <c r="D2">
        <v>0</v>
      </c>
      <c r="E2" s="16">
        <v>0</v>
      </c>
      <c r="F2">
        <v>0</v>
      </c>
      <c r="G2">
        <v>92</v>
      </c>
      <c r="H2">
        <f>SUM(Table7[[#This Row],[To Do]:[Done]])</f>
        <v>101</v>
      </c>
    </row>
    <row r="3" spans="1:8">
      <c r="A3" t="s">
        <v>31</v>
      </c>
      <c r="B3">
        <v>7</v>
      </c>
      <c r="C3">
        <v>0</v>
      </c>
      <c r="D3">
        <v>0</v>
      </c>
      <c r="E3" s="16">
        <v>0</v>
      </c>
      <c r="F3">
        <v>0</v>
      </c>
      <c r="G3">
        <v>59</v>
      </c>
      <c r="H3">
        <f>SUM(Table7[[#This Row],[To Do]:[Done]])</f>
        <v>66</v>
      </c>
    </row>
    <row r="4" spans="1:8">
      <c r="A4" t="s">
        <v>32</v>
      </c>
      <c r="B4">
        <v>25</v>
      </c>
      <c r="C4">
        <v>0</v>
      </c>
      <c r="D4">
        <v>0</v>
      </c>
      <c r="E4" s="16">
        <v>0</v>
      </c>
      <c r="F4">
        <v>0</v>
      </c>
      <c r="G4">
        <v>168</v>
      </c>
      <c r="H4">
        <f>SUM(Table7[[#This Row],[To Do]:[Done]])</f>
        <v>193</v>
      </c>
    </row>
    <row r="5" spans="1:8">
      <c r="A5" t="s">
        <v>33</v>
      </c>
      <c r="B5">
        <v>31</v>
      </c>
      <c r="C5">
        <v>0</v>
      </c>
      <c r="D5">
        <v>0</v>
      </c>
      <c r="E5" s="16">
        <v>0</v>
      </c>
      <c r="F5">
        <v>0</v>
      </c>
      <c r="G5">
        <v>156</v>
      </c>
      <c r="H5">
        <f>SUM(Table7[[#This Row],[To Do]:[Done]])</f>
        <v>187</v>
      </c>
    </row>
    <row r="6" spans="1:8">
      <c r="A6" t="s">
        <v>34</v>
      </c>
      <c r="B6">
        <v>15</v>
      </c>
      <c r="C6">
        <v>0</v>
      </c>
      <c r="D6">
        <v>0</v>
      </c>
      <c r="E6" s="16">
        <v>0</v>
      </c>
      <c r="F6">
        <v>0</v>
      </c>
      <c r="G6">
        <v>76</v>
      </c>
      <c r="H6">
        <f>SUM(Table7[[#This Row],[To Do]:[Done]])</f>
        <v>91</v>
      </c>
    </row>
    <row r="7" spans="1:8">
      <c r="A7" t="s">
        <v>35</v>
      </c>
      <c r="B7">
        <v>15</v>
      </c>
      <c r="C7">
        <v>0</v>
      </c>
      <c r="D7">
        <v>1</v>
      </c>
      <c r="E7" s="16">
        <v>0</v>
      </c>
      <c r="F7">
        <v>0</v>
      </c>
      <c r="G7">
        <v>61</v>
      </c>
      <c r="H7">
        <f>SUM(Table7[[#This Row],[To Do]:[Done]])</f>
        <v>77</v>
      </c>
    </row>
    <row r="8" spans="1:8">
      <c r="A8" t="s">
        <v>36</v>
      </c>
      <c r="B8">
        <v>7</v>
      </c>
      <c r="C8">
        <v>0</v>
      </c>
      <c r="D8">
        <v>0</v>
      </c>
      <c r="E8" s="16">
        <v>0</v>
      </c>
      <c r="F8">
        <v>0</v>
      </c>
      <c r="G8">
        <v>46</v>
      </c>
      <c r="H8">
        <f>SUM(Table7[[#This Row],[To Do]:[Done]])</f>
        <v>53</v>
      </c>
    </row>
    <row r="9" spans="1:8">
      <c r="A9" t="s">
        <v>11</v>
      </c>
      <c r="B9">
        <v>18</v>
      </c>
      <c r="C9">
        <v>0</v>
      </c>
      <c r="D9">
        <v>2</v>
      </c>
      <c r="E9" s="16">
        <v>0</v>
      </c>
      <c r="F9">
        <v>0</v>
      </c>
      <c r="G9">
        <v>42</v>
      </c>
      <c r="H9">
        <f>SUM(Table7[[#This Row],[To Do]:[Done]])</f>
        <v>62</v>
      </c>
    </row>
    <row r="10" spans="1:8">
      <c r="A10" t="s">
        <v>12</v>
      </c>
      <c r="B10">
        <v>17</v>
      </c>
      <c r="C10">
        <v>0</v>
      </c>
      <c r="D10">
        <v>1</v>
      </c>
      <c r="E10" s="16">
        <v>0</v>
      </c>
      <c r="F10">
        <v>0</v>
      </c>
      <c r="G10">
        <v>33</v>
      </c>
      <c r="H10">
        <f>SUM(Table7[[#This Row],[To Do]:[Done]])</f>
        <v>51</v>
      </c>
    </row>
    <row r="11" spans="1:8">
      <c r="A11" t="s">
        <v>13</v>
      </c>
      <c r="B11">
        <v>26</v>
      </c>
      <c r="C11">
        <v>0</v>
      </c>
      <c r="D11">
        <v>0</v>
      </c>
      <c r="E11" s="16">
        <v>0</v>
      </c>
      <c r="F11">
        <v>0</v>
      </c>
      <c r="G11">
        <v>25</v>
      </c>
      <c r="H11">
        <f>SUM(Table7[[#This Row],[To Do]:[Done]])</f>
        <v>51</v>
      </c>
    </row>
    <row r="12" spans="1:8">
      <c r="A12" t="s">
        <v>14</v>
      </c>
      <c r="B12">
        <v>15</v>
      </c>
      <c r="C12">
        <v>0</v>
      </c>
      <c r="D12">
        <v>0</v>
      </c>
      <c r="E12" s="16">
        <v>0</v>
      </c>
      <c r="F12">
        <v>0</v>
      </c>
      <c r="G12">
        <v>55</v>
      </c>
      <c r="H12">
        <f>SUM(Table7[[#This Row],[To Do]:[Done]])</f>
        <v>70</v>
      </c>
    </row>
    <row r="13" spans="1:8">
      <c r="A13" t="s">
        <v>15</v>
      </c>
      <c r="B13">
        <v>9</v>
      </c>
      <c r="C13">
        <v>0</v>
      </c>
      <c r="D13">
        <v>0</v>
      </c>
      <c r="E13" s="16">
        <v>0</v>
      </c>
      <c r="F13">
        <v>0</v>
      </c>
      <c r="G13">
        <v>39</v>
      </c>
      <c r="H13">
        <f>SUM(Table7[[#This Row],[To Do]:[Done]])</f>
        <v>48</v>
      </c>
    </row>
    <row r="14" spans="1:8">
      <c r="A14" t="s">
        <v>16</v>
      </c>
      <c r="B14">
        <v>5</v>
      </c>
      <c r="C14">
        <v>0</v>
      </c>
      <c r="D14">
        <v>0</v>
      </c>
      <c r="E14" s="16">
        <v>0</v>
      </c>
      <c r="F14">
        <v>0</v>
      </c>
      <c r="G14">
        <v>33</v>
      </c>
      <c r="H14">
        <f>SUM(Table7[[#This Row],[To Do]:[Done]])</f>
        <v>38</v>
      </c>
    </row>
    <row r="15" spans="1:8">
      <c r="A15" t="s">
        <v>17</v>
      </c>
      <c r="B15">
        <v>11</v>
      </c>
      <c r="C15">
        <v>1</v>
      </c>
      <c r="D15">
        <v>0</v>
      </c>
      <c r="E15" s="16">
        <v>0</v>
      </c>
      <c r="F15">
        <v>0</v>
      </c>
      <c r="G15">
        <v>28</v>
      </c>
      <c r="H15">
        <f>SUM(Table7[[#This Row],[To Do]:[Done]])</f>
        <v>40</v>
      </c>
    </row>
    <row r="16" spans="1:8">
      <c r="A16" t="s">
        <v>60</v>
      </c>
      <c r="B16">
        <v>2</v>
      </c>
      <c r="C16">
        <v>0</v>
      </c>
      <c r="D16">
        <v>0</v>
      </c>
      <c r="E16" s="16">
        <v>0</v>
      </c>
      <c r="F16">
        <v>0</v>
      </c>
      <c r="G16">
        <v>1</v>
      </c>
      <c r="H16">
        <f>SUM(Table7[[#This Row],[To Do]:[Done]])</f>
        <v>3</v>
      </c>
    </row>
    <row r="17" spans="1:8">
      <c r="A17" t="s">
        <v>67</v>
      </c>
      <c r="B17">
        <v>15</v>
      </c>
      <c r="C17">
        <v>0</v>
      </c>
      <c r="D17">
        <v>0</v>
      </c>
      <c r="E17" s="16">
        <v>0</v>
      </c>
      <c r="F17">
        <v>0</v>
      </c>
      <c r="G17">
        <v>7</v>
      </c>
      <c r="H17">
        <f>SUM(Table7[[#This Row],[To Do]:[Done]])</f>
        <v>22</v>
      </c>
    </row>
    <row r="18" spans="1:8">
      <c r="A18" t="s">
        <v>70</v>
      </c>
      <c r="B18">
        <v>1</v>
      </c>
      <c r="C18">
        <v>0</v>
      </c>
      <c r="D18">
        <v>0</v>
      </c>
      <c r="E18" s="16">
        <v>0</v>
      </c>
      <c r="F18">
        <v>0</v>
      </c>
      <c r="G18">
        <v>11</v>
      </c>
      <c r="H18">
        <f>SUM(Table7[[#This Row],[To Do]:[Done]])</f>
        <v>12</v>
      </c>
    </row>
    <row r="19" spans="1:8">
      <c r="A19" t="s">
        <v>75</v>
      </c>
      <c r="B19">
        <v>5</v>
      </c>
      <c r="C19">
        <v>0</v>
      </c>
      <c r="D19">
        <v>0</v>
      </c>
      <c r="E19" s="16">
        <v>0</v>
      </c>
      <c r="F19">
        <v>0</v>
      </c>
      <c r="G19">
        <v>8</v>
      </c>
      <c r="H19" s="12">
        <f>SUM(Table7[[#This Row],[To Do]:[Done]])</f>
        <v>13</v>
      </c>
    </row>
    <row r="20" spans="1:8">
      <c r="A20" t="s">
        <v>76</v>
      </c>
      <c r="B20">
        <v>17</v>
      </c>
      <c r="C20">
        <v>0</v>
      </c>
      <c r="D20">
        <v>1</v>
      </c>
      <c r="E20" s="16">
        <v>0</v>
      </c>
      <c r="F20">
        <v>1</v>
      </c>
      <c r="G20">
        <v>28</v>
      </c>
      <c r="H20" s="12">
        <f>SUM(Table7[[#This Row],[To Do]:[Done]])</f>
        <v>47</v>
      </c>
    </row>
    <row r="21" spans="1:8">
      <c r="A21" t="s">
        <v>80</v>
      </c>
      <c r="B21">
        <v>10</v>
      </c>
      <c r="C21">
        <v>0</v>
      </c>
      <c r="D21">
        <v>1</v>
      </c>
      <c r="E21" s="16">
        <v>0</v>
      </c>
      <c r="F21">
        <v>1</v>
      </c>
      <c r="G21">
        <v>28</v>
      </c>
      <c r="H21" s="12">
        <f>SUM(Table7[[#This Row],[To Do]:[Done]])</f>
        <v>40</v>
      </c>
    </row>
    <row r="22" spans="1:8">
      <c r="A22" t="s">
        <v>87</v>
      </c>
      <c r="B22">
        <v>3</v>
      </c>
      <c r="C22">
        <v>0</v>
      </c>
      <c r="D22">
        <v>1</v>
      </c>
      <c r="E22" s="16">
        <v>0</v>
      </c>
      <c r="F22">
        <v>1</v>
      </c>
      <c r="G22">
        <v>7</v>
      </c>
      <c r="H22" s="12">
        <f>SUM(Table7[[#This Row],[To Do]:[Done]])</f>
        <v>12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H20"/>
  <sheetViews>
    <sheetView zoomScaleNormal="100" workbookViewId="0">
      <selection activeCell="K14" sqref="K14"/>
    </sheetView>
  </sheetViews>
  <sheetFormatPr defaultColWidth="11.5546875" defaultRowHeight="15"/>
  <cols>
    <col min="1" max="1" width="18.21875" customWidth="1"/>
    <col min="2" max="2" width="14.44140625" customWidth="1"/>
    <col min="3" max="3" width="23.21875" customWidth="1"/>
    <col min="4" max="4" width="23.109375" customWidth="1"/>
    <col min="5" max="5" width="18.109375" customWidth="1"/>
    <col min="6" max="7" width="20.109375" customWidth="1"/>
    <col min="8" max="8" width="14.21875" customWidth="1"/>
  </cols>
  <sheetData>
    <row r="1" spans="1:8" ht="21" thickBot="1">
      <c r="A1" s="6" t="s">
        <v>38</v>
      </c>
      <c r="B1" s="7" t="s">
        <v>39</v>
      </c>
      <c r="C1" s="7" t="s">
        <v>43</v>
      </c>
      <c r="D1" s="7" t="s">
        <v>64</v>
      </c>
      <c r="E1" s="7" t="s">
        <v>41</v>
      </c>
      <c r="F1" s="7" t="s">
        <v>40</v>
      </c>
      <c r="G1" s="8" t="s">
        <v>42</v>
      </c>
      <c r="H1" s="9" t="s">
        <v>7</v>
      </c>
    </row>
    <row r="2" spans="1:8" ht="18" thickBot="1">
      <c r="A2" s="4" t="s">
        <v>52</v>
      </c>
      <c r="B2" s="5">
        <v>0</v>
      </c>
      <c r="C2" s="5">
        <v>0</v>
      </c>
      <c r="D2" s="5">
        <v>0</v>
      </c>
      <c r="E2" s="5">
        <v>0</v>
      </c>
      <c r="F2" s="5">
        <v>20</v>
      </c>
      <c r="G2" s="5">
        <v>3</v>
      </c>
      <c r="H2" s="5">
        <f>SUM(Table5[[#This Row],[To Do (0%)]:[WON''T DO (100%)]])</f>
        <v>23</v>
      </c>
    </row>
    <row r="3" spans="1:8" ht="18" thickBot="1">
      <c r="A3" s="4" t="s">
        <v>53</v>
      </c>
      <c r="B3" s="5">
        <v>0</v>
      </c>
      <c r="C3" s="5">
        <v>0</v>
      </c>
      <c r="D3" s="5">
        <v>0</v>
      </c>
      <c r="E3" s="5">
        <v>0</v>
      </c>
      <c r="F3" s="5">
        <v>20</v>
      </c>
      <c r="G3" s="5">
        <v>2</v>
      </c>
      <c r="H3" s="5">
        <f>SUM(Table5[[#This Row],[To Do (0%)]:[WON''T DO (100%)]])</f>
        <v>22</v>
      </c>
    </row>
    <row r="4" spans="1:8" ht="18" thickBot="1">
      <c r="A4" s="4" t="s">
        <v>54</v>
      </c>
      <c r="B4" s="5">
        <v>0</v>
      </c>
      <c r="C4" s="5">
        <v>0</v>
      </c>
      <c r="D4" s="5">
        <v>0</v>
      </c>
      <c r="E4" s="5">
        <v>0</v>
      </c>
      <c r="F4" s="5">
        <v>16</v>
      </c>
      <c r="G4" s="5">
        <v>2</v>
      </c>
      <c r="H4" s="5">
        <f>SUM(Table5[[#This Row],[To Do (0%)]:[WON''T DO (100%)]])</f>
        <v>18</v>
      </c>
    </row>
    <row r="5" spans="1:8" ht="18" thickBot="1">
      <c r="A5" s="4" t="s">
        <v>55</v>
      </c>
      <c r="B5" s="5">
        <v>0</v>
      </c>
      <c r="C5" s="5">
        <v>0</v>
      </c>
      <c r="D5" s="5">
        <v>0</v>
      </c>
      <c r="E5" s="5">
        <v>0</v>
      </c>
      <c r="F5" s="5">
        <v>16</v>
      </c>
      <c r="G5" s="5">
        <v>2</v>
      </c>
      <c r="H5" s="5">
        <f>SUM(Table5[[#This Row],[To Do (0%)]:[WON''T DO (100%)]])</f>
        <v>18</v>
      </c>
    </row>
    <row r="6" spans="1:8" ht="18" thickBot="1">
      <c r="A6" s="4" t="s">
        <v>56</v>
      </c>
      <c r="B6" s="5">
        <v>0</v>
      </c>
      <c r="C6" s="5">
        <v>0</v>
      </c>
      <c r="D6" s="5">
        <v>0</v>
      </c>
      <c r="E6" s="5">
        <v>0</v>
      </c>
      <c r="F6" s="5">
        <v>55</v>
      </c>
      <c r="G6" s="5">
        <v>4</v>
      </c>
      <c r="H6" s="5">
        <f>SUM(Table5[[#This Row],[To Do (0%)]:[WON''T DO (100%)]])</f>
        <v>59</v>
      </c>
    </row>
    <row r="7" spans="1:8" ht="18" thickBot="1">
      <c r="A7" s="4" t="s">
        <v>57</v>
      </c>
      <c r="B7" s="5">
        <v>0</v>
      </c>
      <c r="C7" s="5">
        <v>0</v>
      </c>
      <c r="D7" s="5">
        <v>0</v>
      </c>
      <c r="E7" s="5">
        <v>0</v>
      </c>
      <c r="F7" s="5">
        <v>35</v>
      </c>
      <c r="G7" s="5">
        <v>4</v>
      </c>
      <c r="H7" s="5">
        <f>SUM(Table5[[#This Row],[To Do (0%)]:[WON''T DO (100%)]])</f>
        <v>39</v>
      </c>
    </row>
    <row r="8" spans="1:8" ht="18" thickBot="1">
      <c r="A8" s="4" t="s">
        <v>44</v>
      </c>
      <c r="B8" s="5">
        <v>1</v>
      </c>
      <c r="C8" s="5">
        <v>0</v>
      </c>
      <c r="D8" s="5">
        <v>0</v>
      </c>
      <c r="E8" s="5">
        <v>0</v>
      </c>
      <c r="F8" s="5">
        <v>39</v>
      </c>
      <c r="G8" s="5">
        <v>2</v>
      </c>
      <c r="H8" s="5">
        <f>SUM(Table5[[#This Row],[To Do (0%)]:[WON''T DO (100%)]])</f>
        <v>42</v>
      </c>
    </row>
    <row r="9" spans="1:8" ht="18" thickBot="1">
      <c r="A9" s="4" t="s">
        <v>45</v>
      </c>
      <c r="B9" s="5">
        <v>1</v>
      </c>
      <c r="C9" s="5">
        <v>0</v>
      </c>
      <c r="D9" s="5">
        <v>0</v>
      </c>
      <c r="E9" s="5">
        <v>0</v>
      </c>
      <c r="F9" s="5">
        <v>39</v>
      </c>
      <c r="G9" s="5">
        <v>6</v>
      </c>
      <c r="H9" s="5">
        <f>SUM(Table5[[#This Row],[To Do (0%)]:[WON''T DO (100%)]])</f>
        <v>46</v>
      </c>
    </row>
    <row r="10" spans="1:8" ht="18" thickBot="1">
      <c r="A10" s="4" t="s">
        <v>46</v>
      </c>
      <c r="B10" s="5">
        <v>1</v>
      </c>
      <c r="C10" s="5">
        <v>0</v>
      </c>
      <c r="D10" s="5">
        <v>0</v>
      </c>
      <c r="E10" s="5">
        <v>0</v>
      </c>
      <c r="F10" s="5">
        <v>45</v>
      </c>
      <c r="G10" s="5">
        <v>7</v>
      </c>
      <c r="H10" s="5">
        <f>SUM(Table5[[#This Row],[To Do (0%)]:[WON''T DO (100%)]])</f>
        <v>53</v>
      </c>
    </row>
    <row r="11" spans="1:8" ht="18" thickBot="1">
      <c r="A11" s="4" t="s">
        <v>47</v>
      </c>
      <c r="B11" s="5">
        <v>1</v>
      </c>
      <c r="C11" s="5">
        <v>0</v>
      </c>
      <c r="D11" s="5">
        <v>0</v>
      </c>
      <c r="E11" s="5">
        <v>0</v>
      </c>
      <c r="F11" s="5">
        <v>18</v>
      </c>
      <c r="G11" s="5">
        <v>1</v>
      </c>
      <c r="H11" s="5">
        <f>SUM(Table5[[#This Row],[To Do (0%)]:[WON''T DO (100%)]])</f>
        <v>20</v>
      </c>
    </row>
    <row r="12" spans="1:8" ht="18" thickBot="1">
      <c r="A12" s="4" t="s">
        <v>48</v>
      </c>
      <c r="B12" s="5">
        <v>3</v>
      </c>
      <c r="C12" s="5">
        <v>0</v>
      </c>
      <c r="D12" s="5">
        <v>0</v>
      </c>
      <c r="E12" s="5">
        <v>0</v>
      </c>
      <c r="F12" s="5">
        <v>25</v>
      </c>
      <c r="G12" s="5">
        <v>4</v>
      </c>
      <c r="H12" s="5">
        <f>SUM(Table5[[#This Row],[To Do (0%)]:[WON''T DO (100%)]])</f>
        <v>32</v>
      </c>
    </row>
    <row r="13" spans="1:8" ht="18" thickBot="1">
      <c r="A13" s="4" t="s">
        <v>50</v>
      </c>
      <c r="B13" s="5">
        <v>3</v>
      </c>
      <c r="C13" s="5">
        <v>0</v>
      </c>
      <c r="D13" s="5">
        <v>0</v>
      </c>
      <c r="E13" s="5">
        <v>0</v>
      </c>
      <c r="F13" s="5">
        <v>45</v>
      </c>
      <c r="G13" s="5">
        <v>5</v>
      </c>
      <c r="H13" s="5">
        <f>SUM(Table5[[#This Row],[To Do (0%)]:[WON''T DO (100%)]])</f>
        <v>53</v>
      </c>
    </row>
    <row r="14" spans="1:8" ht="18" thickBot="1">
      <c r="A14" s="4" t="s">
        <v>51</v>
      </c>
      <c r="B14" s="5">
        <v>0</v>
      </c>
      <c r="C14" s="5">
        <v>0</v>
      </c>
      <c r="D14" s="5">
        <v>0</v>
      </c>
      <c r="E14" s="5">
        <v>0</v>
      </c>
      <c r="F14" s="5">
        <v>24</v>
      </c>
      <c r="G14" s="5">
        <v>1</v>
      </c>
      <c r="H14" s="5">
        <f>SUM(Table5[[#This Row],[To Do (0%)]:[WON''T DO (100%)]])</f>
        <v>25</v>
      </c>
    </row>
    <row r="15" spans="1:8" ht="18" thickBot="1">
      <c r="A15" s="4" t="s">
        <v>65</v>
      </c>
      <c r="B15" s="5">
        <v>0</v>
      </c>
      <c r="C15" s="5">
        <v>0</v>
      </c>
      <c r="D15" s="5">
        <v>0</v>
      </c>
      <c r="E15" s="5">
        <v>0</v>
      </c>
      <c r="F15" s="5">
        <v>43</v>
      </c>
      <c r="G15" s="5">
        <v>0</v>
      </c>
      <c r="H15" s="5">
        <f>SUM(Table5[[#This Row],[To Do (0%)]:[WON''T DO (100%)]])</f>
        <v>43</v>
      </c>
    </row>
    <row r="16" spans="1:8" ht="18" thickBot="1">
      <c r="A16" s="4" t="s">
        <v>71</v>
      </c>
      <c r="B16" s="5">
        <v>0</v>
      </c>
      <c r="C16" s="5">
        <v>0</v>
      </c>
      <c r="D16" s="5">
        <v>0</v>
      </c>
      <c r="E16" s="5">
        <v>0</v>
      </c>
      <c r="F16" s="5">
        <v>35</v>
      </c>
      <c r="G16" s="5">
        <v>0</v>
      </c>
      <c r="H16" s="5">
        <f>SUM(Table5[[#This Row],[To Do (0%)]:[WON''T DO (100%)]])</f>
        <v>35</v>
      </c>
    </row>
    <row r="17" spans="1:8" ht="18" thickBot="1">
      <c r="A17" s="4" t="s">
        <v>73</v>
      </c>
      <c r="B17" s="5">
        <v>0</v>
      </c>
      <c r="C17" s="5">
        <v>0</v>
      </c>
      <c r="D17" s="5">
        <v>0</v>
      </c>
      <c r="E17" s="5">
        <v>0</v>
      </c>
      <c r="F17" s="5">
        <v>29</v>
      </c>
      <c r="G17" s="5">
        <v>0</v>
      </c>
      <c r="H17" s="5">
        <f>SUM(Table5[[#This Row],[To Do (0%)]:[WON''T DO (100%)]])</f>
        <v>29</v>
      </c>
    </row>
    <row r="18" spans="1:8" ht="18" thickBot="1">
      <c r="A18" s="4" t="s">
        <v>78</v>
      </c>
      <c r="B18" s="5">
        <v>9</v>
      </c>
      <c r="C18" s="5">
        <v>1</v>
      </c>
      <c r="D18" s="5">
        <v>0</v>
      </c>
      <c r="E18" s="5">
        <v>0</v>
      </c>
      <c r="F18" s="5">
        <v>34</v>
      </c>
      <c r="G18" s="5">
        <v>0</v>
      </c>
      <c r="H18" s="5">
        <f>SUM(Table5[[#This Row],[To Do (0%)]:[WON''T DO (100%)]])</f>
        <v>44</v>
      </c>
    </row>
    <row r="19" spans="1:8" ht="18" thickBot="1">
      <c r="A19" s="4" t="s">
        <v>82</v>
      </c>
      <c r="B19" s="5">
        <v>11</v>
      </c>
      <c r="C19" s="5">
        <v>4</v>
      </c>
      <c r="D19" s="5">
        <v>1</v>
      </c>
      <c r="E19" s="5">
        <v>2</v>
      </c>
      <c r="F19" s="5">
        <v>19</v>
      </c>
      <c r="G19" s="5">
        <v>0</v>
      </c>
      <c r="H19" s="5">
        <f>SUM(Table5[[#This Row],[To Do (0%)]:[WON''T DO (100%)]])</f>
        <v>37</v>
      </c>
    </row>
    <row r="20" spans="1:8" ht="18" thickBot="1">
      <c r="A20" s="4" t="s">
        <v>86</v>
      </c>
      <c r="B20" s="5">
        <v>5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f>SUM(Table5[[#This Row],[To Do (0%)]:[WON''T DO (100%)]])</f>
        <v>5</v>
      </c>
    </row>
  </sheetData>
  <phoneticPr fontId="1" type="noConversion"/>
  <hyperlinks>
    <hyperlink ref="B2" r:id="rId1" display="https://xrspace.atlassian.net/issues/?jql=created+%3E%3D+2025-01-01+AND+created+%3C%3D+2025-12-31+AND+type+%3D+Bug+AND+project+%3D+SOVA+AND+Sprint+%3D+1463+AND+status+%3D+%22To+Do+%280%25%29%22" xr:uid="{EAE01BEF-997B-476A-B3F4-4BD5E198D472}"/>
    <hyperlink ref="D2" r:id="rId2" display="https://xrspace.atlassian.net/issues/?jql=created+%3E%3D+2025-01-01+AND+created+%3C%3D+2025-12-31+AND+type+%3D+Bug+AND+project+%3D+SOVA+AND+Sprint+%3D+1463+AND+status+%3D+%22In+Progress+%2850+%7E+70%25%29%22" xr:uid="{A6B1D19F-5C68-4BC2-A6CE-F7931690B9D2}"/>
    <hyperlink ref="E2" r:id="rId3" display="https://xrspace.atlassian.net/issues/?jql=created+%3E%3D+2025-01-01+AND+created+%3C%3D+2025-12-31+AND+type+%3D+Bug+AND+project+%3D+SOVA+AND+Sprint+%3D+1463+AND+status+%3D+%22IN+REVIEW+%2880%25%29%22" xr:uid="{D0CA2D9D-9CB3-4F50-9760-8107A58896E2}"/>
    <hyperlink ref="C2" r:id="rId4" display="https://xrspace.atlassian.net/issues/?jql=created+%3E%3D+2025-01-01+AND+created+%3C%3D+2025-12-31+AND+type+%3D+Bug+AND+project+%3D+SOVA+AND+Sprint+%3D+1463+AND+status+%3D+%22STARTING+%2810+%7E+40%25%29%22" xr:uid="{EFE0F5DA-53CC-4594-BEED-ABE404D68EE1}"/>
    <hyperlink ref="B3" r:id="rId5" display="https://xrspace.atlassian.net/issues/?jql=created+%3E%3D+2025-01-01+AND+created+%3C%3D+2025-12-31+AND+type+%3D+Bug+AND+project+%3D+SOVA+AND+Sprint+%3D+1466+AND+status+%3D+%22To+Do+%280%25%29%22" xr:uid="{F171350C-1840-4015-ABD5-F133B0C8FC32}"/>
    <hyperlink ref="D3" r:id="rId6" display="https://xrspace.atlassian.net/issues/?jql=created+%3E%3D+2025-01-01+AND+created+%3C%3D+2025-12-31+AND+type+%3D+Bug+AND+project+%3D+SOVA+AND+Sprint+%3D+1466+AND+status+%3D+%22In+Progress+%2850+%7E+70%25%29%22" xr:uid="{C8C0DE5B-2028-4C6D-8AA8-2AB13C5D8FB6}"/>
    <hyperlink ref="E3" r:id="rId7" display="https://xrspace.atlassian.net/issues/?jql=created+%3E%3D+2025-01-01+AND+created+%3C%3D+2025-12-31+AND+type+%3D+Bug+AND+project+%3D+SOVA+AND+Sprint+%3D+1466+AND+status+%3D+%22IN+REVIEW+%2880%25%29%22" xr:uid="{B003F64E-AB0F-49E7-92F1-087622D9F369}"/>
    <hyperlink ref="C3" r:id="rId8" display="https://xrspace.atlassian.net/issues/?jql=created+%3E%3D+2025-01-01+AND+created+%3C%3D+2025-12-31+AND+type+%3D+Bug+AND+project+%3D+SOVA+AND+Sprint+%3D+1466+AND+status+%3D+%22STARTING+%2810+%7E+40%25%29%22" xr:uid="{073CC75E-BCEC-4737-B58C-D668887233A5}"/>
    <hyperlink ref="B4" r:id="rId9" display="https://xrspace.atlassian.net/issues/?jql=created+%3E%3D+2025-01-01+AND+created+%3C%3D+2025-12-31+AND+type+%3D+Bug+AND+project+%3D+SOVA+AND+Sprint+%3D+1496+AND+status+%3D+%22To+Do+%280%25%29%22" xr:uid="{DF5E0B2D-00AA-41C0-950A-B4B5A9BE48AA}"/>
    <hyperlink ref="D4" r:id="rId10" display="https://xrspace.atlassian.net/issues/?jql=created+%3E%3D+2025-01-01+AND+created+%3C%3D+2025-12-31+AND+type+%3D+Bug+AND+project+%3D+SOVA+AND+Sprint+%3D+1496+AND+status+%3D+%22In+Progress+%2850+%7E+70%25%29%22" xr:uid="{D04CD522-117A-45E9-A5FD-3984AFC50228}"/>
    <hyperlink ref="E4" r:id="rId11" display="https://xrspace.atlassian.net/issues/?jql=created+%3E%3D+2025-01-01+AND+created+%3C%3D+2025-12-31+AND+type+%3D+Bug+AND+project+%3D+SOVA+AND+Sprint+%3D+1496+AND+status+%3D+%22IN+REVIEW+%2880%25%29%22" xr:uid="{4AB4882C-A2FF-4526-B5A0-46B18B88903F}"/>
    <hyperlink ref="C4" r:id="rId12" display="https://xrspace.atlassian.net/issues/?jql=created+%3E%3D+2025-01-01+AND+created+%3C%3D+2025-12-31+AND+type+%3D+Bug+AND+project+%3D+SOVA+AND+Sprint+%3D+1496+AND+status+%3D+%22STARTING+%2810+%7E+40%25%29%22" xr:uid="{6FFE44B6-DCA8-4152-9E60-E612D76CF68E}"/>
    <hyperlink ref="B5" r:id="rId13" display="https://xrspace.atlassian.net/issues/?jql=created+%3E%3D+2025-01-01+AND+created+%3C%3D+2025-12-31+AND+type+%3D+Bug+AND+project+%3D+SOVA+AND+Sprint+%3D+1497+AND+status+%3D+%22To+Do+%280%25%29%22" xr:uid="{AA960484-FA3E-40E6-9573-C261B62E5763}"/>
    <hyperlink ref="D5" r:id="rId14" display="https://xrspace.atlassian.net/issues/?jql=created+%3E%3D+2025-01-01+AND+created+%3C%3D+2025-12-31+AND+type+%3D+Bug+AND+project+%3D+SOVA+AND+Sprint+%3D+1497+AND+status+%3D+%22In+Progress+%2850+%7E+70%25%29%22" xr:uid="{36C29BC8-9A63-45E2-9A55-8C7E2DD22E42}"/>
    <hyperlink ref="E5" r:id="rId15" display="https://xrspace.atlassian.net/issues/?jql=created+%3E%3D+2025-01-01+AND+created+%3C%3D+2025-12-31+AND+type+%3D+Bug+AND+project+%3D+SOVA+AND+Sprint+%3D+1497+AND+status+%3D+%22IN+REVIEW+%2880%25%29%22" xr:uid="{B5223BA0-1341-4644-A7E6-0A2898C057F3}"/>
    <hyperlink ref="C5" r:id="rId16" display="https://xrspace.atlassian.net/issues/?jql=created+%3E%3D+2025-01-01+AND+created+%3C%3D+2025-12-31+AND+type+%3D+Bug+AND+project+%3D+SOVA+AND+Sprint+%3D+1497+AND+status+%3D+%22STARTING+%2810+%7E+40%25%29%22" xr:uid="{CE5ECC82-4A88-4599-AF7F-7B4340CFA113}"/>
    <hyperlink ref="B6" r:id="rId17" display="https://xrspace.atlassian.net/issues/?jql=created+%3E%3D+2025-01-01+AND+created+%3C%3D+2025-12-31+AND+type+%3D+Bug+AND+project+%3D+SOVA+AND+Sprint+%3D+1498+AND+status+%3D+%22To+Do+%280%25%29%22" xr:uid="{D82FC056-5223-4C34-A2E6-E1A0E392CBFD}"/>
    <hyperlink ref="D6" r:id="rId18" display="https://xrspace.atlassian.net/issues/?jql=created+%3E%3D+2025-01-01+AND+created+%3C%3D+2025-12-31+AND+type+%3D+Bug+AND+project+%3D+SOVA+AND+Sprint+%3D+1498+AND+status+%3D+%22In+Progress+%2850+%7E+70%25%29%22" xr:uid="{F4F90325-6E1E-41AC-BEAB-7A7FC3D4B51D}"/>
    <hyperlink ref="E6" r:id="rId19" display="https://xrspace.atlassian.net/issues/?jql=created+%3E%3D+2025-01-01+AND+created+%3C%3D+2025-12-31+AND+type+%3D+Bug+AND+project+%3D+SOVA+AND+Sprint+%3D+1498+AND+status+%3D+%22IN+REVIEW+%2880%25%29%22" xr:uid="{4FFDDCBB-42F2-4A1C-B00E-C7637F5AD8BF}"/>
    <hyperlink ref="C6" r:id="rId20" display="https://xrspace.atlassian.net/issues/?jql=created+%3E%3D+2025-01-01+AND+created+%3C%3D+2025-12-31+AND+type+%3D+Bug+AND+project+%3D+SOVA+AND+Sprint+%3D+1498+AND+status+%3D+%22STARTING+%2810+%7E+40%25%29%22" xr:uid="{163D9D23-2D50-4513-95BA-E46CA6BE9990}"/>
    <hyperlink ref="B7" r:id="rId21" display="https://xrspace.atlassian.net/issues/?jql=created+%3E%3D+2025-01-01+AND+created+%3C%3D+2025-12-31+AND+type+%3D+Bug+AND+project+%3D+SOVA+AND+Sprint+%3D+1499+AND+status+%3D+%22To+Do+%280%25%29%22" xr:uid="{981A98B5-AEF9-4F72-A34F-AB943570E2A9}"/>
    <hyperlink ref="D7" r:id="rId22" display="https://xrspace.atlassian.net/issues/?jql=created+%3E%3D+2025-01-01+AND+created+%3C%3D+2025-12-31+AND+type+%3D+Bug+AND+project+%3D+SOVA+AND+Sprint+%3D+1499+AND+status+%3D+%22In+Progress+%2850+%7E+70%25%29%22" xr:uid="{678D1B58-B4A1-42CA-BB6A-9599995DCC5A}"/>
    <hyperlink ref="E7" r:id="rId23" display="https://xrspace.atlassian.net/issues/?jql=created+%3E%3D+2025-01-01+AND+created+%3C%3D+2025-12-31+AND+type+%3D+Bug+AND+project+%3D+SOVA+AND+Sprint+%3D+1499+AND+status+%3D+%22IN+REVIEW+%2880%25%29%22" xr:uid="{0C89AAAB-27BE-43AC-9407-B7D8BB13D2CB}"/>
    <hyperlink ref="C7" r:id="rId24" display="https://xrspace.atlassian.net/issues/?jql=created+%3E%3D+2025-01-01+AND+created+%3C%3D+2025-12-31+AND+type+%3D+Bug+AND+project+%3D+SOVA+AND+Sprint+%3D+1499+AND+status+%3D+%22STARTING+%2810+%7E+40%25%29%22" xr:uid="{05D83297-BA15-468B-8765-169EBAAE033A}"/>
    <hyperlink ref="B8" r:id="rId25" display="https://xrspace.atlassian.net/issues/?jql=created+%3E%3D+2025-01-01+AND+created+%3C%3D+2025-12-31+AND+type+%3D+Bug+AND+project+%3D+SOVA+AND+Sprint+%3D+2156+AND+status+%3D+%22To+Do+%280%25%29%22" xr:uid="{43523AEE-20DE-4F24-B850-21D66F19C937}"/>
    <hyperlink ref="D8" r:id="rId26" display="https://xrspace.atlassian.net/issues/?jql=created+%3E%3D+2025-01-01+AND+created+%3C%3D+2025-12-31+AND+type+%3D+Bug+AND+project+%3D+SOVA+AND+Sprint+%3D+2156+AND+status+%3D+%22In+Progress+%2850+%7E+70%25%29%22" xr:uid="{FDFB474F-0138-48AB-B2BD-FB65A016BBD0}"/>
    <hyperlink ref="E8" r:id="rId27" display="https://xrspace.atlassian.net/issues/?jql=created+%3E%3D+2025-01-01+AND+created+%3C%3D+2025-12-31+AND+type+%3D+Bug+AND+project+%3D+SOVA+AND+Sprint+%3D+2156+AND+status+%3D+%22IN+REVIEW+%2880%25%29%22" xr:uid="{2D998867-D614-481D-9EA2-DCFE569884F3}"/>
    <hyperlink ref="C8" r:id="rId28" display="https://xrspace.atlassian.net/issues/?jql=created+%3E%3D+2025-01-01+AND+created+%3C%3D+2025-12-31+AND+type+%3D+Bug+AND+project+%3D+SOVA+AND+Sprint+%3D+2156+AND+status+%3D+%22STARTING+%2810+%7E+40%25%29%22" xr:uid="{94C9AA11-2A2F-440D-89F1-9F65878BC13A}"/>
    <hyperlink ref="B9" r:id="rId29" display="https://xrspace.atlassian.net/issues/?jql=created+%3E%3D+2025-01-01+AND+created+%3C%3D+2025-12-31+AND+type+%3D+Bug+AND+project+%3D+SOVA+AND+Sprint+%3D+2157+AND+status+%3D+%22To+Do+%280%25%29%22" xr:uid="{93FDAD2A-E00B-41C8-BF33-719304EA09FF}"/>
    <hyperlink ref="D9" r:id="rId30" display="https://xrspace.atlassian.net/issues/?jql=created+%3E%3D+2025-01-01+AND+created+%3C%3D+2025-12-31+AND+type+%3D+Bug+AND+project+%3D+SOVA+AND+Sprint+%3D+2157+AND+status+%3D+%22In+Progress+%2850+%7E+70%25%29%22" xr:uid="{A430222B-D584-4FD6-9939-BE5250768877}"/>
    <hyperlink ref="E9" r:id="rId31" display="https://xrspace.atlassian.net/issues/?jql=created+%3E%3D+2025-01-01+AND+created+%3C%3D+2025-12-31+AND+type+%3D+Bug+AND+project+%3D+SOVA+AND+Sprint+%3D+2157+AND+status+%3D+%22IN+REVIEW+%2880%25%29%22" xr:uid="{04CC889D-C220-4D94-8F0D-59F689B2E734}"/>
    <hyperlink ref="C9" r:id="rId32" display="https://xrspace.atlassian.net/issues/?jql=created+%3E%3D+2025-01-01+AND+created+%3C%3D+2025-12-31+AND+type+%3D+Bug+AND+project+%3D+SOVA+AND+Sprint+%3D+2157+AND+status+%3D+%22STARTING+%2810+%7E+40%25%29%22" xr:uid="{B6F8A1DD-1B99-4E5C-A8FC-55D11CAFB32E}"/>
    <hyperlink ref="B10" r:id="rId33" display="https://xrspace.atlassian.net/issues/?jql=created+%3E%3D+2025-01-01+AND+created+%3C%3D+2025-12-31+AND+type+%3D+Bug+AND+project+%3D+SOVA+AND+Sprint+%3D+2618+AND+status+%3D+%22To+Do+%280%25%29%22" xr:uid="{25989F3B-71DE-482E-8D09-43422F01D35E}"/>
    <hyperlink ref="D10" r:id="rId34" display="https://xrspace.atlassian.net/issues/?jql=created+%3E%3D+2025-01-01+AND+created+%3C%3D+2025-12-31+AND+type+%3D+Bug+AND+project+%3D+SOVA+AND+Sprint+%3D+2618+AND+status+%3D+%22In+Progress+%2850+%7E+70%25%29%22" xr:uid="{75BF62C9-CBA6-49E4-A6ED-78E9E872B00C}"/>
    <hyperlink ref="E10" r:id="rId35" display="https://xrspace.atlassian.net/issues/?jql=created+%3E%3D+2025-01-01+AND+created+%3C%3D+2025-12-31+AND+type+%3D+Bug+AND+project+%3D+SOVA+AND+Sprint+%3D+2618+AND+status+%3D+%22IN+REVIEW+%2880%25%29%22" xr:uid="{CC6EA267-1F27-49A5-99AB-F39C7CEC1410}"/>
    <hyperlink ref="C10" r:id="rId36" display="https://xrspace.atlassian.net/issues/?jql=created+%3E%3D+2025-01-01+AND+created+%3C%3D+2025-12-31+AND+type+%3D+Bug+AND+project+%3D+SOVA+AND+Sprint+%3D+2618+AND+status+%3D+%22STARTING+%2810+%7E+40%25%29%22" xr:uid="{9890E9E7-CBBB-40C9-A6A9-CD2FE70CB727}"/>
    <hyperlink ref="B11" r:id="rId37" display="https://xrspace.atlassian.net/issues/?jql=created+%3E%3D+2025-01-01+AND+created+%3C%3D+2025-12-31+AND+type+%3D+Bug+AND+project+%3D+SOVA+AND+Sprint+%3D+2619+AND+status+%3D+%22To+Do+%280%25%29%22" xr:uid="{C53C4338-4037-4DF4-9666-AC9EE832A077}"/>
    <hyperlink ref="D11" r:id="rId38" display="https://xrspace.atlassian.net/issues/?jql=created+%3E%3D+2025-01-01+AND+created+%3C%3D+2025-12-31+AND+type+%3D+Bug+AND+project+%3D+SOVA+AND+Sprint+%3D+2619+AND+status+%3D+%22In+Progress+%2850+%7E+70%25%29%22" xr:uid="{18FA0F19-5A59-4772-900E-A15224B4F124}"/>
    <hyperlink ref="E11" r:id="rId39" display="https://xrspace.atlassian.net/issues/?jql=created+%3E%3D+2025-01-01+AND+created+%3C%3D+2025-12-31+AND+type+%3D+Bug+AND+project+%3D+SOVA+AND+Sprint+%3D+2619+AND+status+%3D+%22IN+REVIEW+%2880%25%29%22" xr:uid="{06DCB8C8-0A4C-484C-89C8-E615969BBF65}"/>
    <hyperlink ref="C11" r:id="rId40" display="https://xrspace.atlassian.net/issues/?jql=created+%3E%3D+2025-01-01+AND+created+%3C%3D+2025-12-31+AND+type+%3D+Bug+AND+project+%3D+SOVA+AND+Sprint+%3D+2619+AND+status+%3D+%22STARTING+%2810+%7E+40%25%29%22" xr:uid="{253C753B-F149-4B7C-8027-7665E04E104C}"/>
    <hyperlink ref="B12" r:id="rId41" display="https://xrspace.atlassian.net/issues/?jql=created+%3E%3D+2025-01-01+AND+created+%3C%3D+2025-12-31+AND+type+%3D+Bug+AND+project+%3D+SOVA+AND+Sprint+%3D+2882+AND+status+%3D+%22To+Do+%280%25%29%22" xr:uid="{88CD0E71-15B0-41B7-8333-F967EA045B55}"/>
    <hyperlink ref="D12" r:id="rId42" display="https://xrspace.atlassian.net/issues/?jql=created+%3E%3D+2025-01-01+AND+created+%3C%3D+2025-12-31+AND+type+%3D+Bug+AND+project+%3D+SOVA+AND+Sprint+%3D+2882+AND+status+%3D+%22In+Progress+%2850+%7E+70%25%29%22" xr:uid="{3D8ED824-A25A-4C8F-86DE-DE2BEBD92525}"/>
    <hyperlink ref="E12" r:id="rId43" display="https://xrspace.atlassian.net/issues/?jql=created+%3E%3D+2025-01-01+AND+created+%3C%3D+2025-12-31+AND+type+%3D+Bug+AND+project+%3D+SOVA+AND+Sprint+%3D+2882+AND+status+%3D+%22IN+REVIEW+%2880%25%29%22" xr:uid="{7022E06B-9C95-4AF3-AD74-05F621BA2402}"/>
    <hyperlink ref="C12" r:id="rId44" display="https://xrspace.atlassian.net/issues/?jql=created+%3E%3D+2025-01-01+AND+created+%3C%3D+2025-12-31+AND+type+%3D+Bug+AND+project+%3D+SOVA+AND+Sprint+%3D+2882+AND+status+%3D+%22STARTING+%2810+%7E+40%25%29%22" xr:uid="{CF6245A7-2DF7-4DA8-B224-1E9FC0F571D1}"/>
    <hyperlink ref="B13" r:id="rId45" display="https://xrspace.atlassian.net/issues/?jql=created+%3E%3D+2025-01-01+AND+created+%3C%3D+2025-12-31+AND+type+%3D+Bug+AND+project+%3D+SOVA+AND+Sprint+%3D+3213+AND+status+%3D+%22To+Do+%280%25%29%22" xr:uid="{2514D686-D526-4215-BC70-C1709BC5A89C}"/>
    <hyperlink ref="D13" r:id="rId46" display="https://xrspace.atlassian.net/issues/?jql=created+%3E%3D+2025-01-01+AND+created+%3C%3D+2025-12-31+AND+type+%3D+Bug+AND+project+%3D+SOVA+AND+Sprint+%3D+3213+AND+status+%3D+%22In+Progress+%2850+%7E+70%25%29%22" xr:uid="{9EC01E3E-DCA2-403F-AB3E-BD2161C5C783}"/>
    <hyperlink ref="E13" r:id="rId47" display="https://xrspace.atlassian.net/issues/?jql=created+%3E%3D+2025-01-01+AND+created+%3C%3D+2025-12-31+AND+type+%3D+Bug+AND+project+%3D+SOVA+AND+Sprint+%3D+3213+AND+status+%3D+%22IN+REVIEW+%2880%25%29%22" xr:uid="{CF401762-BC3C-4919-8203-70DB37BDE3BF}"/>
    <hyperlink ref="C13" r:id="rId48" display="https://xrspace.atlassian.net/issues/?jql=created+%3E%3D+2025-01-01+AND+created+%3C%3D+2025-12-31+AND+type+%3D+Bug+AND+project+%3D+SOVA+AND+Sprint+%3D+3213+AND+status+%3D+%22STARTING+%2810+%7E+40%25%29%22" xr:uid="{930901AD-1DB3-4657-B388-C817C2E8901D}"/>
    <hyperlink ref="B14" r:id="rId49" display="https://xrspace.atlassian.net/issues/?jql=created+%3E%3D+2025-01-01+AND+created+%3C%3D+2025-12-31+AND+type+%3D+Bug+AND+project+%3D+SOVA+AND+Sprint+%3D+3245+AND+status+%3D+%22To+Do+%280%25%29%22" xr:uid="{D4AFA02C-71A5-4600-99EB-E1E231A6C80E}"/>
    <hyperlink ref="D14" r:id="rId50" display="https://xrspace.atlassian.net/issues/?jql=created+%3E%3D+2025-01-01+AND+created+%3C%3D+2025-12-31+AND+type+%3D+Bug+AND+project+%3D+SOVA+AND+Sprint+%3D+3245+AND+status+%3D+%22In+Progress+%2850+%7E+70%25%29%22" xr:uid="{75CF11FD-DA57-4598-9CC0-1F7E478E5401}"/>
    <hyperlink ref="E14" r:id="rId51" display="https://xrspace.atlassian.net/issues/?jql=created+%3E%3D+2025-01-01+AND+created+%3C%3D+2025-12-31+AND+type+%3D+Bug+AND+project+%3D+SOVA+AND+Sprint+%3D+3245+AND+status+%3D+%22IN+REVIEW+%2880%25%29%22" xr:uid="{E75D3268-E46A-476A-8F10-54334FFC052E}"/>
    <hyperlink ref="C14" r:id="rId52" display="https://xrspace.atlassian.net/issues/?jql=created+%3E%3D+2025-01-01+AND+created+%3C%3D+2025-12-31+AND+type+%3D+Bug+AND+project+%3D+SOVA+AND+Sprint+%3D+3245+AND+status+%3D+%22STARTING+%2810+%7E+40%25%29%22" xr:uid="{2BC29117-8834-4CDA-97BB-ED311FE22162}"/>
    <hyperlink ref="B15" r:id="rId53" display="https://xrspace.atlassian.net/issues/?jql=created+%3E%3D+2025-01-01+AND+created+%3C%3D+2025-12-31+AND+type+%3D+Bug+AND+project+%3D+SOVA+AND+Sprint+%3D+3246+AND+status+%3D+%22To+Do+%280%25%29%22" xr:uid="{FCF28801-1DB4-4106-931B-EC44ABD8A6A6}"/>
    <hyperlink ref="D15" r:id="rId54" display="https://xrspace.atlassian.net/issues/?jql=created+%3E%3D+2025-01-01+AND+created+%3C%3D+2025-12-31+AND+type+%3D+Bug+AND+project+%3D+SOVA+AND+Sprint+%3D+3246+AND+status+%3D+%22In+Progress+%2850+%7E+70%25%29%22" xr:uid="{22269072-E4BD-4F13-934F-0D84F22DAD9D}"/>
    <hyperlink ref="E15" r:id="rId55" display="https://xrspace.atlassian.net/issues/?jql=created+%3E%3D+2025-01-01+AND+created+%3C%3D+2025-12-31+AND+type+%3D+Bug+AND+project+%3D+SOVA+AND+Sprint+%3D+3246+AND+status+%3D+%22IN+REVIEW+%2880%25%29%22" xr:uid="{6801ADD6-15BF-4C48-9F08-170D1AFFF164}"/>
    <hyperlink ref="C15" r:id="rId56" display="https://xrspace.atlassian.net/issues/?jql=created+%3E%3D+2025-01-01+AND+created+%3C%3D+2025-12-31+AND+type+%3D+Bug+AND+project+%3D+SOVA+AND+Sprint+%3D+3246+AND+status+%3D+%22STARTING+%2810+%7E+40%25%29%22" xr:uid="{016D9E01-6D0E-458E-8894-C0F033E04DC9}"/>
    <hyperlink ref="B16" r:id="rId57" display="https://xrspace.atlassian.net/issues/?jql=created+%3E%3D+2025-01-01+AND+created+%3C%3D+2025-12-31+AND+type+%3D+Bug+AND+project+%3D+SOVA+AND+Sprint+%3D+3575+AND+status+%3D+%22To+Do+%280%25%29%22" xr:uid="{B620FC0D-F2C5-4742-B0B6-A99B4FEEF0D4}"/>
    <hyperlink ref="D16" r:id="rId58" display="https://xrspace.atlassian.net/issues/?jql=created+%3E%3D+2025-01-01+AND+created+%3C%3D+2025-12-31+AND+type+%3D+Bug+AND+project+%3D+SOVA+AND+Sprint+%3D+3575+AND+status+%3D+%22In+Progress+%2850+%7E+70%25%29%22" xr:uid="{5A8E0AE7-3BB9-4DEB-8072-FA3BEA07D947}"/>
    <hyperlink ref="E16" r:id="rId59" display="https://xrspace.atlassian.net/issues/?jql=created+%3E%3D+2025-01-01+AND+created+%3C%3D+2025-12-31+AND+type+%3D+Bug+AND+project+%3D+SOVA+AND+Sprint+%3D+3575+AND+status+%3D+%22IN+REVIEW+%2880%25%29%22" xr:uid="{0938B1A8-3979-4DBC-A006-7A8846C2F339}"/>
    <hyperlink ref="C16" r:id="rId60" display="https://xrspace.atlassian.net/issues/?jql=created+%3E%3D+2025-01-01+AND+created+%3C%3D+2025-12-31+AND+type+%3D+Bug+AND+project+%3D+SOVA+AND+Sprint+%3D+3575+AND+status+%3D+%22STARTING+%2810+%7E+40%25%29%22" xr:uid="{DC12FC31-BD48-43EA-ADAA-93E25484A3F3}"/>
    <hyperlink ref="B17" r:id="rId61" display="https://xrspace.atlassian.net/issues/?jql=created+%3E%3D+2025-01-01+AND+created+%3C%3D+2025-12-31+AND+type+%3D+Bug+AND+project+%3D+SOVA+AND+Sprint+%3D+3608+AND+status+%3D+%22To+Do+%280%25%29%22" xr:uid="{D77F1A84-1DDB-4345-9774-588FC17A4E28}"/>
    <hyperlink ref="D17" r:id="rId62" display="https://xrspace.atlassian.net/issues/?jql=created+%3E%3D+2025-01-01+AND+created+%3C%3D+2025-12-31+AND+type+%3D+Bug+AND+project+%3D+SOVA+AND+Sprint+%3D+3608+AND+status+%3D+%22In+Progress+%2850+%7E+70%25%29%22" xr:uid="{5770933E-95C3-4992-96AA-1A348D05E709}"/>
    <hyperlink ref="E17" r:id="rId63" display="https://xrspace.atlassian.net/issues/?jql=created+%3E%3D+2025-01-01+AND+created+%3C%3D+2025-12-31+AND+type+%3D+Bug+AND+project+%3D+SOVA+AND+Sprint+%3D+3608+AND+status+%3D+%22IN+REVIEW+%2880%25%29%22" xr:uid="{1EB4F867-DC01-4255-A75E-8028B1A4783C}"/>
    <hyperlink ref="C17" r:id="rId64" display="https://xrspace.atlassian.net/issues/?jql=created+%3E%3D+2025-01-01+AND+created+%3C%3D+2025-12-31+AND+type+%3D+Bug+AND+project+%3D+SOVA+AND+Sprint+%3D+3608+AND+status+%3D+%22STARTING+%2810+%7E+40%25%29%22" xr:uid="{5FBD9E00-A969-42D5-B116-A50FBE86233F}"/>
    <hyperlink ref="B18" r:id="rId65" display="https://xrspace.atlassian.net/issues/?jql=created+%3E%3D+2025-01-01+AND+created+%3C%3D+2025-12-31+AND+type+%3D+Bug+AND+project+%3D+SOVA+AND+Sprint+%3D+3872+AND+status+%3D+%22To+Do+%280%25%29%22" xr:uid="{A88630EA-1856-4D7B-905A-D8D373CBB493}"/>
    <hyperlink ref="D18" r:id="rId66" display="https://xrspace.atlassian.net/issues/?jql=created+%3E%3D+2025-01-01+AND+created+%3C%3D+2025-12-31+AND+type+%3D+Bug+AND+project+%3D+SOVA+AND+Sprint+%3D+3872+AND+status+%3D+%22In+Progress+%2850+%7E+70%25%29%22" xr:uid="{FE44FED3-B084-4659-95DC-1BAC4F0C6187}"/>
    <hyperlink ref="E18" r:id="rId67" display="https://xrspace.atlassian.net/issues/?jql=created+%3E%3D+2025-01-01+AND+created+%3C%3D+2025-12-31+AND+type+%3D+Bug+AND+project+%3D+SOVA+AND+Sprint+%3D+3872+AND+status+%3D+%22IN+REVIEW+%2880%25%29%22" xr:uid="{E3D3D7AE-E8E6-4E47-A00B-46985EC77F9A}"/>
    <hyperlink ref="C18" r:id="rId68" display="https://xrspace.atlassian.net/issues/?jql=created+%3E%3D+2025-01-01+AND+created+%3C%3D+2025-12-31+AND+type+%3D+Bug+AND+project+%3D+SOVA+AND+Sprint+%3D+3872+AND+status+%3D+%22STARTING+%2810+%7E+40%25%29%22" xr:uid="{47E122F9-9D57-4540-AB55-28497E4F1BEF}"/>
    <hyperlink ref="B19" r:id="rId69" display="https://xrspace.atlassian.net/issues/?jql=created+%3E%3D+2025-01-01+AND+created+%3C%3D+2025-12-31+AND+type+%3D+Bug+AND+project+%3D+SOVA+AND+Sprint+%3D+3873+AND+status+%3D+%22To+Do+%280%25%29%22" xr:uid="{99CAFCF5-BC3C-4BBD-ACB6-2CE528C885AD}"/>
    <hyperlink ref="D19" r:id="rId70" display="https://xrspace.atlassian.net/issues/?jql=created+%3E%3D+2025-01-01+AND+created+%3C%3D+2025-12-31+AND+type+%3D+Bug+AND+project+%3D+SOVA+AND+Sprint+%3D+3873+AND+status+%3D+%22In+Progress+%2850+%7E+70%25%29%22" xr:uid="{94241F14-855D-454C-AA65-FDCE4D55762A}"/>
    <hyperlink ref="E19" r:id="rId71" display="https://xrspace.atlassian.net/issues/?jql=created+%3E%3D+2025-01-01+AND+created+%3C%3D+2025-12-31+AND+type+%3D+Bug+AND+project+%3D+SOVA+AND+Sprint+%3D+3873+AND+status+%3D+%22IN+REVIEW+%2880%25%29%22" xr:uid="{E4329E0D-B25A-4413-8D36-E053521D5DEA}"/>
    <hyperlink ref="C19" r:id="rId72" display="https://xrspace.atlassian.net/issues/?jql=created+%3E%3D+2025-01-01+AND+created+%3C%3D+2025-12-31+AND+type+%3D+Bug+AND+project+%3D+SOVA+AND+Sprint+%3D+3873+AND+status+%3D+%22STARTING+%2810+%7E+40%25%29%22" xr:uid="{DEB356E9-E144-48C7-B7CF-23FE90E70089}"/>
    <hyperlink ref="B20" r:id="rId73" display="https://xrspace.atlassian.net/issues/?jql=created+%3E%3D+2025-01-01+AND+created+%3C%3D+2025-12-31+AND+type+%3D+Bug+AND+project+%3D+SOVA+AND+Sprint+%3D+4140+AND+status+%3D+%22To+Do+%280%25%29%22" xr:uid="{4A924694-7534-4F07-8D64-9D369681EDEC}"/>
    <hyperlink ref="D20" r:id="rId74" display="https://xrspace.atlassian.net/issues/?jql=created+%3E%3D+2025-01-01+AND+created+%3C%3D+2025-12-31+AND+type+%3D+Bug+AND+project+%3D+SOVA+AND+Sprint+%3D+4140+AND+status+%3D+%22In+Progress+%2850+%7E+70%25%29%22" xr:uid="{2A464015-D7B2-4A2F-B870-7BB7DF432C0F}"/>
    <hyperlink ref="E20" r:id="rId75" display="https://xrspace.atlassian.net/issues/?jql=created+%3E%3D+2025-01-01+AND+created+%3C%3D+2025-12-31+AND+type+%3D+Bug+AND+project+%3D+SOVA+AND+Sprint+%3D+4140+AND+status+%3D+%22IN+REVIEW+%2880%25%29%22" xr:uid="{B0277E81-B15E-4F0A-A39E-A00B5EB89FC9}"/>
    <hyperlink ref="C20" r:id="rId76" display="https://xrspace.atlassian.net/issues/?jql=created+%3E%3D+2025-01-01+AND+created+%3C%3D+2025-12-31+AND+type+%3D+Bug+AND+project+%3D+SOVA+AND+Sprint+%3D+4140+AND+status+%3D+%22STARTING+%2810+%7E+40%25%29%22" xr:uid="{FD68D574-F420-445E-A12F-5AE96E48CD52}"/>
    <hyperlink ref="F2" r:id="rId77" display="https://xrspace.atlassian.net/issues/?jql=created+%3E%3D+2025-01-01+AND+created+%3C%3D+2025-12-31+AND+type+%3D+Bug+AND+project+%3D+SOVA+AND+Sprint+%3D+1463+AND+status+%3D+%22Done+%28100%25%29%22" xr:uid="{C5615B52-5127-4435-8910-AC625A9EDCEB}"/>
    <hyperlink ref="F3" r:id="rId78" display="https://xrspace.atlassian.net/issues/?jql=created+%3E%3D+2025-01-01+AND+created+%3C%3D+2025-12-31+AND+type+%3D+Bug+AND+project+%3D+SOVA+AND+Sprint+%3D+1466+AND+status+%3D+%22Done+%28100%25%29%22" xr:uid="{ABC81488-301F-4DFB-958E-77B74A5F19DB}"/>
    <hyperlink ref="F4" r:id="rId79" display="https://xrspace.atlassian.net/issues/?jql=created+%3E%3D+2025-01-01+AND+created+%3C%3D+2025-12-31+AND+type+%3D+Bug+AND+project+%3D+SOVA+AND+Sprint+%3D+1496+AND+status+%3D+%22Done+%28100%25%29%22" xr:uid="{0BEDE094-7591-4BD3-B583-0107C6AC364E}"/>
    <hyperlink ref="F5" r:id="rId80" display="https://xrspace.atlassian.net/issues/?jql=created+%3E%3D+2025-01-01+AND+created+%3C%3D+2025-12-31+AND+type+%3D+Bug+AND+project+%3D+SOVA+AND+Sprint+%3D+1497+AND+status+%3D+%22Done+%28100%25%29%22" xr:uid="{B76A5823-5366-4F9F-96FD-0D94BAAC696E}"/>
    <hyperlink ref="F6" r:id="rId81" display="https://xrspace.atlassian.net/issues/?jql=created+%3E%3D+2025-01-01+AND+created+%3C%3D+2025-12-31+AND+type+%3D+Bug+AND+project+%3D+SOVA+AND+Sprint+%3D+1498+AND+status+%3D+%22Done+%28100%25%29%22" xr:uid="{5FC53D87-72CC-4401-866A-0546306B32C0}"/>
    <hyperlink ref="F7" r:id="rId82" display="https://xrspace.atlassian.net/issues/?jql=created+%3E%3D+2025-01-01+AND+created+%3C%3D+2025-12-31+AND+type+%3D+Bug+AND+project+%3D+SOVA+AND+Sprint+%3D+1499+AND+status+%3D+%22Done+%28100%25%29%22" xr:uid="{A7FB262A-EC93-45B8-8D00-AB5814F0FAD4}"/>
    <hyperlink ref="F8" r:id="rId83" display="https://xrspace.atlassian.net/issues/?jql=created+%3E%3D+2025-01-01+AND+created+%3C%3D+2025-12-31+AND+type+%3D+Bug+AND+project+%3D+SOVA+AND+Sprint+%3D+2156+AND+status+%3D+%22Done+%28100%25%29%22" xr:uid="{623A114C-7DC6-4262-8F60-555472A0D444}"/>
    <hyperlink ref="F9" r:id="rId84" display="https://xrspace.atlassian.net/issues/?jql=created+%3E%3D+2025-01-01+AND+created+%3C%3D+2025-12-31+AND+type+%3D+Bug+AND+project+%3D+SOVA+AND+Sprint+%3D+2157+AND+status+%3D+%22Done+%28100%25%29%22" xr:uid="{82D73B1B-F7D4-40E4-A945-08FE0DFAA037}"/>
    <hyperlink ref="F10" r:id="rId85" display="https://xrspace.atlassian.net/issues/?jql=created+%3E%3D+2025-01-01+AND+created+%3C%3D+2025-12-31+AND+type+%3D+Bug+AND+project+%3D+SOVA+AND+Sprint+%3D+2618+AND+status+%3D+%22Done+%28100%25%29%22" xr:uid="{1CEE3527-868D-497D-A7A8-9D1E14CFB2D8}"/>
    <hyperlink ref="F11" r:id="rId86" display="https://xrspace.atlassian.net/issues/?jql=created+%3E%3D+2025-01-01+AND+created+%3C%3D+2025-12-31+AND+type+%3D+Bug+AND+project+%3D+SOVA+AND+Sprint+%3D+2619+AND+status+%3D+%22Done+%28100%25%29%22" xr:uid="{D9FA402B-57EC-4756-A193-3580BE2FF4E1}"/>
    <hyperlink ref="F12" r:id="rId87" display="https://xrspace.atlassian.net/issues/?jql=created+%3E%3D+2025-01-01+AND+created+%3C%3D+2025-12-31+AND+type+%3D+Bug+AND+project+%3D+SOVA+AND+Sprint+%3D+2882+AND+status+%3D+%22Done+%28100%25%29%22" xr:uid="{75ADBE44-CBF3-4B57-9331-7665932EFBCA}"/>
    <hyperlink ref="F13" r:id="rId88" display="https://xrspace.atlassian.net/issues/?jql=created+%3E%3D+2025-01-01+AND+created+%3C%3D+2025-12-31+AND+type+%3D+Bug+AND+project+%3D+SOVA+AND+Sprint+%3D+3213+AND+status+%3D+%22Done+%28100%25%29%22" xr:uid="{E5057A00-89F3-479C-BC3F-8A2256D62D92}"/>
    <hyperlink ref="F14" r:id="rId89" display="https://xrspace.atlassian.net/issues/?jql=created+%3E%3D+2025-01-01+AND+created+%3C%3D+2025-12-31+AND+type+%3D+Bug+AND+project+%3D+SOVA+AND+Sprint+%3D+3245+AND+status+%3D+%22Done+%28100%25%29%22" xr:uid="{23335C0A-4A7F-4977-A2A1-837255C9D007}"/>
    <hyperlink ref="F15" r:id="rId90" display="https://xrspace.atlassian.net/issues/?jql=created+%3E%3D+2025-01-01+AND+created+%3C%3D+2025-12-31+AND+type+%3D+Bug+AND+project+%3D+SOVA+AND+Sprint+%3D+3246+AND+status+%3D+%22Done+%28100%25%29%22" xr:uid="{2E7E895A-3C9F-4826-9C27-DDE796A61C6B}"/>
    <hyperlink ref="F16" r:id="rId91" display="https://xrspace.atlassian.net/issues/?jql=created+%3E%3D+2025-01-01+AND+created+%3C%3D+2025-12-31+AND+type+%3D+Bug+AND+project+%3D+SOVA+AND+Sprint+%3D+3575+AND+status+%3D+%22Done+%28100%25%29%22" xr:uid="{0B618BB0-C8E1-4788-92AB-419181E5C5B1}"/>
    <hyperlink ref="F17" r:id="rId92" display="https://xrspace.atlassian.net/issues/?jql=created+%3E%3D+2025-01-01+AND+created+%3C%3D+2025-12-31+AND+type+%3D+Bug+AND+project+%3D+SOVA+AND+Sprint+%3D+3608+AND+status+%3D+%22Done+%28100%25%29%22" xr:uid="{5263D356-9630-4BFB-A650-DB8A8888151F}"/>
    <hyperlink ref="F18" r:id="rId93" display="https://xrspace.atlassian.net/issues/?jql=created+%3E%3D+2025-01-01+AND+created+%3C%3D+2025-12-31+AND+type+%3D+Bug+AND+project+%3D+SOVA+AND+Sprint+%3D+3872+AND+status+%3D+%22Done+%28100%25%29%22" xr:uid="{EB505EE7-639C-4A97-9BA4-B6AA60E484C9}"/>
    <hyperlink ref="F19" r:id="rId94" display="https://xrspace.atlassian.net/issues/?jql=created+%3E%3D+2025-01-01+AND+created+%3C%3D+2025-12-31+AND+type+%3D+Bug+AND+project+%3D+SOVA+AND+Sprint+%3D+3873+AND+status+%3D+%22Done+%28100%25%29%22" xr:uid="{3CD71080-FE58-498D-B3CF-FFA5092924AC}"/>
    <hyperlink ref="F20" r:id="rId95" display="https://xrspace.atlassian.net/issues/?jql=created+%3E%3D+2025-01-01+AND+created+%3C%3D+2025-12-31+AND+type+%3D+Bug+AND+project+%3D+SOVA+AND+Sprint+%3D+4140+AND+status+%3D+%22Done+%28100%25%29%22" xr:uid="{974955AB-1FC0-4D9E-8EFC-FD77CFA0CE75}"/>
    <hyperlink ref="G2" r:id="rId96" display="https://xrspace.atlassian.net/issues/?jql=created+%3E%3D+2025-01-01+AND+created+%3C%3D+2025-12-31+AND+type+%3D+Bug+AND+project+%3D+SOVA+AND+Sprint+%3D+1463+AND+status+%3D+%22WON%27T+DO+%28100%25%29%22" xr:uid="{9EBA91EB-4345-422D-BE65-F90208E996DF}"/>
    <hyperlink ref="G3" r:id="rId97" display="https://xrspace.atlassian.net/issues/?jql=created+%3E%3D+2025-01-01+AND+created+%3C%3D+2025-12-31+AND+type+%3D+Bug+AND+project+%3D+SOVA+AND+Sprint+%3D+1466+AND+status+%3D+%22WON%27T+DO+%28100%25%29%22" xr:uid="{F9C1A0B6-D8CE-4529-856F-CB76AE25703C}"/>
    <hyperlink ref="G4" r:id="rId98" display="https://xrspace.atlassian.net/issues/?jql=created+%3E%3D+2025-01-01+AND+created+%3C%3D+2025-12-31+AND+type+%3D+Bug+AND+project+%3D+SOVA+AND+Sprint+%3D+1496+AND+status+%3D+%22WON%27T+DO+%28100%25%29%22" xr:uid="{AA6E5B89-F0BF-43BA-A34B-0C3CABB367FC}"/>
    <hyperlink ref="G5" r:id="rId99" display="https://xrspace.atlassian.net/issues/?jql=created+%3E%3D+2025-01-01+AND+created+%3C%3D+2025-12-31+AND+type+%3D+Bug+AND+project+%3D+SOVA+AND+Sprint+%3D+1497+AND+status+%3D+%22WON%27T+DO+%28100%25%29%22" xr:uid="{4F21DAC8-F53A-4CAD-9BD2-FD43F5180378}"/>
    <hyperlink ref="G6" r:id="rId100" display="https://xrspace.atlassian.net/issues/?jql=created+%3E%3D+2025-01-01+AND+created+%3C%3D+2025-12-31+AND+type+%3D+Bug+AND+project+%3D+SOVA+AND+Sprint+%3D+1498+AND+status+%3D+%22WON%27T+DO+%28100%25%29%22" xr:uid="{947DB2F9-A33E-4A25-95E9-E0E39726A292}"/>
    <hyperlink ref="G7" r:id="rId101" display="https://xrspace.atlassian.net/issues/?jql=created+%3E%3D+2025-01-01+AND+created+%3C%3D+2025-12-31+AND+type+%3D+Bug+AND+project+%3D+SOVA+AND+Sprint+%3D+1499+AND+status+%3D+%22WON%27T+DO+%28100%25%29%22" xr:uid="{D37EF1CD-B1BE-4780-9553-822A028F2D35}"/>
    <hyperlink ref="G8" r:id="rId102" display="https://xrspace.atlassian.net/issues/?jql=created+%3E%3D+2025-01-01+AND+created+%3C%3D+2025-12-31+AND+type+%3D+Bug+AND+project+%3D+SOVA+AND+Sprint+%3D+2156+AND+status+%3D+%22WON%27T+DO+%28100%25%29%22" xr:uid="{32C74D7E-F9AE-4382-84CD-239A7073B839}"/>
    <hyperlink ref="G9" r:id="rId103" display="https://xrspace.atlassian.net/issues/?jql=created+%3E%3D+2025-01-01+AND+created+%3C%3D+2025-12-31+AND+type+%3D+Bug+AND+project+%3D+SOVA+AND+Sprint+%3D+2157+AND+status+%3D+%22WON%27T+DO+%28100%25%29%22" xr:uid="{C9032A59-0A04-4051-814F-C0132D2CC6D2}"/>
    <hyperlink ref="G10" r:id="rId104" display="https://xrspace.atlassian.net/issues/?jql=created+%3E%3D+2025-01-01+AND+created+%3C%3D+2025-12-31+AND+type+%3D+Bug+AND+project+%3D+SOVA+AND+Sprint+%3D+2618+AND+status+%3D+%22WON%27T+DO+%28100%25%29%22" xr:uid="{706375BA-3D64-4550-8685-8C045C49AD87}"/>
    <hyperlink ref="G11" r:id="rId105" display="https://xrspace.atlassian.net/issues/?jql=created+%3E%3D+2025-01-01+AND+created+%3C%3D+2025-12-31+AND+type+%3D+Bug+AND+project+%3D+SOVA+AND+Sprint+%3D+2619+AND+status+%3D+%22WON%27T+DO+%28100%25%29%22" xr:uid="{B95000EF-2B25-49B6-B94C-26C14236ECF3}"/>
    <hyperlink ref="G12" r:id="rId106" display="https://xrspace.atlassian.net/issues/?jql=created+%3E%3D+2025-01-01+AND+created+%3C%3D+2025-12-31+AND+type+%3D+Bug+AND+project+%3D+SOVA+AND+Sprint+%3D+2882+AND+status+%3D+%22WON%27T+DO+%28100%25%29%22" xr:uid="{39A48481-532D-40B1-BCE5-FB120B3540EC}"/>
    <hyperlink ref="G13" r:id="rId107" display="https://xrspace.atlassian.net/issues/?jql=created+%3E%3D+2025-01-01+AND+created+%3C%3D+2025-12-31+AND+type+%3D+Bug+AND+project+%3D+SOVA+AND+Sprint+%3D+3213+AND+status+%3D+%22WON%27T+DO+%28100%25%29%22" xr:uid="{16A3CF56-FD8D-43FD-9DD2-C24D4A477CFB}"/>
    <hyperlink ref="G14" r:id="rId108" display="https://xrspace.atlassian.net/issues/?jql=created+%3E%3D+2025-01-01+AND+created+%3C%3D+2025-12-31+AND+type+%3D+Bug+AND+project+%3D+SOVA+AND+Sprint+%3D+3245+AND+status+%3D+%22WON%27T+DO+%28100%25%29%22" xr:uid="{A521E823-E5E8-4FCE-81AC-1FDF5ADE6BD1}"/>
    <hyperlink ref="G15" r:id="rId109" display="https://xrspace.atlassian.net/issues/?jql=created+%3E%3D+2025-01-01+AND+created+%3C%3D+2025-12-31+AND+type+%3D+Bug+AND+project+%3D+SOVA+AND+Sprint+%3D+3246+AND+status+%3D+%22WON%27T+DO+%28100%25%29%22" xr:uid="{AA54C5BF-FAD0-4ECC-944A-967C7729D478}"/>
    <hyperlink ref="G16" r:id="rId110" display="https://xrspace.atlassian.net/issues/?jql=created+%3E%3D+2025-01-01+AND+created+%3C%3D+2025-12-31+AND+type+%3D+Bug+AND+project+%3D+SOVA+AND+Sprint+%3D+3575+AND+status+%3D+%22WON%27T+DO+%28100%25%29%22" xr:uid="{07E61C03-014A-4BC9-B95F-D9592EFCBCF0}"/>
    <hyperlink ref="G17" r:id="rId111" display="https://xrspace.atlassian.net/issues/?jql=created+%3E%3D+2025-01-01+AND+created+%3C%3D+2025-12-31+AND+type+%3D+Bug+AND+project+%3D+SOVA+AND+Sprint+%3D+3608+AND+status+%3D+%22WON%27T+DO+%28100%25%29%22" xr:uid="{A366A977-A59C-4958-A997-CEAEB44C7986}"/>
    <hyperlink ref="G18" r:id="rId112" display="https://xrspace.atlassian.net/issues/?jql=created+%3E%3D+2025-01-01+AND+created+%3C%3D+2025-12-31+AND+type+%3D+Bug+AND+project+%3D+SOVA+AND+Sprint+%3D+3872+AND+status+%3D+%22WON%27T+DO+%28100%25%29%22" xr:uid="{6A5BF90E-0C0F-4CBB-AA4B-8AAC9B6E045C}"/>
    <hyperlink ref="G19" r:id="rId113" display="https://xrspace.atlassian.net/issues/?jql=created+%3E%3D+2025-01-01+AND+created+%3C%3D+2025-12-31+AND+type+%3D+Bug+AND+project+%3D+SOVA+AND+Sprint+%3D+3873+AND+status+%3D+%22WON%27T+DO+%28100%25%29%22" xr:uid="{BA4959FC-EEAF-4F06-8F84-D7F58C80DDE7}"/>
    <hyperlink ref="G20" r:id="rId114" display="https://xrspace.atlassian.net/issues/?jql=created+%3E%3D+2025-01-01+AND+created+%3C%3D+2025-12-31+AND+type+%3D+Bug+AND+project+%3D+SOVA+AND+Sprint+%3D+4140+AND+status+%3D+%22WON%27T+DO+%28100%25%29%22" xr:uid="{68DF6C42-BF3F-4E8B-965C-3D33B54A0C82}"/>
  </hyperlinks>
  <pageMargins left="0.7" right="0.7" top="0.75" bottom="0.75" header="0.3" footer="0.3"/>
  <pageSetup orientation="portrait" r:id="rId115"/>
  <drawing r:id="rId116"/>
  <tableParts count="1">
    <tablePart r:id="rId11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12"/>
  <sheetViews>
    <sheetView workbookViewId="0">
      <selection activeCell="H17" sqref="H17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59</v>
      </c>
      <c r="B1" s="2" t="s">
        <v>5</v>
      </c>
      <c r="C1" s="2" t="s">
        <v>6</v>
      </c>
      <c r="D1" s="2" t="s">
        <v>0</v>
      </c>
      <c r="E1" s="2" t="s">
        <v>7</v>
      </c>
    </row>
    <row r="2" spans="1:5" ht="20.100000000000001" customHeight="1">
      <c r="A2" s="2" t="s">
        <v>68</v>
      </c>
      <c r="B2" s="14">
        <v>0</v>
      </c>
      <c r="C2" s="14">
        <v>0</v>
      </c>
      <c r="D2" s="14">
        <v>91</v>
      </c>
      <c r="E2" s="14">
        <f>SUM(Table25[[#This Row],[Done]:[TODO (P1)]])</f>
        <v>91</v>
      </c>
    </row>
    <row r="3" spans="1:5" ht="20.100000000000001" customHeight="1">
      <c r="A3" s="3" t="s">
        <v>69</v>
      </c>
      <c r="B3" s="15">
        <v>0</v>
      </c>
      <c r="C3" s="15">
        <v>1</v>
      </c>
      <c r="D3" s="15">
        <v>90</v>
      </c>
      <c r="E3" s="15">
        <f>SUM(Table25[[#This Row],[Done]:[TODO (P1)]])</f>
        <v>91</v>
      </c>
    </row>
    <row r="4" spans="1:5" ht="20.100000000000001" customHeight="1">
      <c r="A4" s="2" t="s">
        <v>72</v>
      </c>
      <c r="B4" s="15">
        <v>0</v>
      </c>
      <c r="C4" s="15">
        <v>1</v>
      </c>
      <c r="D4" s="15">
        <v>90</v>
      </c>
      <c r="E4" s="15">
        <f>SUM(Table25[[#This Row],[Done]:[TODO (P1)]])</f>
        <v>91</v>
      </c>
    </row>
    <row r="5" spans="1:5" ht="20.100000000000001" customHeight="1">
      <c r="A5" s="3" t="s">
        <v>74</v>
      </c>
      <c r="B5" s="15">
        <v>0</v>
      </c>
      <c r="C5" s="15">
        <v>1</v>
      </c>
      <c r="D5" s="15">
        <v>90</v>
      </c>
      <c r="E5" s="15">
        <f>SUM(Table25[[#This Row],[Done]:[TODO (P1)]])</f>
        <v>91</v>
      </c>
    </row>
    <row r="6" spans="1:5" ht="20.100000000000001" customHeight="1">
      <c r="A6" s="3" t="s">
        <v>77</v>
      </c>
      <c r="B6" s="15">
        <v>5</v>
      </c>
      <c r="C6" s="15">
        <v>0</v>
      </c>
      <c r="D6" s="15">
        <v>77</v>
      </c>
      <c r="E6" s="15">
        <f>SUM(Table25[[#This Row],[Done]:[TODO (P1)]])</f>
        <v>82</v>
      </c>
    </row>
    <row r="7" spans="1:5" ht="20.100000000000001" customHeight="1">
      <c r="A7" s="3" t="s">
        <v>79</v>
      </c>
      <c r="B7" s="15">
        <v>5</v>
      </c>
      <c r="C7" s="15">
        <v>0</v>
      </c>
      <c r="D7" s="15">
        <v>77</v>
      </c>
      <c r="E7" s="15">
        <f>SUM(Table25[[#This Row],[Done]:[TODO (P1)]])</f>
        <v>82</v>
      </c>
    </row>
    <row r="8" spans="1:5" ht="20.100000000000001" customHeight="1">
      <c r="A8" s="3" t="s">
        <v>81</v>
      </c>
      <c r="B8" s="15">
        <v>5</v>
      </c>
      <c r="C8" s="15">
        <v>1</v>
      </c>
      <c r="D8" s="15">
        <v>76</v>
      </c>
      <c r="E8" s="15">
        <f>SUM(Table25[[#This Row],[Done]:[TODO (P1)]])</f>
        <v>82</v>
      </c>
    </row>
    <row r="9" spans="1:5" ht="20.100000000000001" customHeight="1">
      <c r="A9" s="3" t="s">
        <v>83</v>
      </c>
      <c r="B9" s="15">
        <v>6</v>
      </c>
      <c r="C9" s="15">
        <v>1</v>
      </c>
      <c r="D9" s="15">
        <v>76</v>
      </c>
      <c r="E9" s="15">
        <f>SUM(Table25[[#This Row],[Done]:[TODO (P1)]])</f>
        <v>83</v>
      </c>
    </row>
    <row r="10" spans="1:5" ht="20.100000000000001" customHeight="1">
      <c r="A10" s="3" t="s">
        <v>84</v>
      </c>
      <c r="B10" s="15">
        <v>6</v>
      </c>
      <c r="C10" s="15">
        <v>1</v>
      </c>
      <c r="D10" s="15">
        <v>76</v>
      </c>
      <c r="E10" s="15">
        <f>SUM(Table25[[#This Row],[Done]:[TODO (P1)]])</f>
        <v>83</v>
      </c>
    </row>
    <row r="11" spans="1:5" ht="20.100000000000001" customHeight="1">
      <c r="A11" s="3" t="s">
        <v>85</v>
      </c>
      <c r="B11" s="15">
        <v>12</v>
      </c>
      <c r="C11" s="15">
        <v>0</v>
      </c>
      <c r="D11" s="15">
        <v>77</v>
      </c>
      <c r="E11" s="15">
        <v>89</v>
      </c>
    </row>
    <row r="12" spans="1:5" ht="20.100000000000001" customHeight="1">
      <c r="A12" s="3" t="s">
        <v>88</v>
      </c>
      <c r="B12" s="15">
        <v>22</v>
      </c>
      <c r="C12" s="15">
        <v>0</v>
      </c>
      <c r="D12" s="15">
        <v>74</v>
      </c>
      <c r="E12" s="15">
        <f>SUM(Table25[[#This Row],[Done]:[TODO (P1)]])</f>
        <v>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2025-12-18T23:47:04Z</dcterms:modified>
</cp:coreProperties>
</file>