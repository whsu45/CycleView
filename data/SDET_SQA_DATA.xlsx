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4A3644D7-296B-4D96-9B91-9D196231DB10}" xr6:coauthVersionLast="47" xr6:coauthVersionMax="47" xr10:uidLastSave="{00000000-0000-0000-0000-000000000000}"/>
  <bookViews>
    <workbookView xWindow="-120" yWindow="-120" windowWidth="29040" windowHeight="15720" activeTab="2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" i="2" l="1"/>
  <c r="H19" i="4"/>
  <c r="H36" i="2"/>
  <c r="E24" i="6"/>
  <c r="I23" i="5"/>
  <c r="H21" i="3"/>
  <c r="E23" i="6"/>
  <c r="I22" i="5"/>
  <c r="H35" i="2"/>
  <c r="E22" i="6"/>
  <c r="I21" i="5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E21" i="1"/>
  <c r="H18" i="4"/>
  <c r="H34" i="2"/>
  <c r="E21" i="6"/>
  <c r="E20" i="1"/>
  <c r="H38" i="2"/>
  <c r="H32" i="2"/>
  <c r="H33" i="2"/>
  <c r="E20" i="6"/>
  <c r="E19" i="6"/>
  <c r="E19" i="1"/>
  <c r="H31" i="2"/>
  <c r="E18" i="1"/>
  <c r="H20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30" i="2"/>
  <c r="E25" i="6"/>
  <c r="E18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" i="5"/>
  <c r="E17" i="1"/>
  <c r="E17" i="6"/>
  <c r="H29" i="2"/>
  <c r="E16" i="1"/>
  <c r="E16" i="6"/>
  <c r="H28" i="2"/>
  <c r="H27" i="2"/>
  <c r="E15" i="1"/>
  <c r="E15" i="6"/>
  <c r="E14" i="1"/>
  <c r="E14" i="6"/>
  <c r="E13" i="6"/>
  <c r="H25" i="2"/>
  <c r="E13" i="1"/>
  <c r="E12" i="6"/>
  <c r="E12" i="1"/>
  <c r="E11" i="1"/>
  <c r="H24" i="2"/>
  <c r="H23" i="2"/>
  <c r="E10" i="1"/>
  <c r="E10" i="6"/>
  <c r="E9" i="1"/>
  <c r="H26" i="2"/>
  <c r="E9" i="6"/>
  <c r="H22" i="2"/>
  <c r="H21" i="2"/>
  <c r="E8" i="6"/>
  <c r="H19" i="2"/>
  <c r="E6" i="6"/>
  <c r="E7" i="1"/>
  <c r="E5" i="6"/>
  <c r="E8" i="1"/>
  <c r="H18" i="2"/>
  <c r="E7" i="6"/>
  <c r="E6" i="1"/>
  <c r="H20" i="2"/>
  <c r="E5" i="1"/>
  <c r="E4" i="1"/>
  <c r="E3" i="6"/>
  <c r="E2" i="6"/>
  <c r="E4" i="6"/>
  <c r="H16" i="2"/>
  <c r="E2" i="1"/>
  <c r="E3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<sst xmlns="http://schemas.openxmlformats.org/spreadsheetml/2006/main" count="191" uniqueCount="108">
  <si>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</si>
  <si>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</si>
  <si>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</si>
  <si>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</si>
  <si>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</si>
  <si>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</si>
  <si>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</si>
  <si>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</si>
  <si>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</si>
  <si>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</si>
  <si>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</si>
  <si>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</si>
  <si>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</si>
  <si>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</si>
  <si>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</si>
  <si>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</si>
  <si>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</si>
  <si>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</si>
  <si>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</si>
  <si>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</si>
  <si>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</si>
  <si>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</si>
  <si>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</si>
  <si>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</si>
  <si>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</si>
  <si>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</si>
  <si>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</si>
  <si>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</si>
  <si>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y25w30</t>
  </si>
  <si>
    <t>y25w32</t>
  </si>
  <si>
    <t>y25w34</t>
  </si>
  <si>
    <t>y25w36</t>
  </si>
  <si>
    <t>Versions</t>
  </si>
  <si>
    <t>y25w38</t>
  </si>
  <si>
    <t>y25w40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</si>
  <si>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</si>
  <si>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</si>
  <si>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</si>
  <si>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</si>
  <si>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</si>
  <si>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</si>
  <si>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</si>
  <si>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</si>
  <si>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</si>
  <si>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</si>
  <si>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</si>
  <si>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</si>
  <si>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</si>
  <si>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</si>
  <si>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</si>
  <si>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</si>
  <si>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</si>
  <si>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</si>
  <si>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</si>
  <si>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</si>
  <si>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</si>
  <si>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</si>
  <si>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</si>
  <si>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</si>
  <si>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</si>
  <si>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</si>
  <si>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</si>
  <si>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</si>
  <si>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</si>
  <si>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</si>
  <si>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</si>
  <si>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</si>
  <si>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</si>
  <si>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</si>
  <si>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</si>
  <si>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</si>
  <si>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</si>
  <si>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</si>
  <si>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</si>
  <si>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</si>
  <si>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</si>
  <si>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</si>
  <si>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</si>
  <si>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</si>
  <si>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</si>
  <si>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</si>
  <si>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</si>
  <si>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</si>
  <si>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26W03</t>
  </si>
  <si>
    <t>26W04</t>
  </si>
  <si>
    <t>26W05</t>
  </si>
  <si>
    <t>v1.38</t>
  </si>
  <si>
    <t>v1.39</t>
  </si>
  <si>
    <t>y26w10</t>
  </si>
  <si>
    <t>26W06</t>
  </si>
  <si>
    <t>26W07</t>
  </si>
  <si>
    <t>26W10</t>
  </si>
  <si>
    <t>26W08</t>
  </si>
  <si>
    <t>v1.40</t>
  </si>
  <si>
    <t>y26w2</t>
  </si>
  <si>
    <t>y26w4</t>
  </si>
  <si>
    <t>y26w6</t>
  </si>
  <si>
    <t>y26w8</t>
  </si>
  <si>
    <t>y26w12</t>
  </si>
  <si>
    <t>Candidate</t>
  </si>
  <si>
    <t>26W11</t>
  </si>
  <si>
    <t>y26w14</t>
  </si>
  <si>
    <t>26W12</t>
  </si>
  <si>
    <t>y26w16</t>
  </si>
  <si>
    <t>26W13</t>
  </si>
  <si>
    <t>v1.41</t>
  </si>
  <si>
    <t>y25w28</t>
  </si>
  <si>
    <t>26W14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</si>
</sst>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TestAutomationProgress!$A$2:$A$25</c:f>
              <c:strCache>
                <c:ptCount val="24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  <c:pt idx="23">
                  <c:v>26W14</c:v>
                </c:pt>
              </c:strCache>
            </c:strRef>
          </c:cat>
          <c:val>
            <c:numRef>
              <c:f>TestAutomationProgress!$B$2:$B$25</c:f>
              <c:numCache>
                <c:formatCode>General</c:formatCode>
                <c:ptCount val="24"/>
                <c:pt idx="0">
                  <c:v>15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18</c:v>
                </c:pt>
                <c:pt idx="5">
                  <c:v>21</c:v>
                </c:pt>
                <c:pt idx="6">
                  <c:v>22</c:v>
                </c:pt>
                <c:pt idx="7">
                  <c:v>25</c:v>
                </c:pt>
                <c:pt idx="8">
                  <c:v>28</c:v>
                </c:pt>
                <c:pt idx="9">
                  <c:v>30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37</c:v>
                </c:pt>
                <c:pt idx="21">
                  <c:v>37</c:v>
                </c:pt>
                <c:pt idx="22">
                  <c:v>37</c:v>
                </c:pt>
                <c:pt idx="2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TestAutomationProgress!$A$2:$A$25</c:f>
              <c:strCache>
                <c:ptCount val="24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  <c:pt idx="23">
                  <c:v>26W14</c:v>
                </c:pt>
              </c:strCache>
            </c:strRef>
          </c:cat>
          <c:val>
            <c:numRef>
              <c:f>TestAutomationProgress!$C$2:$C$25</c:f>
              <c:numCache>
                <c:formatCode>General</c:formatCode>
                <c:ptCount val="24"/>
                <c:pt idx="0">
                  <c:v>14</c:v>
                </c:pt>
                <c:pt idx="1">
                  <c:v>11</c:v>
                </c:pt>
                <c:pt idx="2">
                  <c:v>11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14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TestAutomationProgress!$A$2:$A$25</c:f>
              <c:strCache>
                <c:ptCount val="24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  <c:pt idx="23">
                  <c:v>26W14</c:v>
                </c:pt>
              </c:strCache>
            </c:strRef>
          </c:cat>
          <c:val>
            <c:numRef>
              <c:f>TestAutomationProgress!$D$2:$D$25</c:f>
              <c:numCache>
                <c:formatCode>General</c:formatCode>
                <c:ptCount val="24"/>
                <c:pt idx="0">
                  <c:v>219</c:v>
                </c:pt>
                <c:pt idx="1">
                  <c:v>173</c:v>
                </c:pt>
                <c:pt idx="2">
                  <c:v>172</c:v>
                </c:pt>
                <c:pt idx="3">
                  <c:v>168</c:v>
                </c:pt>
                <c:pt idx="4">
                  <c:v>166</c:v>
                </c:pt>
                <c:pt idx="5">
                  <c:v>160</c:v>
                </c:pt>
                <c:pt idx="6">
                  <c:v>160</c:v>
                </c:pt>
                <c:pt idx="7">
                  <c:v>161</c:v>
                </c:pt>
                <c:pt idx="8">
                  <c:v>160</c:v>
                </c:pt>
                <c:pt idx="9">
                  <c:v>160</c:v>
                </c:pt>
                <c:pt idx="10">
                  <c:v>160</c:v>
                </c:pt>
                <c:pt idx="11">
                  <c:v>160</c:v>
                </c:pt>
                <c:pt idx="12">
                  <c:v>162</c:v>
                </c:pt>
                <c:pt idx="13">
                  <c:v>162</c:v>
                </c:pt>
                <c:pt idx="14">
                  <c:v>162</c:v>
                </c:pt>
                <c:pt idx="15">
                  <c:v>162</c:v>
                </c:pt>
                <c:pt idx="16">
                  <c:v>161</c:v>
                </c:pt>
                <c:pt idx="17">
                  <c:v>161</c:v>
                </c:pt>
                <c:pt idx="18">
                  <c:v>161</c:v>
                </c:pt>
                <c:pt idx="19">
                  <c:v>161</c:v>
                </c:pt>
                <c:pt idx="20">
                  <c:v>160</c:v>
                </c:pt>
                <c:pt idx="21">
                  <c:v>160</c:v>
                </c:pt>
                <c:pt idx="22">
                  <c:v>160</c:v>
                </c:pt>
                <c:pt idx="23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'Humi-TestResult'!$A$2:$A$20</c:f>
              <c:strCache>
                <c:ptCount val="19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</c:strCache>
            </c:strRef>
          </c:cat>
          <c:val>
            <c:numRef>
              <c:f>'Humi-TestResult'!$B$2:$B$20</c:f>
              <c:numCache>
                <c:formatCode>General</c:formatCode>
                <c:ptCount val="19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1350</c:v>
                </c:pt>
                <c:pt idx="16">
                  <c:v>860</c:v>
                </c:pt>
                <c:pt idx="17">
                  <c:v>572</c:v>
                </c:pt>
                <c:pt idx="1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'Humi-TestResult'!$A$2:$A$20</c:f>
              <c:strCache>
                <c:ptCount val="19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</c:strCache>
            </c:strRef>
          </c:cat>
          <c:val>
            <c:numRef>
              <c:f>'Humi-TestResult'!$C$2:$C$20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'Humi-TestResult'!$A$2:$A$20</c:f>
              <c:strCache>
                <c:ptCount val="19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</c:strCache>
            </c:strRef>
          </c:cat>
          <c:val>
            <c:numRef>
              <c:f>'Humi-TestResult'!$D$2:$D$20</c:f>
              <c:numCache>
                <c:formatCode>General</c:formatCode>
                <c:ptCount val="19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10</c:v>
                </c:pt>
                <c:pt idx="16">
                  <c:v>4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'Humi-TestResult'!$A$2:$A$20</c:f>
              <c:strCache>
                <c:ptCount val="19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</c:strCache>
            </c:strRef>
          </c:cat>
          <c:val>
            <c:numRef>
              <c:f>'Humi-TestResult'!$E$2:$E$20</c:f>
              <c:numCache>
                <c:formatCode>General</c:formatCode>
                <c:ptCount val="19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4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'Humi-TestResult'!$A$2:$A$20</c:f>
              <c:strCache>
                <c:ptCount val="19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</c:strCache>
            </c:strRef>
          </c:cat>
          <c:val>
            <c:numRef>
              <c:f>'Humi-TestResult'!$F$2:$F$20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  <c:pt idx="16">
                  <c:v>0</c:v>
                </c:pt>
                <c:pt idx="17">
                  <c:v>6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'Humi-TestResult'!$A$2:$A$20</c:f>
              <c:strCache>
                <c:ptCount val="19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</c:strCache>
            </c:strRef>
          </c:cat>
          <c:val>
            <c:numRef>
              <c:f>'Humi-TestResult'!$G$2:$G$20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</c:v>
                </c:pt>
                <c:pt idx="18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'Humi-TestResult'!$A$2:$A$20</c:f>
              <c:strCache>
                <c:ptCount val="19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</c:strCache>
            </c:strRef>
          </c:cat>
          <c:val>
            <c:numRef>
              <c:f>'Humi-TestResult'!$H$2:$H$20</c:f>
              <c:numCache>
                <c:formatCode>General</c:formatCode>
                <c:ptCount val="19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1374</c:v>
                </c:pt>
                <c:pt idx="16">
                  <c:v>866</c:v>
                </c:pt>
                <c:pt idx="17">
                  <c:v>592</c:v>
                </c:pt>
                <c:pt idx="18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'SOVA-TestResult'!$A$2:$A$38</c:f>
              <c:strCache>
                <c:ptCount val="37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</c:strCache>
            </c:strRef>
          </c:cat>
          <c:val>
            <c:numRef>
              <c:f>'SOVA-TestResult'!$B$2:$B$38</c:f>
              <c:numCache>
                <c:formatCode>General</c:formatCode>
                <c:ptCount val="37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436</c:v>
                </c:pt>
                <c:pt idx="29">
                  <c:v>171</c:v>
                </c:pt>
                <c:pt idx="30">
                  <c:v>723</c:v>
                </c:pt>
                <c:pt idx="31">
                  <c:v>687</c:v>
                </c:pt>
                <c:pt idx="32">
                  <c:v>218</c:v>
                </c:pt>
                <c:pt idx="33">
                  <c:v>694</c:v>
                </c:pt>
                <c:pt idx="34">
                  <c:v>0</c:v>
                </c:pt>
                <c:pt idx="35">
                  <c:v>481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'SOVA-TestResult'!$A$2:$A$38</c:f>
              <c:strCache>
                <c:ptCount val="37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</c:strCache>
            </c:strRef>
          </c:cat>
          <c:val>
            <c:numRef>
              <c:f>'SOVA-TestResult'!$C$2:$C$38</c:f>
              <c:numCache>
                <c:formatCode>General</c:formatCode>
                <c:ptCount val="37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6</c:v>
                </c:pt>
                <c:pt idx="30">
                  <c:v>12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14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'SOVA-TestResult'!$A$2:$A$38</c:f>
              <c:strCache>
                <c:ptCount val="37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</c:strCache>
            </c:strRef>
          </c:cat>
          <c:val>
            <c:numRef>
              <c:f>'SOVA-TestResult'!$D$2:$D$38</c:f>
              <c:numCache>
                <c:formatCode>General</c:formatCode>
                <c:ptCount val="37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'SOVA-TestResult'!$A$2:$A$38</c:f>
              <c:strCache>
                <c:ptCount val="37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</c:strCache>
            </c:strRef>
          </c:cat>
          <c:val>
            <c:numRef>
              <c:f>'SOVA-TestResult'!$E$2:$E$38</c:f>
              <c:numCache>
                <c:formatCode>General</c:formatCode>
                <c:ptCount val="37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13</c:v>
                </c:pt>
                <c:pt idx="29">
                  <c:v>1</c:v>
                </c:pt>
                <c:pt idx="30">
                  <c:v>7</c:v>
                </c:pt>
                <c:pt idx="31">
                  <c:v>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'SOVA-TestResult'!$A$2:$A$38</c:f>
              <c:strCache>
                <c:ptCount val="37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</c:strCache>
            </c:strRef>
          </c:cat>
          <c:val>
            <c:numRef>
              <c:f>'SOVA-TestResult'!$F$2:$F$38</c:f>
              <c:numCache>
                <c:formatCode>General</c:formatCode>
                <c:ptCount val="37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  <c:pt idx="30">
                  <c:v>8</c:v>
                </c:pt>
                <c:pt idx="31">
                  <c:v>12</c:v>
                </c:pt>
                <c:pt idx="32">
                  <c:v>0</c:v>
                </c:pt>
                <c:pt idx="33">
                  <c:v>7</c:v>
                </c:pt>
                <c:pt idx="34">
                  <c:v>0</c:v>
                </c:pt>
                <c:pt idx="35">
                  <c:v>9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'SOVA-TestResult'!$A$2:$A$38</c:f>
              <c:strCache>
                <c:ptCount val="37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</c:strCache>
            </c:strRef>
          </c:cat>
          <c:val>
            <c:numRef>
              <c:f>'SOVA-TestResult'!$G$2:$G$38</c:f>
              <c:numCache>
                <c:formatCode>General</c:formatCode>
                <c:ptCount val="37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508</c:v>
                </c:pt>
                <c:pt idx="35">
                  <c:v>0</c:v>
                </c:pt>
                <c:pt idx="36">
                  <c:v>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'SOVA-TestResult'!$A$2:$A$38</c:f>
              <c:strCache>
                <c:ptCount val="37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</c:strCache>
            </c:strRef>
          </c:cat>
          <c:val>
            <c:numRef>
              <c:f>'SOVA-TestResult'!$H$2:$H$38</c:f>
              <c:numCache>
                <c:formatCode>General</c:formatCode>
                <c:ptCount val="37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464</c:v>
                </c:pt>
                <c:pt idx="29">
                  <c:v>184</c:v>
                </c:pt>
                <c:pt idx="30">
                  <c:v>753</c:v>
                </c:pt>
                <c:pt idx="31">
                  <c:v>704</c:v>
                </c:pt>
                <c:pt idx="32">
                  <c:v>218</c:v>
                </c:pt>
                <c:pt idx="33">
                  <c:v>703</c:v>
                </c:pt>
                <c:pt idx="34">
                  <c:v>508</c:v>
                </c:pt>
                <c:pt idx="35">
                  <c:v>508</c:v>
                </c:pt>
                <c:pt idx="36">
                  <c:v>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'Humi-BugTrend'!$B$2:$B$23</c:f>
              <c:numCache>
                <c:formatCode>General</c:formatCode>
                <c:ptCount val="22"/>
                <c:pt idx="0">
                  <c:v>9</c:v>
                </c:pt>
                <c:pt idx="1">
                  <c:v>4</c:v>
                </c:pt>
                <c:pt idx="2">
                  <c:v>14</c:v>
                </c:pt>
                <c:pt idx="3">
                  <c:v>14</c:v>
                </c:pt>
                <c:pt idx="4">
                  <c:v>15</c:v>
                </c:pt>
                <c:pt idx="5">
                  <c:v>12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12</c:v>
                </c:pt>
                <c:pt idx="11">
                  <c:v>0</c:v>
                </c:pt>
                <c:pt idx="12">
                  <c:v>2</c:v>
                </c:pt>
                <c:pt idx="13">
                  <c:v>10</c:v>
                </c:pt>
                <c:pt idx="14">
                  <c:v>0</c:v>
                </c:pt>
                <c:pt idx="15">
                  <c:v>6</c:v>
                </c:pt>
                <c:pt idx="16">
                  <c:v>3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8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'Humi-BugTrend'!$C$2:$C$23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'Humi-BugTrend'!$G$2:$G$23</c:f>
              <c:numCache>
                <c:formatCode>General</c:formatCode>
                <c:ptCount val="22"/>
                <c:pt idx="0">
                  <c:v>66</c:v>
                </c:pt>
                <c:pt idx="1">
                  <c:v>48</c:v>
                </c:pt>
                <c:pt idx="2">
                  <c:v>46</c:v>
                </c:pt>
                <c:pt idx="3">
                  <c:v>34</c:v>
                </c:pt>
                <c:pt idx="4">
                  <c:v>25</c:v>
                </c:pt>
                <c:pt idx="5">
                  <c:v>56</c:v>
                </c:pt>
                <c:pt idx="6">
                  <c:v>40</c:v>
                </c:pt>
                <c:pt idx="7">
                  <c:v>33</c:v>
                </c:pt>
                <c:pt idx="8">
                  <c:v>29</c:v>
                </c:pt>
                <c:pt idx="9">
                  <c:v>1</c:v>
                </c:pt>
                <c:pt idx="10">
                  <c:v>9</c:v>
                </c:pt>
                <c:pt idx="11">
                  <c:v>12</c:v>
                </c:pt>
                <c:pt idx="12">
                  <c:v>9</c:v>
                </c:pt>
                <c:pt idx="13">
                  <c:v>40</c:v>
                </c:pt>
                <c:pt idx="14">
                  <c:v>38</c:v>
                </c:pt>
                <c:pt idx="15">
                  <c:v>35</c:v>
                </c:pt>
                <c:pt idx="16">
                  <c:v>18</c:v>
                </c:pt>
                <c:pt idx="17">
                  <c:v>12</c:v>
                </c:pt>
                <c:pt idx="18">
                  <c:v>8</c:v>
                </c:pt>
                <c:pt idx="19">
                  <c:v>8</c:v>
                </c:pt>
                <c:pt idx="20">
                  <c:v>41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'Humi-BugTrend'!$H$2:$H$23</c:f>
              <c:numCache>
                <c:formatCode>General</c:formatCode>
                <c:ptCount val="22"/>
                <c:pt idx="0">
                  <c:v>75</c:v>
                </c:pt>
                <c:pt idx="1">
                  <c:v>52</c:v>
                </c:pt>
                <c:pt idx="2">
                  <c:v>61</c:v>
                </c:pt>
                <c:pt idx="3">
                  <c:v>49</c:v>
                </c:pt>
                <c:pt idx="4">
                  <c:v>40</c:v>
                </c:pt>
                <c:pt idx="5">
                  <c:v>68</c:v>
                </c:pt>
                <c:pt idx="6">
                  <c:v>48</c:v>
                </c:pt>
                <c:pt idx="7">
                  <c:v>39</c:v>
                </c:pt>
                <c:pt idx="8">
                  <c:v>37</c:v>
                </c:pt>
                <c:pt idx="9">
                  <c:v>2</c:v>
                </c:pt>
                <c:pt idx="10">
                  <c:v>21</c:v>
                </c:pt>
                <c:pt idx="11">
                  <c:v>12</c:v>
                </c:pt>
                <c:pt idx="12">
                  <c:v>11</c:v>
                </c:pt>
                <c:pt idx="13">
                  <c:v>50</c:v>
                </c:pt>
                <c:pt idx="14">
                  <c:v>38</c:v>
                </c:pt>
                <c:pt idx="15">
                  <c:v>42</c:v>
                </c:pt>
                <c:pt idx="16">
                  <c:v>21</c:v>
                </c:pt>
                <c:pt idx="17">
                  <c:v>12</c:v>
                </c:pt>
                <c:pt idx="18">
                  <c:v>9</c:v>
                </c:pt>
                <c:pt idx="19">
                  <c:v>10</c:v>
                </c:pt>
                <c:pt idx="20">
                  <c:v>49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</c:strCache>
            </c:strRef>
          </c:cat>
          <c:val>
            <c:numRef>
              <c:f>'SOVA-BugTrend'!$B$2:$B$23</c:f>
              <c:numCache>
                <c:formatCode>General</c:formatCode>
                <c:ptCount val="22"/>
                <c:pt idx="0">
                  <c:v>32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0</c:v>
                </c:pt>
                <c:pt idx="15">
                  <c:v>1</c:v>
                </c:pt>
                <c:pt idx="16">
                  <c:v>4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4</c:v>
                </c:pt>
                <c:pt idx="2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</c:strCache>
            </c:strRef>
          </c:cat>
          <c:val>
            <c:numRef>
              <c:f>'SOVA-BugTrend'!$C$2:$C$23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</c:strCache>
            </c:strRef>
          </c:cat>
          <c:val>
            <c:numRef>
              <c:f>'SOVA-BugTrend'!$D$2:$D$23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</c:strCache>
            </c:strRef>
          </c:cat>
          <c:val>
            <c:numRef>
              <c:f>'SOVA-BugTrend'!$E$2:$E$23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</c:strCache>
            </c:strRef>
          </c:cat>
          <c:val>
            <c:numRef>
              <c:f>'SOVA-BugTrend'!$F$2:$F$23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</c:strCache>
            </c:strRef>
          </c:cat>
          <c:val>
            <c:numRef>
              <c:f>'SOVA-BugTrend'!$G$2:$G$23</c:f>
              <c:numCache>
                <c:formatCode>General</c:formatCode>
                <c:ptCount val="22"/>
                <c:pt idx="0">
                  <c:v>6</c:v>
                </c:pt>
                <c:pt idx="1">
                  <c:v>39</c:v>
                </c:pt>
                <c:pt idx="2">
                  <c:v>42</c:v>
                </c:pt>
                <c:pt idx="3">
                  <c:v>48</c:v>
                </c:pt>
                <c:pt idx="4">
                  <c:v>19</c:v>
                </c:pt>
                <c:pt idx="5">
                  <c:v>29</c:v>
                </c:pt>
                <c:pt idx="6">
                  <c:v>50</c:v>
                </c:pt>
                <c:pt idx="7">
                  <c:v>24</c:v>
                </c:pt>
                <c:pt idx="8">
                  <c:v>43</c:v>
                </c:pt>
                <c:pt idx="9">
                  <c:v>35</c:v>
                </c:pt>
                <c:pt idx="10">
                  <c:v>29</c:v>
                </c:pt>
                <c:pt idx="11">
                  <c:v>41</c:v>
                </c:pt>
                <c:pt idx="12">
                  <c:v>33</c:v>
                </c:pt>
                <c:pt idx="13">
                  <c:v>32</c:v>
                </c:pt>
                <c:pt idx="14">
                  <c:v>31</c:v>
                </c:pt>
                <c:pt idx="15">
                  <c:v>33</c:v>
                </c:pt>
                <c:pt idx="16">
                  <c:v>28</c:v>
                </c:pt>
                <c:pt idx="17">
                  <c:v>14</c:v>
                </c:pt>
                <c:pt idx="18">
                  <c:v>14</c:v>
                </c:pt>
                <c:pt idx="19">
                  <c:v>17</c:v>
                </c:pt>
                <c:pt idx="20">
                  <c:v>2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</c:strCache>
            </c:strRef>
          </c:cat>
          <c:val>
            <c:numRef>
              <c:f>'SOVA-BugTrend'!$H$2:$H$23</c:f>
              <c:numCache>
                <c:formatCode>General</c:formatCode>
                <c:ptCount val="22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5</c:v>
                </c:pt>
                <c:pt idx="17">
                  <c:v>8</c:v>
                </c:pt>
                <c:pt idx="18">
                  <c:v>10</c:v>
                </c:pt>
                <c:pt idx="19">
                  <c:v>3</c:v>
                </c:pt>
                <c:pt idx="20">
                  <c:v>0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</c:strCache>
            </c:strRef>
          </c:cat>
          <c:val>
            <c:numRef>
              <c:f>'SOVA-BugTrend'!$I$2:$I$23</c:f>
              <c:numCache>
                <c:formatCode>General</c:formatCode>
                <c:ptCount val="22"/>
                <c:pt idx="0">
                  <c:v>40</c:v>
                </c:pt>
                <c:pt idx="1">
                  <c:v>42</c:v>
                </c:pt>
                <c:pt idx="2">
                  <c:v>46</c:v>
                </c:pt>
                <c:pt idx="3">
                  <c:v>53</c:v>
                </c:pt>
                <c:pt idx="4">
                  <c:v>20</c:v>
                </c:pt>
                <c:pt idx="5">
                  <c:v>32</c:v>
                </c:pt>
                <c:pt idx="6">
                  <c:v>53</c:v>
                </c:pt>
                <c:pt idx="7">
                  <c:v>25</c:v>
                </c:pt>
                <c:pt idx="8">
                  <c:v>43</c:v>
                </c:pt>
                <c:pt idx="9">
                  <c:v>35</c:v>
                </c:pt>
                <c:pt idx="10">
                  <c:v>29</c:v>
                </c:pt>
                <c:pt idx="11">
                  <c:v>44</c:v>
                </c:pt>
                <c:pt idx="12">
                  <c:v>36</c:v>
                </c:pt>
                <c:pt idx="13">
                  <c:v>36</c:v>
                </c:pt>
                <c:pt idx="14">
                  <c:v>31</c:v>
                </c:pt>
                <c:pt idx="15">
                  <c:v>36</c:v>
                </c:pt>
                <c:pt idx="16">
                  <c:v>37</c:v>
                </c:pt>
                <c:pt idx="17">
                  <c:v>26</c:v>
                </c:pt>
                <c:pt idx="18">
                  <c:v>27</c:v>
                </c:pt>
                <c:pt idx="19">
                  <c:v>23</c:v>
                </c:pt>
                <c:pt idx="20">
                  <c:v>8</c:v>
                </c:pt>
                <c:pt idx="2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27</xdr:row>
      <xdr:rowOff>171448</xdr:rowOff>
    </xdr:from>
    <xdr:to>
      <xdr:col>8</xdr:col>
      <xdr:colOff>95250</xdr:colOff>
      <xdr:row>56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24</xdr:row>
      <xdr:rowOff>28575</xdr:rowOff>
    </xdr:from>
    <xdr:to>
      <xdr:col>6</xdr:col>
      <xdr:colOff>1057275</xdr:colOff>
      <xdr:row>52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44</xdr:row>
      <xdr:rowOff>41087</xdr:rowOff>
    </xdr:from>
    <xdr:to>
      <xdr:col>6</xdr:col>
      <xdr:colOff>1047750</xdr:colOff>
      <xdr:row>73</xdr:row>
      <xdr:rowOff>2987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23</xdr:row>
      <xdr:rowOff>142875</xdr:rowOff>
    </xdr:from>
    <xdr:to>
      <xdr:col>8</xdr:col>
      <xdr:colOff>428625</xdr:colOff>
      <xdr:row>52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24</xdr:row>
      <xdr:rowOff>12700</xdr:rowOff>
    </xdr:from>
    <xdr:to>
      <xdr:col>8</xdr:col>
      <xdr:colOff>219075</xdr:colOff>
      <xdr:row>53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5" totalsRowShown="0" headerRowDxfId="35">
  <autoFilter ref="A1:E25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20" totalsRowShown="0" headerRowDxfId="33">
  <autoFilter ref="A1:H20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8" totalsRowShown="0" headerRowDxfId="31">
  <autoFilter ref="A1:H38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3" totalsRowShown="0" headerRowDxfId="29">
  <autoFilter ref="A1:H23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3" totalsRowShown="0" headerRowDxfId="20" dataDxfId="18" headerRowBorderDxfId="19" tableBorderDxfId="17" totalsRowBorderDxfId="16" dataCellStyle="Hyperlink">
  <autoFilter ref="A1:I23" xr:uid="{108F5145-A108-41DB-B2C3-516BE7C86923}"/>
  <tableColumns count="9">
    <tableColumn id="1" xr3:uid="{5BE08AE0-E0B5-4B46-9423-456B88C2D9BC}" name="Sprint" dataDxfId="7"/>
    <tableColumn id="2" xr3:uid="{030F9647-4FC0-4C7E-9B3A-AB099CC59EBA}" name="To Do (0%)" dataDxfId="6" dataCellStyle="Hyperlink"/>
    <tableColumn id="3" xr3:uid="{7D2923F3-E2CF-4FD9-A7A5-68C36BB95591}" name="STARTING (10 ~ 40%)" dataDxfId="5" dataCellStyle="Hyperlink"/>
    <tableColumn id="4" xr3:uid="{48FB5317-7F3B-4F74-B244-5A49C7749EBD}" name="In Progress (50 ~ 70%)" dataDxfId="4" dataCellStyle="Hyperlink"/>
    <tableColumn id="5" xr3:uid="{86F5CCB5-C4C2-4C36-935A-657F085500B1}" name="IN REVIEW (80%)" dataDxfId="3" dataCellStyle="Hyperlink"/>
    <tableColumn id="9" xr3:uid="{51D22AE3-424C-4604-9869-D672DED4301F}" name="READY FOR TESTING (90%)" dataDxfId="2" dataCellStyle="Hyperlink"/>
    <tableColumn id="6" xr3:uid="{33C9BCE6-D9EB-4032-9B0A-DDD9A4051A2D}" name="Done (100%)" dataDxfId="1" dataCellStyle="Hyperlink"/>
    <tableColumn id="8" xr3:uid="{D624FC89-A88E-45AC-9D22-66D66702B8C5}" name="WON'T DO (100%)" dataDxfId="0" dataCellStyle="Hyperlink"/>
    <tableColumn id="7" xr3:uid="{EFEEB7EC-E2D1-40EA-B265-A558311E5D30}" name="Total" dataDxfId="15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25" totalsRowShown="0" headerRowDxfId="14" dataDxfId="13">
  <autoFilter ref="A1:E25" xr:uid="{2C55E946-0086-4A42-AEAE-DA5ED4E8BB10}"/>
  <tableColumns count="5">
    <tableColumn id="1" xr3:uid="{7070D9F2-0ED1-4F39-8D72-28B37C8E98F2}" name="Week" dataDxfId="12"/>
    <tableColumn id="2" xr3:uid="{1173F443-CC27-4C6E-A432-BF66DB2A740E}" name="Done" dataDxfId="11"/>
    <tableColumn id="3" xr3:uid="{2EE10CB5-1AF1-4B50-9456-B3A666DD5338}" name="In Review/Progress" dataDxfId="10"/>
    <tableColumn id="4" xr3:uid="{328D0A00-85F0-4BFF-81FE-C023998A3701}" name="TODO (P1)" dataDxfId="9"/>
    <tableColumn id="5" xr3:uid="{E385808E-1FCD-451C-9807-DAF18A42B704}" name="Total" dataDxfId="8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4677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5044+AND+status+%3D+%22WON%27T+DO+%2810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4910+AND+status+%3D+%22In+Progress+%2850+%7E+70%25%29%22" TargetMode="External"/><Relationship Id="rId149" Type="http://schemas.openxmlformats.org/officeDocument/2006/relationships/hyperlink" Target="https://xrspace.atlassian.net/issues/?jql=created+%3E%3D+2025-02-01+AND+created+%3C%3D+2026-12-31+AND+type+%3D+Bug+AND+project+%3D+SOVA+AND+Sprint+%3D+2915+AND+status+%3D+%22In+Progress+%2850+%7E+7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2156+AND+status+%3D+%22WON%27T+DO+%2810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4677+AND+status+%3D+%22STARTING+%2810+%7E+4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5044+AND+status+%3D+%22STARTING+%2810+%7E+4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150" Type="http://schemas.openxmlformats.org/officeDocument/2006/relationships/hyperlink" Target="https://xrspace.atlassian.net/issues/?jql=created+%3E%3D+2025-02-01+AND+created+%3C%3D+2026-12-31+AND+type+%3D+Bug+AND+project+%3D+SOVA+AND+Sprint+%3D+2915+AND+status+%3D+%22Done+%28100%25%29%22" TargetMode="External"/><Relationship Id="rId155" Type="http://schemas.openxmlformats.org/officeDocument/2006/relationships/printerSettings" Target="../printerSettings/printerSettings3.bin"/><Relationship Id="rId12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4678+AND+status+%3D+%22WON%27T+DO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4910+AND+status+%3D+%22Done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5044+AND+status+%3D+%22READY+FOR+TESTING+%2890%25%29%22" TargetMode="External"/><Relationship Id="rId145" Type="http://schemas.openxmlformats.org/officeDocument/2006/relationships/hyperlink" Target="https://xrspace.atlassian.net/issues/?jql=created+%3E%3D+2025-02-01+AND+created+%3C%3D+2026-12-31+AND+type+%3D+Bug+AND+project+%3D+SOVA+AND+Sprint+%3D+5045+AND+status+%3D+%22WON%27T+DO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2156+AND+status+%3D+%22To+Do+%28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2156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4677+AND+status+%3D+%22In+Progress+%2850+%7E+7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4677+AND+status+%3D+%22READY+FOR+TESTING+%289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4910+AND+status+%3D+%22IN+REVIEW+%288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5044+AND+status+%3D+%22In+Progress+%2850+%7E+70%25%29%22" TargetMode="External"/><Relationship Id="rId151" Type="http://schemas.openxmlformats.org/officeDocument/2006/relationships/hyperlink" Target="https://xrspace.atlassian.net/issues/?jql=created+%3E%3D+2025-02-01+AND+created+%3C%3D+2026-12-31+AND+type+%3D+Bug+AND+project+%3D+SOVA+AND+Sprint+%3D+2915+AND+status+%3D+%22IN+REVIEW+%2880%25%29%22" TargetMode="External"/><Relationship Id="rId156" Type="http://schemas.openxmlformats.org/officeDocument/2006/relationships/drawing" Target="../drawings/drawing5.xml"/><Relationship Id="rId13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4678+AND+status+%3D+%22To+Do+%28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4678+AND+status+%3D+%22STARTING+%2810+%7E+40%25%29%22" TargetMode="External"/><Relationship Id="rId141" Type="http://schemas.openxmlformats.org/officeDocument/2006/relationships/hyperlink" Target="https://xrspace.atlassian.net/issues/?jql=created+%3E%3D+2025-02-01+AND+created+%3C%3D+2026-12-31+AND+type+%3D+Bug+AND+project+%3D+SOVA+AND+Sprint+%3D+5045+AND+status+%3D+%22To+Do+%280%25%29%22" TargetMode="External"/><Relationship Id="rId146" Type="http://schemas.openxmlformats.org/officeDocument/2006/relationships/hyperlink" Target="https://xrspace.atlassian.net/issues/?jql=created+%3E%3D+2025-02-01+AND+created+%3C%3D+2026-12-31+AND+type+%3D+Bug+AND+project+%3D+SOVA+AND+Sprint+%3D+5045+AND+status+%3D+%22STARTING+%2810+%7E+4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2156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2" Type="http://schemas.openxmlformats.org/officeDocument/2006/relationships/hyperlink" Target="https://xrspace.atlassian.net/issues/?jql=created+%3E%3D+2025-02-01+AND+created+%3C%3D+2026-12-31+AND+type+%3D+Bug+AND+project+%3D+SOVA+AND+Sprint+%3D+2156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4677+AND+status+%3D+%22Done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4910+AND+status+%3D+%22WON%27T+DO+%2810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5044+AND+status+%3D+%22Done+%28100%25%29%22" TargetMode="External"/><Relationship Id="rId157" Type="http://schemas.openxmlformats.org/officeDocument/2006/relationships/table" Target="../tables/table5.xml"/><Relationship Id="rId61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152" Type="http://schemas.openxmlformats.org/officeDocument/2006/relationships/hyperlink" Target="https://xrspace.atlassian.net/issues/?jql=created+%3E%3D+2025-02-01+AND+created+%3C%3D+2026-12-31+AND+type+%3D+Bug+AND+project+%3D+SOVA+AND+Sprint+%3D+2915+AND+status+%3D+%22WON%27T+DO+%2810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4678+AND+status+%3D+%22READY+FOR+TESTING+%2890%25%29%22" TargetMode="External"/><Relationship Id="rId147" Type="http://schemas.openxmlformats.org/officeDocument/2006/relationships/hyperlink" Target="https://xrspace.atlassian.net/issues/?jql=created+%3E%3D+2025-02-01+AND+created+%3C%3D+2026-12-31+AND+type+%3D+Bug+AND+project+%3D+SOVA+AND+Sprint+%3D+5045+AND+status+%3D+%22READY+FOR+TESTING+%289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4678+AND+status+%3D+%22In+Progress+%2850+%7E+70%25%29%22" TargetMode="External"/><Relationship Id="rId142" Type="http://schemas.openxmlformats.org/officeDocument/2006/relationships/hyperlink" Target="https://xrspace.atlassian.net/issues/?jql=created+%3E%3D+2025-02-01+AND+created+%3C%3D+2026-12-31+AND+type+%3D+Bug+AND+project+%3D+SOVA+AND+Sprint+%3D+5045+AND+status+%3D+%22In+Progress+%2850+%7E+70%25%29%22" TargetMode="External"/><Relationship Id="rId3" Type="http://schemas.openxmlformats.org/officeDocument/2006/relationships/hyperlink" Target="https://xrspace.atlassian.net/issues/?jql=created+%3E%3D+2025-02-01+AND+created+%3C%3D+2026-12-31+AND+type+%3D+Bug+AND+project+%3D+SOVA+AND+Sprint+%3D+2156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4677+AND+status+%3D+%22IN+REVIEW+%288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5044+AND+status+%3D+%22IN+REVIEW+%288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4910+AND+status+%3D+%22STARTING+%2810+%7E+40%25%29%22" TargetMode="External"/><Relationship Id="rId153" Type="http://schemas.openxmlformats.org/officeDocument/2006/relationships/hyperlink" Target="https://xrspace.atlassian.net/issues/?jql=created+%3E%3D+2025-02-01+AND+created+%3C%3D+2026-12-31+AND+type+%3D+Bug+AND+project+%3D+SOVA+AND+Sprint+%3D+2915+AND+status+%3D+%22STARTING+%2810+%7E+4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4910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4678+AND+status+%3D+%22Done+%28100%25%29%22" TargetMode="External"/><Relationship Id="rId143" Type="http://schemas.openxmlformats.org/officeDocument/2006/relationships/hyperlink" Target="https://xrspace.atlassian.net/issues/?jql=created+%3E%3D+2025-02-01+AND+created+%3C%3D+2026-12-31+AND+type+%3D+Bug+AND+project+%3D+SOVA+AND+Sprint+%3D+5045+AND+status+%3D+%22Done+%28100%25%29%22" TargetMode="External"/><Relationship Id="rId148" Type="http://schemas.openxmlformats.org/officeDocument/2006/relationships/hyperlink" Target="https://xrspace.atlassian.net/issues/?jql=created+%3E%3D+2025-02-01+AND+created+%3C%3D+2026-12-31+AND+type+%3D+Bug+AND+project+%3D+SOVA+AND+Sprint+%3D+2915+AND+status+%3D+%22To+Do+%280%25%29%22" TargetMode="External"/><Relationship Id="rId4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4910+AND+status+%3D+%22READY+FOR+TESTING+%2890%25%29%22" TargetMode="External"/><Relationship Id="rId154" Type="http://schemas.openxmlformats.org/officeDocument/2006/relationships/hyperlink" Target="https://xrspace.atlassian.net/issues/?jql=created+%3E%3D+2025-02-01+AND+created+%3C%3D+2026-12-31+AND+type+%3D+Bug+AND+project+%3D+SOVA+AND+Sprint+%3D+2915+AND+status+%3D+%22READY+FOR+TESTING+%289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4678+AND+status+%3D+%22IN+REVIEW+%2880%25%29%22" TargetMode="External"/><Relationship Id="rId144" Type="http://schemas.openxmlformats.org/officeDocument/2006/relationships/hyperlink" Target="https://xrspace.atlassian.net/issues/?jql=created+%3E%3D+2025-02-01+AND+created+%3C%3D+2026-12-31+AND+type+%3D+Bug+AND+project+%3D+SOVA+AND+Sprint+%3D+5045+AND+status+%3D+%22IN+REVIEW+%288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4677+AND+status+%3D+%22To+Do+%28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5044+AND+status+%3D+%22To+Do+%28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5"/>
  <sheetViews>
    <sheetView zoomScaleNormal="100" workbookViewId="0">
      <selection activeCell="A26" sqref="A26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77</v>
      </c>
      <c r="B2">
        <v>15</v>
      </c>
      <c r="C2">
        <v>14</v>
      </c>
      <c r="D2">
        <v>219</v>
      </c>
      <c r="E2">
        <f>SUM(Table2[[#This Row],[Done]:[TODO (P1)]])</f>
        <v>248</v>
      </c>
    </row>
    <row r="3" spans="1:5" ht="21.95" customHeight="1">
      <c r="A3" t="s">
        <v>56</v>
      </c>
      <c r="B3">
        <v>12</v>
      </c>
      <c r="C3">
        <v>11</v>
      </c>
      <c r="D3">
        <v>173</v>
      </c>
      <c r="E3">
        <f>SUM(Table2[[#This Row],[Done]:[TODO (P1)]])</f>
        <v>196</v>
      </c>
    </row>
    <row r="4" spans="1:5" ht="21.95" customHeight="1">
      <c r="A4" t="s">
        <v>57</v>
      </c>
      <c r="B4">
        <v>13</v>
      </c>
      <c r="C4">
        <v>11</v>
      </c>
      <c r="D4">
        <v>172</v>
      </c>
      <c r="E4" s="12">
        <f>SUM(Table2[[#This Row],[Done]:[TODO (P1)]])</f>
        <v>196</v>
      </c>
    </row>
    <row r="5" spans="1:5" ht="21.95" customHeight="1">
      <c r="A5" t="s">
        <v>58</v>
      </c>
      <c r="B5">
        <v>15</v>
      </c>
      <c r="C5">
        <v>12</v>
      </c>
      <c r="D5">
        <v>168</v>
      </c>
      <c r="E5" s="12">
        <f>SUM(Table2[[#This Row],[Done]:[TODO (P1)]])</f>
        <v>195</v>
      </c>
    </row>
    <row r="6" spans="1:5" ht="21.95" customHeight="1">
      <c r="A6" t="s">
        <v>59</v>
      </c>
      <c r="B6">
        <v>18</v>
      </c>
      <c r="C6">
        <v>11</v>
      </c>
      <c r="D6">
        <v>166</v>
      </c>
      <c r="E6" s="12">
        <f>SUM(Table2[[#This Row],[Done]:[TODO (P1)]])</f>
        <v>195</v>
      </c>
    </row>
    <row r="7" spans="1:5" ht="21.95" customHeight="1">
      <c r="A7" t="s">
        <v>60</v>
      </c>
      <c r="B7">
        <v>21</v>
      </c>
      <c r="C7">
        <v>14</v>
      </c>
      <c r="D7">
        <v>160</v>
      </c>
      <c r="E7" s="12">
        <f>SUM(Table2[[#This Row],[Done]:[TODO (P1)]])</f>
        <v>195</v>
      </c>
    </row>
    <row r="8" spans="1:5" ht="21.95" customHeight="1">
      <c r="A8" t="s">
        <v>61</v>
      </c>
      <c r="B8">
        <v>22</v>
      </c>
      <c r="C8">
        <v>14</v>
      </c>
      <c r="D8">
        <v>160</v>
      </c>
      <c r="E8" s="12">
        <f>SUM(Table2[[#This Row],[Done]:[TODO (P1)]])</f>
        <v>196</v>
      </c>
    </row>
    <row r="9" spans="1:5" ht="21.95" customHeight="1">
      <c r="A9" t="s">
        <v>62</v>
      </c>
      <c r="B9">
        <v>25</v>
      </c>
      <c r="C9">
        <v>10</v>
      </c>
      <c r="D9">
        <v>161</v>
      </c>
      <c r="E9" s="12">
        <f>SUM(Table2[[#This Row],[Done]:[TODO (P1)]])</f>
        <v>196</v>
      </c>
    </row>
    <row r="10" spans="1:5" ht="21.95" customHeight="1">
      <c r="A10" t="s">
        <v>64</v>
      </c>
      <c r="B10">
        <v>28</v>
      </c>
      <c r="C10">
        <v>8</v>
      </c>
      <c r="D10">
        <v>160</v>
      </c>
      <c r="E10" s="12">
        <f>SUM(Table2[[#This Row],[Done]:[TODO (P1)]])</f>
        <v>196</v>
      </c>
    </row>
    <row r="11" spans="1:5" ht="21.95" customHeight="1">
      <c r="A11" t="s">
        <v>65</v>
      </c>
      <c r="B11">
        <v>30</v>
      </c>
      <c r="C11">
        <v>6</v>
      </c>
      <c r="D11">
        <v>160</v>
      </c>
      <c r="E11" s="12">
        <f>SUM(Table2[[#This Row],[Done]:[TODO (P1)]])</f>
        <v>196</v>
      </c>
    </row>
    <row r="12" spans="1:5" ht="21.95" customHeight="1">
      <c r="A12" t="s">
        <v>66</v>
      </c>
      <c r="B12">
        <v>32</v>
      </c>
      <c r="C12">
        <v>5</v>
      </c>
      <c r="D12">
        <v>160</v>
      </c>
      <c r="E12" s="12">
        <f>SUM(Table2[[#This Row],[Done]:[TODO (P1)]])</f>
        <v>197</v>
      </c>
    </row>
    <row r="13" spans="1:5" ht="21.95" customHeight="1">
      <c r="A13" t="s">
        <v>67</v>
      </c>
      <c r="B13">
        <v>32</v>
      </c>
      <c r="C13">
        <v>5</v>
      </c>
      <c r="D13">
        <v>160</v>
      </c>
      <c r="E13" s="12">
        <f>SUM(Table2[[#This Row],[Done]:[TODO (P1)]])</f>
        <v>197</v>
      </c>
    </row>
    <row r="14" spans="1:5" ht="21.95" customHeight="1">
      <c r="A14" t="s">
        <v>55</v>
      </c>
      <c r="B14">
        <v>32</v>
      </c>
      <c r="C14">
        <v>3</v>
      </c>
      <c r="D14">
        <v>162</v>
      </c>
      <c r="E14" s="12">
        <f>SUM(Table2[[#This Row],[Done]:[TODO (P1)]])</f>
        <v>197</v>
      </c>
    </row>
    <row r="15" spans="1:5" ht="21.95" customHeight="1">
      <c r="A15" t="s">
        <v>68</v>
      </c>
      <c r="B15">
        <v>32</v>
      </c>
      <c r="C15">
        <v>3</v>
      </c>
      <c r="D15">
        <v>162</v>
      </c>
      <c r="E15" s="12">
        <f>SUM(Table2[[#This Row],[Done]:[TODO (P1)]])</f>
        <v>197</v>
      </c>
    </row>
    <row r="16" spans="1:5" ht="21.95" customHeight="1">
      <c r="A16" t="s">
        <v>83</v>
      </c>
      <c r="B16">
        <v>32</v>
      </c>
      <c r="C16">
        <v>3</v>
      </c>
      <c r="D16">
        <v>162</v>
      </c>
      <c r="E16" s="12">
        <f>SUM(Table2[[#This Row],[Done]:[TODO (P1)]])</f>
        <v>197</v>
      </c>
    </row>
    <row r="17" spans="1:5" ht="21.95" customHeight="1">
      <c r="A17" t="s">
        <v>84</v>
      </c>
      <c r="B17">
        <v>32</v>
      </c>
      <c r="C17">
        <v>1</v>
      </c>
      <c r="D17">
        <v>162</v>
      </c>
      <c r="E17" s="12">
        <f>SUM(Table2[[#This Row],[Done]:[TODO (P1)]])</f>
        <v>195</v>
      </c>
    </row>
    <row r="18" spans="1:5" ht="21.95" customHeight="1">
      <c r="A18" t="s">
        <v>85</v>
      </c>
      <c r="B18">
        <v>32</v>
      </c>
      <c r="C18">
        <v>2</v>
      </c>
      <c r="D18">
        <v>161</v>
      </c>
      <c r="E18" s="12">
        <f>SUM(Table2[[#This Row],[Done]:[TODO (P1)]])</f>
        <v>195</v>
      </c>
    </row>
    <row r="19" spans="1:5" ht="21.95" customHeight="1">
      <c r="A19" t="s">
        <v>89</v>
      </c>
      <c r="B19">
        <v>31</v>
      </c>
      <c r="C19">
        <v>3</v>
      </c>
      <c r="D19">
        <v>161</v>
      </c>
      <c r="E19" s="12">
        <f>SUM(Table2[[#This Row],[Done]:[TODO (P1)]])</f>
        <v>195</v>
      </c>
    </row>
    <row r="20" spans="1:5" ht="21.95" customHeight="1">
      <c r="A20" t="s">
        <v>90</v>
      </c>
      <c r="B20">
        <v>31</v>
      </c>
      <c r="C20">
        <v>3</v>
      </c>
      <c r="D20">
        <v>161</v>
      </c>
      <c r="E20" s="12">
        <f>SUM(Table2[[#This Row],[Done]:[TODO (P1)]])</f>
        <v>195</v>
      </c>
    </row>
    <row r="21" spans="1:5" ht="21.95" customHeight="1">
      <c r="A21" t="s">
        <v>91</v>
      </c>
      <c r="B21">
        <v>31</v>
      </c>
      <c r="C21">
        <v>3</v>
      </c>
      <c r="D21">
        <v>161</v>
      </c>
      <c r="E21" s="12">
        <f>SUM(Table2[[#This Row],[Done]:[TODO (P1)]])</f>
        <v>195</v>
      </c>
    </row>
    <row r="22" spans="1:5" ht="21.95" customHeight="1">
      <c r="A22" t="s">
        <v>100</v>
      </c>
      <c r="B22">
        <v>37</v>
      </c>
      <c r="C22">
        <v>1</v>
      </c>
      <c r="D22">
        <v>160</v>
      </c>
      <c r="E22" s="12">
        <v>198</v>
      </c>
    </row>
    <row r="23" spans="1:5" ht="21.95" customHeight="1">
      <c r="A23" t="s">
        <v>102</v>
      </c>
      <c r="B23">
        <v>37</v>
      </c>
      <c r="C23">
        <v>1</v>
      </c>
      <c r="D23">
        <v>160</v>
      </c>
      <c r="E23" s="12">
        <v>198</v>
      </c>
    </row>
    <row r="24" spans="1:5" ht="21.95" customHeight="1">
      <c r="A24" t="s">
        <v>104</v>
      </c>
      <c r="B24">
        <v>37</v>
      </c>
      <c r="C24">
        <v>1</v>
      </c>
      <c r="D24">
        <v>160</v>
      </c>
      <c r="E24" s="12">
        <v>198</v>
      </c>
    </row>
    <row r="25" spans="1:5" ht="21.95" customHeight="1">
      <c r="A25" t="s">
        <v>107</v>
      </c>
      <c r="B25">
        <v>37</v>
      </c>
      <c r="C25">
        <v>1</v>
      </c>
      <c r="D25">
        <v>160</v>
      </c>
      <c r="E25" s="12">
        <v>198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20"/>
  <sheetViews>
    <sheetView zoomScaleNormal="100" workbookViewId="0">
      <selection activeCell="L12" sqref="L12"/>
    </sheetView>
  </sheetViews>
  <sheetFormatPr defaultColWidth="11.5546875" defaultRowHeight="15"/>
  <cols>
    <col min="1" max="1" width="9.109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37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42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43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46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47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49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52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53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82</v>
      </c>
      <c r="B17">
        <v>1350</v>
      </c>
      <c r="C17">
        <v>8</v>
      </c>
      <c r="D17">
        <v>10</v>
      </c>
      <c r="E17">
        <v>2</v>
      </c>
      <c r="F17">
        <v>4</v>
      </c>
      <c r="G17">
        <v>0</v>
      </c>
      <c r="H17">
        <f>SUM(Table1[[#This Row],[Passed]:[Untested]])</f>
        <v>1374</v>
      </c>
    </row>
    <row r="18" spans="1:8" ht="21.95" customHeight="1">
      <c r="A18" t="s">
        <v>87</v>
      </c>
      <c r="B18">
        <v>860</v>
      </c>
      <c r="C18">
        <v>0</v>
      </c>
      <c r="D18">
        <v>4</v>
      </c>
      <c r="E18">
        <v>2</v>
      </c>
      <c r="F18">
        <v>0</v>
      </c>
      <c r="G18">
        <v>0</v>
      </c>
      <c r="H18">
        <f>SUM(Table1[[#This Row],[Passed]:[Untested]])</f>
        <v>866</v>
      </c>
    </row>
    <row r="19" spans="1:8" ht="21.95" customHeight="1">
      <c r="A19" t="s">
        <v>93</v>
      </c>
      <c r="B19">
        <v>572</v>
      </c>
      <c r="C19">
        <v>0</v>
      </c>
      <c r="D19">
        <v>1</v>
      </c>
      <c r="E19">
        <v>4</v>
      </c>
      <c r="F19">
        <v>6</v>
      </c>
      <c r="G19">
        <v>9</v>
      </c>
      <c r="H19">
        <f>SUM(Table1[[#This Row],[Passed]:[Untested]])</f>
        <v>592</v>
      </c>
    </row>
    <row r="20" spans="1:8" ht="21.95" customHeight="1">
      <c r="A20" t="s">
        <v>105</v>
      </c>
      <c r="B20">
        <v>100</v>
      </c>
      <c r="C20">
        <v>0</v>
      </c>
      <c r="D20">
        <v>0</v>
      </c>
      <c r="E20">
        <v>0</v>
      </c>
      <c r="F20">
        <v>0</v>
      </c>
      <c r="G20">
        <v>181</v>
      </c>
      <c r="H20">
        <f>SUM(Table1[[#This Row],[Passed]:[Untested]])</f>
        <v>281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8"/>
  <sheetViews>
    <sheetView tabSelected="1" topLeftCell="A19" zoomScaleNormal="100" workbookViewId="0">
      <selection activeCell="K38" sqref="K38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78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79</v>
      </c>
    </row>
    <row r="4" spans="1:8" ht="20.100000000000001" customHeight="1">
      <c r="A4" s="3" t="s">
        <v>80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81</v>
      </c>
    </row>
    <row r="6" spans="1:8" ht="20.100000000000001" customHeight="1">
      <c r="A6" s="3" t="s">
        <v>69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70</v>
      </c>
    </row>
    <row r="8" spans="1:8" ht="20.100000000000001" customHeight="1">
      <c r="A8" s="3" t="s">
        <v>71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72</v>
      </c>
    </row>
    <row r="10" spans="1:8" ht="20.100000000000001" customHeight="1">
      <c r="A10" s="3" t="s">
        <v>73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74</v>
      </c>
    </row>
    <row r="12" spans="1:8" ht="20.100000000000001" customHeight="1">
      <c r="A12" s="3" t="s">
        <v>75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76</v>
      </c>
    </row>
    <row r="14" spans="1:8" ht="20.100000000000001" customHeight="1">
      <c r="A14" s="3" t="s">
        <v>77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56</v>
      </c>
      <c r="H15" s="12"/>
    </row>
    <row r="16" spans="1:8" ht="20.100000000000001" customHeight="1">
      <c r="A16" s="3" t="s">
        <v>57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58</v>
      </c>
      <c r="H17" s="12"/>
    </row>
    <row r="18" spans="1:8" ht="20.100000000000001" customHeight="1">
      <c r="A18" s="3" t="s">
        <v>59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60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61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62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63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64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65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66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67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55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68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83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84</v>
      </c>
      <c r="B30">
        <v>436</v>
      </c>
      <c r="C30">
        <v>4</v>
      </c>
      <c r="D30">
        <v>4</v>
      </c>
      <c r="E30">
        <v>13</v>
      </c>
      <c r="F30">
        <v>7</v>
      </c>
      <c r="G30">
        <v>0</v>
      </c>
      <c r="H30" s="12">
        <f>SUM(Table3[[#This Row],[Passed]:[Untested]])</f>
        <v>464</v>
      </c>
    </row>
    <row r="31" spans="1:8" ht="20.100000000000001" customHeight="1">
      <c r="A31" s="3" t="s">
        <v>89</v>
      </c>
      <c r="B31">
        <v>171</v>
      </c>
      <c r="C31">
        <v>6</v>
      </c>
      <c r="D31">
        <v>0</v>
      </c>
      <c r="E31">
        <v>1</v>
      </c>
      <c r="F31">
        <v>6</v>
      </c>
      <c r="G31">
        <v>0</v>
      </c>
      <c r="H31" s="12">
        <f>SUM(Table3[[#This Row],[Passed]:[Untested]])</f>
        <v>184</v>
      </c>
    </row>
    <row r="32" spans="1:8" ht="20.100000000000001" customHeight="1">
      <c r="A32" s="3" t="s">
        <v>90</v>
      </c>
      <c r="B32">
        <v>723</v>
      </c>
      <c r="C32">
        <v>12</v>
      </c>
      <c r="D32">
        <v>3</v>
      </c>
      <c r="E32">
        <v>7</v>
      </c>
      <c r="F32">
        <v>8</v>
      </c>
      <c r="G32">
        <v>0</v>
      </c>
      <c r="H32" s="12">
        <f>SUM(Table3[[#This Row],[Passed]:[Untested]])</f>
        <v>753</v>
      </c>
    </row>
    <row r="33" spans="1:8" ht="20.100000000000001" customHeight="1">
      <c r="A33" s="3" t="s">
        <v>92</v>
      </c>
      <c r="B33">
        <v>687</v>
      </c>
      <c r="C33">
        <v>1</v>
      </c>
      <c r="D33">
        <v>1</v>
      </c>
      <c r="E33">
        <v>3</v>
      </c>
      <c r="F33">
        <v>12</v>
      </c>
      <c r="G33">
        <v>0</v>
      </c>
      <c r="H33" s="12">
        <f>SUM(Table3[[#This Row],[Passed]:[Untested]])</f>
        <v>704</v>
      </c>
    </row>
    <row r="34" spans="1:8" ht="20.100000000000001" customHeight="1">
      <c r="A34" s="3" t="s">
        <v>91</v>
      </c>
      <c r="B34">
        <v>218</v>
      </c>
      <c r="C34">
        <v>0</v>
      </c>
      <c r="D34">
        <v>0</v>
      </c>
      <c r="E34">
        <v>0</v>
      </c>
      <c r="F34">
        <v>0</v>
      </c>
      <c r="G34">
        <v>0</v>
      </c>
      <c r="H34" s="12">
        <f>SUM(Table3[[#This Row],[Passed]:[Untested]])</f>
        <v>218</v>
      </c>
    </row>
    <row r="35" spans="1:8" ht="20.100000000000001" customHeight="1">
      <c r="A35" s="3" t="s">
        <v>100</v>
      </c>
      <c r="B35">
        <v>694</v>
      </c>
      <c r="C35">
        <v>0</v>
      </c>
      <c r="D35">
        <v>2</v>
      </c>
      <c r="E35">
        <v>0</v>
      </c>
      <c r="F35">
        <v>7</v>
      </c>
      <c r="G35">
        <v>0</v>
      </c>
      <c r="H35" s="12">
        <f>SUM(Table3[[#This Row],[Passed]:[Untested]])</f>
        <v>703</v>
      </c>
    </row>
    <row r="36" spans="1:8" ht="20.100000000000001" customHeight="1">
      <c r="A36" s="3" t="s">
        <v>102</v>
      </c>
      <c r="B36">
        <v>0</v>
      </c>
      <c r="C36">
        <v>0</v>
      </c>
      <c r="D36">
        <v>0</v>
      </c>
      <c r="E36">
        <v>0</v>
      </c>
      <c r="F36">
        <v>0</v>
      </c>
      <c r="G36">
        <v>508</v>
      </c>
      <c r="H36" s="12">
        <f>SUM(Table3[[#This Row],[Passed]:[Untested]])</f>
        <v>508</v>
      </c>
    </row>
    <row r="37" spans="1:8" ht="20.100000000000001" customHeight="1">
      <c r="A37" s="3" t="s">
        <v>104</v>
      </c>
      <c r="B37">
        <v>481</v>
      </c>
      <c r="C37">
        <v>14</v>
      </c>
      <c r="D37">
        <v>0</v>
      </c>
      <c r="E37">
        <v>4</v>
      </c>
      <c r="F37">
        <v>9</v>
      </c>
      <c r="G37">
        <v>0</v>
      </c>
      <c r="H37" s="12">
        <f>SUM(Table3[[#This Row],[Passed]:[Untested]])</f>
        <v>508</v>
      </c>
    </row>
    <row r="38" spans="1:8" ht="20.100000000000001" customHeight="1">
      <c r="A38" s="3" t="s">
        <v>107</v>
      </c>
      <c r="B38">
        <v>0</v>
      </c>
      <c r="C38">
        <v>0</v>
      </c>
      <c r="D38">
        <v>0</v>
      </c>
      <c r="E38">
        <v>0</v>
      </c>
      <c r="F38">
        <v>0</v>
      </c>
      <c r="G38">
        <v>508</v>
      </c>
      <c r="H38" s="12">
        <f>SUM(Table3[[#This Row],[Passed]:[Untested]])</f>
        <v>508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3"/>
  <sheetViews>
    <sheetView zoomScaleNormal="100" workbookViewId="0">
      <selection activeCell="A22" sqref="A22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21</v>
      </c>
      <c r="B1" s="3" t="s">
        <v>18</v>
      </c>
      <c r="C1" s="3" t="s">
        <v>35</v>
      </c>
      <c r="D1" s="3" t="s">
        <v>17</v>
      </c>
      <c r="E1" s="3" t="s">
        <v>38</v>
      </c>
      <c r="F1" s="3" t="s">
        <v>39</v>
      </c>
      <c r="G1" s="3" t="s">
        <v>1</v>
      </c>
      <c r="H1" s="3" t="s">
        <v>3</v>
      </c>
    </row>
    <row r="2" spans="1:8">
      <c r="A2" t="s">
        <v>19</v>
      </c>
      <c r="B2">
        <v>9</v>
      </c>
      <c r="C2">
        <v>0</v>
      </c>
      <c r="D2">
        <v>0</v>
      </c>
      <c r="E2">
        <v>0</v>
      </c>
      <c r="F2">
        <v>0</v>
      </c>
      <c r="G2">
        <v>66</v>
      </c>
      <c r="H2">
        <f>SUM(Table7[[#This Row],[To Do]:[Done]])</f>
        <v>75</v>
      </c>
    </row>
    <row r="3" spans="1:8">
      <c r="A3" t="s">
        <v>20</v>
      </c>
      <c r="B3">
        <v>4</v>
      </c>
      <c r="C3">
        <v>0</v>
      </c>
      <c r="D3">
        <v>0</v>
      </c>
      <c r="E3">
        <v>0</v>
      </c>
      <c r="F3">
        <v>0</v>
      </c>
      <c r="G3">
        <v>48</v>
      </c>
      <c r="H3">
        <f>SUM(Table7[[#This Row],[To Do]:[Done]])</f>
        <v>52</v>
      </c>
    </row>
    <row r="4" spans="1:8">
      <c r="A4" t="s">
        <v>4</v>
      </c>
      <c r="B4">
        <v>14</v>
      </c>
      <c r="C4">
        <v>0</v>
      </c>
      <c r="D4">
        <v>1</v>
      </c>
      <c r="E4">
        <v>0</v>
      </c>
      <c r="F4">
        <v>0</v>
      </c>
      <c r="G4">
        <v>46</v>
      </c>
      <c r="H4">
        <f>SUM(Table7[[#This Row],[To Do]:[Done]])</f>
        <v>61</v>
      </c>
    </row>
    <row r="5" spans="1:8">
      <c r="A5" t="s">
        <v>5</v>
      </c>
      <c r="B5">
        <v>14</v>
      </c>
      <c r="C5">
        <v>0</v>
      </c>
      <c r="D5">
        <v>1</v>
      </c>
      <c r="E5">
        <v>0</v>
      </c>
      <c r="F5">
        <v>0</v>
      </c>
      <c r="G5">
        <v>34</v>
      </c>
      <c r="H5">
        <f>SUM(Table7[[#This Row],[To Do]:[Done]])</f>
        <v>49</v>
      </c>
    </row>
    <row r="6" spans="1:8">
      <c r="A6" t="s">
        <v>6</v>
      </c>
      <c r="B6">
        <v>15</v>
      </c>
      <c r="C6">
        <v>0</v>
      </c>
      <c r="D6">
        <v>0</v>
      </c>
      <c r="E6">
        <v>0</v>
      </c>
      <c r="F6">
        <v>0</v>
      </c>
      <c r="G6">
        <v>25</v>
      </c>
      <c r="H6">
        <f>SUM(Table7[[#This Row],[To Do]:[Done]])</f>
        <v>40</v>
      </c>
    </row>
    <row r="7" spans="1:8">
      <c r="A7" t="s">
        <v>7</v>
      </c>
      <c r="B7">
        <v>12</v>
      </c>
      <c r="C7">
        <v>0</v>
      </c>
      <c r="D7">
        <v>0</v>
      </c>
      <c r="E7">
        <v>0</v>
      </c>
      <c r="F7">
        <v>0</v>
      </c>
      <c r="G7">
        <v>56</v>
      </c>
      <c r="H7">
        <f>SUM(Table7[[#This Row],[To Do]:[Done]])</f>
        <v>68</v>
      </c>
    </row>
    <row r="8" spans="1:8">
      <c r="A8" t="s">
        <v>8</v>
      </c>
      <c r="B8">
        <v>8</v>
      </c>
      <c r="C8">
        <v>0</v>
      </c>
      <c r="D8">
        <v>0</v>
      </c>
      <c r="E8">
        <v>0</v>
      </c>
      <c r="F8">
        <v>0</v>
      </c>
      <c r="G8">
        <v>40</v>
      </c>
      <c r="H8">
        <f>SUM(Table7[[#This Row],[To Do]:[Done]])</f>
        <v>48</v>
      </c>
    </row>
    <row r="9" spans="1:8">
      <c r="A9" t="s">
        <v>9</v>
      </c>
      <c r="B9">
        <v>6</v>
      </c>
      <c r="C9">
        <v>0</v>
      </c>
      <c r="D9">
        <v>0</v>
      </c>
      <c r="E9">
        <v>0</v>
      </c>
      <c r="F9">
        <v>0</v>
      </c>
      <c r="G9">
        <v>33</v>
      </c>
      <c r="H9">
        <f>SUM(Table7[[#This Row],[To Do]:[Done]])</f>
        <v>39</v>
      </c>
    </row>
    <row r="10" spans="1:8">
      <c r="A10" t="s">
        <v>10</v>
      </c>
      <c r="B10">
        <v>7</v>
      </c>
      <c r="C10">
        <v>1</v>
      </c>
      <c r="D10">
        <v>0</v>
      </c>
      <c r="E10">
        <v>0</v>
      </c>
      <c r="F10">
        <v>0</v>
      </c>
      <c r="G10">
        <v>29</v>
      </c>
      <c r="H10">
        <f>SUM(Table7[[#This Row],[To Do]:[Done]])</f>
        <v>37</v>
      </c>
    </row>
    <row r="11" spans="1:8">
      <c r="A11" t="s">
        <v>37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f>SUM(Table7[[#This Row],[To Do]:[Done]])</f>
        <v>2</v>
      </c>
    </row>
    <row r="12" spans="1:8">
      <c r="A12" t="s">
        <v>42</v>
      </c>
      <c r="B12">
        <v>12</v>
      </c>
      <c r="C12">
        <v>0</v>
      </c>
      <c r="D12">
        <v>0</v>
      </c>
      <c r="E12">
        <v>0</v>
      </c>
      <c r="F12">
        <v>0</v>
      </c>
      <c r="G12">
        <v>9</v>
      </c>
      <c r="H12">
        <f>SUM(Table7[[#This Row],[To Do]:[Done]])</f>
        <v>21</v>
      </c>
    </row>
    <row r="13" spans="1:8">
      <c r="A13" t="s">
        <v>43</v>
      </c>
      <c r="B13">
        <v>0</v>
      </c>
      <c r="C13">
        <v>0</v>
      </c>
      <c r="D13">
        <v>0</v>
      </c>
      <c r="E13">
        <v>0</v>
      </c>
      <c r="F13">
        <v>0</v>
      </c>
      <c r="G13">
        <v>12</v>
      </c>
      <c r="H13">
        <f>SUM(Table7[[#This Row],[To Do]:[Done]])</f>
        <v>12</v>
      </c>
    </row>
    <row r="14" spans="1:8">
      <c r="A14" t="s">
        <v>46</v>
      </c>
      <c r="B14">
        <v>2</v>
      </c>
      <c r="C14">
        <v>0</v>
      </c>
      <c r="D14">
        <v>0</v>
      </c>
      <c r="E14">
        <v>0</v>
      </c>
      <c r="F14">
        <v>0</v>
      </c>
      <c r="G14">
        <v>9</v>
      </c>
      <c r="H14">
        <f>SUM(Table7[[#This Row],[To Do]:[Done]])</f>
        <v>11</v>
      </c>
    </row>
    <row r="15" spans="1:8">
      <c r="A15" t="s">
        <v>47</v>
      </c>
      <c r="B15">
        <v>10</v>
      </c>
      <c r="C15">
        <v>0</v>
      </c>
      <c r="D15">
        <v>0</v>
      </c>
      <c r="E15">
        <v>0</v>
      </c>
      <c r="F15">
        <v>0</v>
      </c>
      <c r="G15">
        <v>40</v>
      </c>
      <c r="H15">
        <f>SUM(Table7[[#This Row],[To Do]:[Done]])</f>
        <v>50</v>
      </c>
    </row>
    <row r="16" spans="1:8">
      <c r="A16" t="s">
        <v>49</v>
      </c>
      <c r="B16">
        <v>0</v>
      </c>
      <c r="C16">
        <v>0</v>
      </c>
      <c r="D16">
        <v>0</v>
      </c>
      <c r="E16">
        <v>0</v>
      </c>
      <c r="F16">
        <v>0</v>
      </c>
      <c r="G16">
        <v>38</v>
      </c>
      <c r="H16">
        <f>SUM(Table7[[#This Row],[To Do]:[Done]])</f>
        <v>38</v>
      </c>
    </row>
    <row r="17" spans="1:8">
      <c r="A17" t="s">
        <v>52</v>
      </c>
      <c r="B17">
        <v>6</v>
      </c>
      <c r="C17">
        <v>1</v>
      </c>
      <c r="D17">
        <v>0</v>
      </c>
      <c r="E17">
        <v>0</v>
      </c>
      <c r="F17">
        <v>0</v>
      </c>
      <c r="G17">
        <v>35</v>
      </c>
      <c r="H17">
        <f>SUM(Table7[[#This Row],[To Do]:[Done]])</f>
        <v>42</v>
      </c>
    </row>
    <row r="18" spans="1:8">
      <c r="A18" t="s">
        <v>53</v>
      </c>
      <c r="B18">
        <v>3</v>
      </c>
      <c r="C18">
        <v>0</v>
      </c>
      <c r="D18">
        <v>0</v>
      </c>
      <c r="E18">
        <v>0</v>
      </c>
      <c r="F18">
        <v>0</v>
      </c>
      <c r="G18">
        <v>18</v>
      </c>
      <c r="H18">
        <f>SUM(Table7[[#This Row],[To Do]:[Done]])</f>
        <v>21</v>
      </c>
    </row>
    <row r="19" spans="1:8">
      <c r="A19" t="s">
        <v>82</v>
      </c>
      <c r="B19">
        <v>0</v>
      </c>
      <c r="C19">
        <v>0</v>
      </c>
      <c r="D19">
        <v>0</v>
      </c>
      <c r="E19">
        <v>0</v>
      </c>
      <c r="F19">
        <v>0</v>
      </c>
      <c r="G19">
        <v>12</v>
      </c>
      <c r="H19">
        <f>SUM(Table7[[#This Row],[To Do]:[Done]])</f>
        <v>12</v>
      </c>
    </row>
    <row r="20" spans="1:8">
      <c r="A20" t="s">
        <v>86</v>
      </c>
      <c r="B20">
        <v>1</v>
      </c>
      <c r="C20">
        <v>0</v>
      </c>
      <c r="D20">
        <v>0</v>
      </c>
      <c r="E20">
        <v>0</v>
      </c>
      <c r="F20">
        <v>0</v>
      </c>
      <c r="G20">
        <v>8</v>
      </c>
      <c r="H20">
        <f>SUM(Table7[[#This Row],[To Do]:[Done]])</f>
        <v>9</v>
      </c>
    </row>
    <row r="21" spans="1:8">
      <c r="A21" t="s">
        <v>87</v>
      </c>
      <c r="B21">
        <v>2</v>
      </c>
      <c r="C21">
        <v>0</v>
      </c>
      <c r="D21">
        <v>0</v>
      </c>
      <c r="E21">
        <v>0</v>
      </c>
      <c r="F21">
        <v>0</v>
      </c>
      <c r="G21">
        <v>8</v>
      </c>
      <c r="H21" s="12">
        <f>SUM(Table7[[#This Row],[To Do]:[Done]])</f>
        <v>10</v>
      </c>
    </row>
    <row r="22" spans="1:8">
      <c r="A22" t="s">
        <v>93</v>
      </c>
      <c r="B22">
        <v>8</v>
      </c>
      <c r="C22">
        <v>0</v>
      </c>
      <c r="D22">
        <v>0</v>
      </c>
      <c r="E22">
        <v>0</v>
      </c>
      <c r="F22">
        <v>0</v>
      </c>
      <c r="G22">
        <v>41</v>
      </c>
      <c r="H22">
        <f>SUM(Table7[[#This Row],[To Do]:[Done]])</f>
        <v>49</v>
      </c>
    </row>
    <row r="23" spans="1:8">
      <c r="A23" t="s">
        <v>105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 s="12">
        <f>SUM(Table7[[#This Row],[To Do]:[Done]])</f>
        <v>1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3"/>
  <sheetViews>
    <sheetView zoomScaleNormal="100" workbookViewId="0">
      <selection activeCell="K19" sqref="K19"/>
    </sheetView>
  </sheetViews>
  <sheetFormatPr defaultColWidth="11.5546875" defaultRowHeight="15"/>
  <cols>
    <col min="1" max="1" width="11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22</v>
      </c>
      <c r="B1" s="7" t="s">
        <v>23</v>
      </c>
      <c r="C1" s="7" t="s">
        <v>27</v>
      </c>
      <c r="D1" s="7" t="s">
        <v>40</v>
      </c>
      <c r="E1" s="7" t="s">
        <v>25</v>
      </c>
      <c r="F1" s="7" t="s">
        <v>54</v>
      </c>
      <c r="G1" s="7" t="s">
        <v>24</v>
      </c>
      <c r="H1" s="8" t="s">
        <v>26</v>
      </c>
      <c r="I1" s="9" t="s">
        <v>3</v>
      </c>
    </row>
    <row r="2" spans="1:9" ht="18" thickBot="1">
      <c r="A2" s="4" t="s">
        <v>99</v>
      </c>
      <c r="B2" s="5">
        <v>32</v>
      </c>
      <c r="C2" s="5">
        <v>0</v>
      </c>
      <c r="D2" s="5">
        <v>0</v>
      </c>
      <c r="E2" s="5">
        <v>0</v>
      </c>
      <c r="F2" s="5">
        <v>0</v>
      </c>
      <c r="G2" s="5">
        <v>6</v>
      </c>
      <c r="H2" s="5">
        <v>2</v>
      </c>
      <c r="I2" s="15">
        <f>SUM(Table5[[#This Row],[To Do (0%)]:[WON''T DO (100%)]])</f>
        <v>40</v>
      </c>
    </row>
    <row r="3" spans="1:9" ht="18" thickBot="1">
      <c r="A3" s="4" t="s">
        <v>106</v>
      </c>
      <c r="B3" s="5">
        <v>1</v>
      </c>
      <c r="C3" s="5">
        <v>0</v>
      </c>
      <c r="D3" s="5">
        <v>0</v>
      </c>
      <c r="E3" s="5">
        <v>0</v>
      </c>
      <c r="F3" s="5">
        <v>0</v>
      </c>
      <c r="G3" s="5">
        <v>39</v>
      </c>
      <c r="H3" s="5">
        <v>2</v>
      </c>
      <c r="I3" s="5">
        <f>SUM(Table5[[#This Row],[To Do (0%)]:[WON''T DO (100%)]])</f>
        <v>42</v>
      </c>
    </row>
    <row r="4" spans="1:9" ht="18" thickBot="1">
      <c r="A4" s="4" t="s">
        <v>28</v>
      </c>
      <c r="B4" s="5">
        <v>1</v>
      </c>
      <c r="C4" s="5">
        <v>0</v>
      </c>
      <c r="D4" s="5">
        <v>0</v>
      </c>
      <c r="E4" s="5">
        <v>0</v>
      </c>
      <c r="F4" s="5">
        <v>0</v>
      </c>
      <c r="G4" s="5">
        <v>42</v>
      </c>
      <c r="H4" s="5">
        <v>3</v>
      </c>
      <c r="I4" s="5">
        <f>SUM(Table5[[#This Row],[To Do (0%)]:[WON''T DO (100%)]])</f>
        <v>46</v>
      </c>
    </row>
    <row r="5" spans="1:9" ht="18" thickBot="1">
      <c r="A5" s="4" t="s">
        <v>29</v>
      </c>
      <c r="B5" s="5">
        <v>1</v>
      </c>
      <c r="C5" s="5">
        <v>0</v>
      </c>
      <c r="D5" s="5">
        <v>0</v>
      </c>
      <c r="E5" s="5">
        <v>0</v>
      </c>
      <c r="F5" s="5">
        <v>0</v>
      </c>
      <c r="G5" s="5">
        <v>48</v>
      </c>
      <c r="H5" s="5">
        <v>4</v>
      </c>
      <c r="I5" s="5">
        <f>SUM(Table5[[#This Row],[To Do (0%)]:[WON''T DO (100%)]])</f>
        <v>53</v>
      </c>
    </row>
    <row r="6" spans="1:9" ht="18" thickBot="1">
      <c r="A6" s="4" t="s">
        <v>30</v>
      </c>
      <c r="B6" s="5">
        <v>1</v>
      </c>
      <c r="C6" s="5">
        <v>0</v>
      </c>
      <c r="D6" s="5">
        <v>0</v>
      </c>
      <c r="E6" s="5">
        <v>0</v>
      </c>
      <c r="F6" s="5">
        <v>0</v>
      </c>
      <c r="G6" s="5">
        <v>19</v>
      </c>
      <c r="H6" s="5">
        <v>0</v>
      </c>
      <c r="I6" s="5">
        <f>SUM(Table5[[#This Row],[To Do (0%)]:[WON''T DO (100%)]])</f>
        <v>20</v>
      </c>
    </row>
    <row r="7" spans="1:9" ht="18" thickBot="1">
      <c r="A7" s="4" t="s">
        <v>31</v>
      </c>
      <c r="B7" s="5">
        <v>3</v>
      </c>
      <c r="C7" s="5">
        <v>0</v>
      </c>
      <c r="D7" s="5">
        <v>0</v>
      </c>
      <c r="E7" s="5">
        <v>0</v>
      </c>
      <c r="F7" s="5">
        <v>0</v>
      </c>
      <c r="G7" s="5">
        <v>29</v>
      </c>
      <c r="H7" s="5">
        <v>0</v>
      </c>
      <c r="I7" s="5">
        <f>SUM(Table5[[#This Row],[To Do (0%)]:[WON''T DO (100%)]])</f>
        <v>32</v>
      </c>
    </row>
    <row r="8" spans="1:9" ht="18" thickBot="1">
      <c r="A8" s="4" t="s">
        <v>33</v>
      </c>
      <c r="B8" s="5">
        <v>3</v>
      </c>
      <c r="C8" s="5">
        <v>0</v>
      </c>
      <c r="D8" s="5">
        <v>0</v>
      </c>
      <c r="E8" s="5">
        <v>0</v>
      </c>
      <c r="F8" s="5">
        <v>0</v>
      </c>
      <c r="G8" s="5">
        <v>50</v>
      </c>
      <c r="H8" s="5">
        <v>0</v>
      </c>
      <c r="I8" s="5">
        <f>SUM(Table5[[#This Row],[To Do (0%)]:[WON''T DO (100%)]])</f>
        <v>53</v>
      </c>
    </row>
    <row r="9" spans="1:9" ht="18" thickBot="1">
      <c r="A9" s="4" t="s">
        <v>34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24</v>
      </c>
      <c r="H9" s="5">
        <v>1</v>
      </c>
      <c r="I9" s="5">
        <f>SUM(Table5[[#This Row],[To Do (0%)]:[WON''T DO (100%)]])</f>
        <v>25</v>
      </c>
    </row>
    <row r="10" spans="1:9" ht="18" thickBot="1">
      <c r="A10" s="4" t="s">
        <v>41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43</v>
      </c>
      <c r="H10" s="5">
        <v>0</v>
      </c>
      <c r="I10" s="5">
        <f>SUM(Table5[[#This Row],[To Do (0%)]:[WON''T DO (100%)]])</f>
        <v>43</v>
      </c>
    </row>
    <row r="11" spans="1:9" ht="18" thickBot="1">
      <c r="A11" s="4" t="s">
        <v>44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35</v>
      </c>
      <c r="H11" s="5">
        <v>0</v>
      </c>
      <c r="I11" s="5">
        <f>SUM(Table5[[#This Row],[To Do (0%)]:[WON''T DO (100%)]])</f>
        <v>35</v>
      </c>
    </row>
    <row r="12" spans="1:9" ht="18" thickBot="1">
      <c r="A12" s="4" t="s">
        <v>45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29</v>
      </c>
      <c r="H12" s="5">
        <v>0</v>
      </c>
      <c r="I12" s="5">
        <f>SUM(Table5[[#This Row],[To Do (0%)]:[WON''T DO (100%)]])</f>
        <v>29</v>
      </c>
    </row>
    <row r="13" spans="1:9" ht="18" thickBot="1">
      <c r="A13" s="4" t="s">
        <v>48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41</v>
      </c>
      <c r="H13" s="5">
        <v>0</v>
      </c>
      <c r="I13" s="5">
        <f>SUM(Table5[[#This Row],[To Do (0%)]:[WON''T DO (100%)]])</f>
        <v>44</v>
      </c>
    </row>
    <row r="14" spans="1:9" ht="18" thickBot="1">
      <c r="A14" s="4" t="s">
        <v>50</v>
      </c>
      <c r="B14" s="5">
        <v>3</v>
      </c>
      <c r="C14" s="5">
        <v>0</v>
      </c>
      <c r="D14" s="5">
        <v>0</v>
      </c>
      <c r="E14" s="5">
        <v>0</v>
      </c>
      <c r="F14" s="5">
        <v>0</v>
      </c>
      <c r="G14" s="5">
        <v>33</v>
      </c>
      <c r="H14" s="5">
        <v>0</v>
      </c>
      <c r="I14" s="5">
        <f>SUM(Table5[[#This Row],[To Do (0%)]:[WON''T DO (100%)]])</f>
        <v>36</v>
      </c>
    </row>
    <row r="15" spans="1:9" ht="18" thickBot="1">
      <c r="A15" s="4" t="s">
        <v>51</v>
      </c>
      <c r="B15" s="5">
        <v>4</v>
      </c>
      <c r="C15" s="5">
        <v>0</v>
      </c>
      <c r="D15" s="5">
        <v>0</v>
      </c>
      <c r="E15" s="5">
        <v>0</v>
      </c>
      <c r="F15" s="5">
        <v>0</v>
      </c>
      <c r="G15" s="5">
        <v>32</v>
      </c>
      <c r="H15" s="5">
        <v>0</v>
      </c>
      <c r="I15" s="5">
        <f>SUM(Table5[[#This Row],[To Do (0%)]:[WON''T DO (100%)]])</f>
        <v>36</v>
      </c>
    </row>
    <row r="16" spans="1:9" ht="18" thickBot="1">
      <c r="A16" s="4" t="s">
        <v>94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31</v>
      </c>
      <c r="H16" s="5">
        <v>0</v>
      </c>
      <c r="I16" s="5">
        <f>SUM(Table5[[#This Row],[To Do (0%)]:[WON''T DO (100%)]])</f>
        <v>31</v>
      </c>
    </row>
    <row r="17" spans="1:9" ht="18" thickBot="1">
      <c r="A17" s="4" t="s">
        <v>95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33</v>
      </c>
      <c r="H17" s="5">
        <v>2</v>
      </c>
      <c r="I17" s="15">
        <f>SUM(Table5[[#This Row],[To Do (0%)]:[WON''T DO (100%)]])</f>
        <v>36</v>
      </c>
    </row>
    <row r="18" spans="1:9" ht="18" thickBot="1">
      <c r="A18" s="4" t="s">
        <v>96</v>
      </c>
      <c r="B18" s="5">
        <v>4</v>
      </c>
      <c r="C18" s="5">
        <v>0</v>
      </c>
      <c r="D18" s="5">
        <v>0</v>
      </c>
      <c r="E18" s="5">
        <v>0</v>
      </c>
      <c r="F18" s="5">
        <v>0</v>
      </c>
      <c r="G18" s="5">
        <v>28</v>
      </c>
      <c r="H18" s="5">
        <v>5</v>
      </c>
      <c r="I18" s="5">
        <f>SUM(Table5[[#This Row],[To Do (0%)]:[WON''T DO (100%)]])</f>
        <v>37</v>
      </c>
    </row>
    <row r="19" spans="1:9" ht="18" thickBot="1">
      <c r="A19" s="4" t="s">
        <v>97</v>
      </c>
      <c r="B19" s="5">
        <v>3</v>
      </c>
      <c r="C19" s="5">
        <v>1</v>
      </c>
      <c r="D19" s="5">
        <v>0</v>
      </c>
      <c r="E19" s="5">
        <v>0</v>
      </c>
      <c r="F19" s="5">
        <v>0</v>
      </c>
      <c r="G19" s="5">
        <v>14</v>
      </c>
      <c r="H19" s="5">
        <v>8</v>
      </c>
      <c r="I19" s="15">
        <f>SUM(Table5[[#This Row],[To Do (0%)]:[WON''T DO (100%)]])</f>
        <v>26</v>
      </c>
    </row>
    <row r="20" spans="1:9" ht="18" thickBot="1">
      <c r="A20" s="4" t="s">
        <v>88</v>
      </c>
      <c r="B20" s="5">
        <v>2</v>
      </c>
      <c r="C20" s="5">
        <v>1</v>
      </c>
      <c r="D20" s="5">
        <v>0</v>
      </c>
      <c r="E20" s="5">
        <v>0</v>
      </c>
      <c r="F20" s="5">
        <v>0</v>
      </c>
      <c r="G20" s="5">
        <v>14</v>
      </c>
      <c r="H20" s="5">
        <v>10</v>
      </c>
      <c r="I20" s="15">
        <f>SUM(Table5[[#This Row],[To Do (0%)]:[WON''T DO (100%)]])</f>
        <v>27</v>
      </c>
    </row>
    <row r="21" spans="1:9" ht="18" thickBot="1">
      <c r="A21" s="4" t="s">
        <v>98</v>
      </c>
      <c r="B21" s="5">
        <v>2</v>
      </c>
      <c r="C21" s="5">
        <v>1</v>
      </c>
      <c r="D21" s="5">
        <v>0</v>
      </c>
      <c r="E21" s="5">
        <v>0</v>
      </c>
      <c r="F21" s="5">
        <v>0</v>
      </c>
      <c r="G21" s="5">
        <v>17</v>
      </c>
      <c r="H21" s="5">
        <v>3</v>
      </c>
      <c r="I21" s="15">
        <f>SUM(Table5[[#This Row],[To Do (0%)]:[WON''T DO (100%)]])</f>
        <v>23</v>
      </c>
    </row>
    <row r="22" spans="1:9" ht="18" thickBot="1">
      <c r="A22" s="4" t="s">
        <v>101</v>
      </c>
      <c r="B22" s="5">
        <v>4</v>
      </c>
      <c r="C22" s="5">
        <v>0</v>
      </c>
      <c r="D22" s="5">
        <v>0</v>
      </c>
      <c r="E22" s="5">
        <v>1</v>
      </c>
      <c r="F22" s="5">
        <v>1</v>
      </c>
      <c r="G22" s="5">
        <v>2</v>
      </c>
      <c r="H22" s="5">
        <v>0</v>
      </c>
      <c r="I22" s="15">
        <f>SUM(Table5[[#This Row],[To Do (0%)]:[WON''T DO (100%)]])</f>
        <v>8</v>
      </c>
    </row>
    <row r="23" spans="1:9" ht="18" thickBot="1">
      <c r="A23" s="4" t="s">
        <v>103</v>
      </c>
      <c r="B23" s="5">
        <v>12</v>
      </c>
      <c r="C23" s="5">
        <v>1</v>
      </c>
      <c r="D23" s="5">
        <v>0</v>
      </c>
      <c r="E23" s="5">
        <v>0</v>
      </c>
      <c r="F23" s="5">
        <v>0</v>
      </c>
      <c r="G23" s="5">
        <v>1</v>
      </c>
      <c r="H23" s="5">
        <v>2</v>
      </c>
      <c r="I23" s="15">
        <f>SUM(Table5[[#This Row],[To Do (0%)]:[WON''T DO (100%)]])</f>
        <v>16</v>
      </c>
    </row>
  </sheetData>
  <phoneticPr fontId="1" type="noConversion"/>
  <hyperlinks>
    <hyperlink ref="B3" r:id="rId1" display="https://xrspace.atlassian.net/issues/?jql=created+%3E%3D+2025-02-01+AND+created+%3C%3D+2026-12-31+AND+type+%3D+Bug+AND+project+%3D+SOVA+AND+Sprint+%3D+2156+AND+status+%3D+%22To+Do+%280%25%29%22" xr:uid="{2E89BD67-E82F-40C8-BEC1-C75AE1762DD4}"/>
    <hyperlink ref="D3" r:id="rId2" display="https://xrspace.atlassian.net/issues/?jql=created+%3E%3D+2025-02-01+AND+created+%3C%3D+2026-12-31+AND+type+%3D+Bug+AND+project+%3D+SOVA+AND+Sprint+%3D+2156+AND+status+%3D+%22In+Progress+%2850+%7E+70%25%29%22" xr:uid="{CE68594B-05B5-439D-ABF6-5E224651926C}"/>
    <hyperlink ref="G3" r:id="rId3" display="https://xrspace.atlassian.net/issues/?jql=created+%3E%3D+2025-02-01+AND+created+%3C%3D+2026-12-31+AND+type+%3D+Bug+AND+project+%3D+SOVA+AND+Sprint+%3D+2156+AND+status+%3D+%22Done+%28100%25%29%22" xr:uid="{16B2C8C9-3A8B-40E7-931D-D65D22AE3CD4}"/>
    <hyperlink ref="E3" r:id="rId4" display="https://xrspace.atlassian.net/issues/?jql=created+%3E%3D+2025-02-01+AND+created+%3C%3D+2026-12-31+AND+type+%3D+Bug+AND+project+%3D+SOVA+AND+Sprint+%3D+2156+AND+status+%3D+%22IN+REVIEW+%2880%25%29%22" xr:uid="{F80B2EE8-6F43-4A21-936D-BB1691FECE3F}"/>
    <hyperlink ref="H3" r:id="rId5" display="https://xrspace.atlassian.net/issues/?jql=created+%3E%3D+2025-02-01+AND+created+%3C%3D+2026-12-31+AND+type+%3D+Bug+AND+project+%3D+SOVA+AND+Sprint+%3D+2156+AND+status+%3D+%22WON%27T+DO+%28100%25%29%22" xr:uid="{83D942D3-9D1A-4653-A4F7-92653DC57152}"/>
    <hyperlink ref="C3" r:id="rId6" display="https://xrspace.atlassian.net/issues/?jql=created+%3E%3D+2025-02-01+AND+created+%3C%3D+2026-12-31+AND+type+%3D+Bug+AND+project+%3D+SOVA+AND+Sprint+%3D+2156+AND+status+%3D+%22STARTING+%2810+%7E+40%25%29%22" xr:uid="{6858E24F-A30E-49F6-85D9-8A178C601108}"/>
    <hyperlink ref="F3" r:id="rId7" display="https://xrspace.atlassian.net/issues/?jql=created+%3E%3D+2025-02-01+AND+created+%3C%3D+2026-12-31+AND+type+%3D+Bug+AND+project+%3D+SOVA+AND+Sprint+%3D+2156+AND+status+%3D+%22READY+FOR+TESTING+%2890%25%29%22" xr:uid="{CB746032-1F1C-4517-B8D9-F83590C5203E}"/>
    <hyperlink ref="B4" r:id="rId8" display="https://xrspace.atlassian.net/issues/?jql=created+%3E%3D+2025-02-01+AND+created+%3C%3D+2026-12-31+AND+type+%3D+Bug+AND+project+%3D+SOVA+AND+Sprint+%3D+2157+AND+status+%3D+%22To+Do+%280%25%29%22" xr:uid="{B2F8D5A2-085E-4DB3-ADDA-31206FAC0F08}"/>
    <hyperlink ref="D4" r:id="rId9" display="https://xrspace.atlassian.net/issues/?jql=created+%3E%3D+2025-02-01+AND+created+%3C%3D+2026-12-31+AND+type+%3D+Bug+AND+project+%3D+SOVA+AND+Sprint+%3D+2157+AND+status+%3D+%22In+Progress+%2850+%7E+70%25%29%22" xr:uid="{3E78776A-2D07-4253-ABE7-334DDB0FB9E2}"/>
    <hyperlink ref="G4" r:id="rId10" display="https://xrspace.atlassian.net/issues/?jql=created+%3E%3D+2025-02-01+AND+created+%3C%3D+2026-12-31+AND+type+%3D+Bug+AND+project+%3D+SOVA+AND+Sprint+%3D+2157+AND+status+%3D+%22Done+%28100%25%29%22" xr:uid="{C3CC27E3-B01E-406C-A967-DF7DA7607A5D}"/>
    <hyperlink ref="E4" r:id="rId11" display="https://xrspace.atlassian.net/issues/?jql=created+%3E%3D+2025-02-01+AND+created+%3C%3D+2026-12-31+AND+type+%3D+Bug+AND+project+%3D+SOVA+AND+Sprint+%3D+2157+AND+status+%3D+%22IN+REVIEW+%2880%25%29%22" xr:uid="{E6398583-3C00-4F7F-B28D-7FD57C0FD060}"/>
    <hyperlink ref="H4" r:id="rId12" display="https://xrspace.atlassian.net/issues/?jql=created+%3E%3D+2025-02-01+AND+created+%3C%3D+2026-12-31+AND+type+%3D+Bug+AND+project+%3D+SOVA+AND+Sprint+%3D+2157+AND+status+%3D+%22WON%27T+DO+%28100%25%29%22" xr:uid="{519A46AB-68AE-43A0-872E-326C2091E8AE}"/>
    <hyperlink ref="C4" r:id="rId13" display="https://xrspace.atlassian.net/issues/?jql=created+%3E%3D+2025-02-01+AND+created+%3C%3D+2026-12-31+AND+type+%3D+Bug+AND+project+%3D+SOVA+AND+Sprint+%3D+2157+AND+status+%3D+%22STARTING+%2810+%7E+40%25%29%22" xr:uid="{F6EE11D3-A2B5-49A7-B7A9-5F20876A4914}"/>
    <hyperlink ref="F4" r:id="rId14" display="https://xrspace.atlassian.net/issues/?jql=created+%3E%3D+2025-02-01+AND+created+%3C%3D+2026-12-31+AND+type+%3D+Bug+AND+project+%3D+SOVA+AND+Sprint+%3D+2157+AND+status+%3D+%22READY+FOR+TESTING+%2890%25%29%22" xr:uid="{5F52DAC0-08A3-4BEB-A07D-31EFB54604AD}"/>
    <hyperlink ref="B5" r:id="rId15" display="https://xrspace.atlassian.net/issues/?jql=created+%3E%3D+2025-02-01+AND+created+%3C%3D+2026-12-31+AND+type+%3D+Bug+AND+project+%3D+SOVA+AND+Sprint+%3D+2618+AND+status+%3D+%22To+Do+%280%25%29%22" xr:uid="{A646B8B7-0971-4DD1-B26D-A6E8CD087FB1}"/>
    <hyperlink ref="D5" r:id="rId16" display="https://xrspace.atlassian.net/issues/?jql=created+%3E%3D+2025-02-01+AND+created+%3C%3D+2026-12-31+AND+type+%3D+Bug+AND+project+%3D+SOVA+AND+Sprint+%3D+2618+AND+status+%3D+%22In+Progress+%2850+%7E+70%25%29%22" xr:uid="{923AB338-49D5-459F-98DA-8089E6B15BD6}"/>
    <hyperlink ref="G5" r:id="rId17" display="https://xrspace.atlassian.net/issues/?jql=created+%3E%3D+2025-02-01+AND+created+%3C%3D+2026-12-31+AND+type+%3D+Bug+AND+project+%3D+SOVA+AND+Sprint+%3D+2618+AND+status+%3D+%22Done+%28100%25%29%22" xr:uid="{B1041FF6-9D3D-4987-B359-861CA80DFB51}"/>
    <hyperlink ref="E5" r:id="rId18" display="https://xrspace.atlassian.net/issues/?jql=created+%3E%3D+2025-02-01+AND+created+%3C%3D+2026-12-31+AND+type+%3D+Bug+AND+project+%3D+SOVA+AND+Sprint+%3D+2618+AND+status+%3D+%22IN+REVIEW+%2880%25%29%22" xr:uid="{FEB57DC8-3D44-4E96-9EE8-84E2088A9213}"/>
    <hyperlink ref="H5" r:id="rId19" display="https://xrspace.atlassian.net/issues/?jql=created+%3E%3D+2025-02-01+AND+created+%3C%3D+2026-12-31+AND+type+%3D+Bug+AND+project+%3D+SOVA+AND+Sprint+%3D+2618+AND+status+%3D+%22WON%27T+DO+%28100%25%29%22" xr:uid="{7D698F4D-1721-4621-8E2C-3C4134EAF238}"/>
    <hyperlink ref="C5" r:id="rId20" display="https://xrspace.atlassian.net/issues/?jql=created+%3E%3D+2025-02-01+AND+created+%3C%3D+2026-12-31+AND+type+%3D+Bug+AND+project+%3D+SOVA+AND+Sprint+%3D+2618+AND+status+%3D+%22STARTING+%2810+%7E+40%25%29%22" xr:uid="{8EF79D6E-DA29-4D2C-86D6-4C5E5D066483}"/>
    <hyperlink ref="F5" r:id="rId21" display="https://xrspace.atlassian.net/issues/?jql=created+%3E%3D+2025-02-01+AND+created+%3C%3D+2026-12-31+AND+type+%3D+Bug+AND+project+%3D+SOVA+AND+Sprint+%3D+2618+AND+status+%3D+%22READY+FOR+TESTING+%2890%25%29%22" xr:uid="{8CF44EDF-B169-44D5-A51F-4FAE6424B61F}"/>
    <hyperlink ref="B6" r:id="rId22" display="https://xrspace.atlassian.net/issues/?jql=created+%3E%3D+2025-02-01+AND+created+%3C%3D+2026-12-31+AND+type+%3D+Bug+AND+project+%3D+SOVA+AND+Sprint+%3D+2619+AND+status+%3D+%22To+Do+%280%25%29%22" xr:uid="{911D7FBC-025B-4976-830A-41BCC620D465}"/>
    <hyperlink ref="D6" r:id="rId23" display="https://xrspace.atlassian.net/issues/?jql=created+%3E%3D+2025-02-01+AND+created+%3C%3D+2026-12-31+AND+type+%3D+Bug+AND+project+%3D+SOVA+AND+Sprint+%3D+2619+AND+status+%3D+%22In+Progress+%2850+%7E+70%25%29%22" xr:uid="{B66C08DD-49B5-4098-917B-C432A2AFA235}"/>
    <hyperlink ref="G6" r:id="rId24" display="https://xrspace.atlassian.net/issues/?jql=created+%3E%3D+2025-02-01+AND+created+%3C%3D+2026-12-31+AND+type+%3D+Bug+AND+project+%3D+SOVA+AND+Sprint+%3D+2619+AND+status+%3D+%22Done+%28100%25%29%22" xr:uid="{4AAB7F3F-7FA2-4192-9F4C-A5E8B4B34B50}"/>
    <hyperlink ref="E6" r:id="rId25" display="https://xrspace.atlassian.net/issues/?jql=created+%3E%3D+2025-02-01+AND+created+%3C%3D+2026-12-31+AND+type+%3D+Bug+AND+project+%3D+SOVA+AND+Sprint+%3D+2619+AND+status+%3D+%22IN+REVIEW+%2880%25%29%22" xr:uid="{489B53F6-26B4-4FC6-888E-058A9A604986}"/>
    <hyperlink ref="H6" r:id="rId26" display="https://xrspace.atlassian.net/issues/?jql=created+%3E%3D+2025-02-01+AND+created+%3C%3D+2026-12-31+AND+type+%3D+Bug+AND+project+%3D+SOVA+AND+Sprint+%3D+2619+AND+status+%3D+%22WON%27T+DO+%28100%25%29%22" xr:uid="{EFBC54BF-F37D-4DBE-8193-022E039E2E4E}"/>
    <hyperlink ref="C6" r:id="rId27" display="https://xrspace.atlassian.net/issues/?jql=created+%3E%3D+2025-02-01+AND+created+%3C%3D+2026-12-31+AND+type+%3D+Bug+AND+project+%3D+SOVA+AND+Sprint+%3D+2619+AND+status+%3D+%22STARTING+%2810+%7E+40%25%29%22" xr:uid="{3BCF4CC0-0C8F-47A4-A4B4-77422F935731}"/>
    <hyperlink ref="F6" r:id="rId28" display="https://xrspace.atlassian.net/issues/?jql=created+%3E%3D+2025-02-01+AND+created+%3C%3D+2026-12-31+AND+type+%3D+Bug+AND+project+%3D+SOVA+AND+Sprint+%3D+2619+AND+status+%3D+%22READY+FOR+TESTING+%2890%25%29%22" xr:uid="{0D5BAF70-4E45-4457-844E-24430A4C04CA}"/>
    <hyperlink ref="B7" r:id="rId29" display="https://xrspace.atlassian.net/issues/?jql=created+%3E%3D+2025-02-01+AND+created+%3C%3D+2026-12-31+AND+type+%3D+Bug+AND+project+%3D+SOVA+AND+Sprint+%3D+2882+AND+status+%3D+%22To+Do+%280%25%29%22" xr:uid="{DAEFF370-805B-4A77-84A2-0B7F8A8FA0DA}"/>
    <hyperlink ref="D7" r:id="rId30" display="https://xrspace.atlassian.net/issues/?jql=created+%3E%3D+2025-02-01+AND+created+%3C%3D+2026-12-31+AND+type+%3D+Bug+AND+project+%3D+SOVA+AND+Sprint+%3D+2882+AND+status+%3D+%22In+Progress+%2850+%7E+70%25%29%22" xr:uid="{05653456-A1F8-43D9-9C88-FAF05EB698F3}"/>
    <hyperlink ref="G7" r:id="rId31" display="https://xrspace.atlassian.net/issues/?jql=created+%3E%3D+2025-02-01+AND+created+%3C%3D+2026-12-31+AND+type+%3D+Bug+AND+project+%3D+SOVA+AND+Sprint+%3D+2882+AND+status+%3D+%22Done+%28100%25%29%22" xr:uid="{50D9C598-8DD3-4888-A128-7DEB5883CCA1}"/>
    <hyperlink ref="E7" r:id="rId32" display="https://xrspace.atlassian.net/issues/?jql=created+%3E%3D+2025-02-01+AND+created+%3C%3D+2026-12-31+AND+type+%3D+Bug+AND+project+%3D+SOVA+AND+Sprint+%3D+2882+AND+status+%3D+%22IN+REVIEW+%2880%25%29%22" xr:uid="{099CB461-FBCD-4E92-A593-A7F207B687D3}"/>
    <hyperlink ref="H7" r:id="rId33" display="https://xrspace.atlassian.net/issues/?jql=created+%3E%3D+2025-02-01+AND+created+%3C%3D+2026-12-31+AND+type+%3D+Bug+AND+project+%3D+SOVA+AND+Sprint+%3D+2882+AND+status+%3D+%22WON%27T+DO+%28100%25%29%22" xr:uid="{A6601550-6D51-4848-BC23-A14FAB028956}"/>
    <hyperlink ref="C7" r:id="rId34" display="https://xrspace.atlassian.net/issues/?jql=created+%3E%3D+2025-02-01+AND+created+%3C%3D+2026-12-31+AND+type+%3D+Bug+AND+project+%3D+SOVA+AND+Sprint+%3D+2882+AND+status+%3D+%22STARTING+%2810+%7E+40%25%29%22" xr:uid="{60BF019F-8A36-4A79-BC18-83519AB51D9C}"/>
    <hyperlink ref="F7" r:id="rId35" display="https://xrspace.atlassian.net/issues/?jql=created+%3E%3D+2025-02-01+AND+created+%3C%3D+2026-12-31+AND+type+%3D+Bug+AND+project+%3D+SOVA+AND+Sprint+%3D+2882+AND+status+%3D+%22READY+FOR+TESTING+%2890%25%29%22" xr:uid="{E84B921C-75F0-490B-BDDB-FF92B34C4FF5}"/>
    <hyperlink ref="B8" r:id="rId36" display="https://xrspace.atlassian.net/issues/?jql=created+%3E%3D+2025-02-01+AND+created+%3C%3D+2026-12-31+AND+type+%3D+Bug+AND+project+%3D+SOVA+AND+Sprint+%3D+3213+AND+status+%3D+%22To+Do+%280%25%29%22" xr:uid="{5E07B0DD-60BA-463D-A4B3-613C5D2455F3}"/>
    <hyperlink ref="D8" r:id="rId37" display="https://xrspace.atlassian.net/issues/?jql=created+%3E%3D+2025-02-01+AND+created+%3C%3D+2026-12-31+AND+type+%3D+Bug+AND+project+%3D+SOVA+AND+Sprint+%3D+3213+AND+status+%3D+%22In+Progress+%2850+%7E+70%25%29%22" xr:uid="{D3B923DA-392F-42A2-8618-BA98D75D1FBD}"/>
    <hyperlink ref="G8" r:id="rId38" display="https://xrspace.atlassian.net/issues/?jql=created+%3E%3D+2025-02-01+AND+created+%3C%3D+2026-12-31+AND+type+%3D+Bug+AND+project+%3D+SOVA+AND+Sprint+%3D+3213+AND+status+%3D+%22Done+%28100%25%29%22" xr:uid="{3C2F2BEF-077E-4998-87D1-DA163ECB865B}"/>
    <hyperlink ref="E8" r:id="rId39" display="https://xrspace.atlassian.net/issues/?jql=created+%3E%3D+2025-02-01+AND+created+%3C%3D+2026-12-31+AND+type+%3D+Bug+AND+project+%3D+SOVA+AND+Sprint+%3D+3213+AND+status+%3D+%22IN+REVIEW+%2880%25%29%22" xr:uid="{7F0BE0E1-1604-422F-A9D5-20B5B4535F81}"/>
    <hyperlink ref="H8" r:id="rId40" display="https://xrspace.atlassian.net/issues/?jql=created+%3E%3D+2025-02-01+AND+created+%3C%3D+2026-12-31+AND+type+%3D+Bug+AND+project+%3D+SOVA+AND+Sprint+%3D+3213+AND+status+%3D+%22WON%27T+DO+%28100%25%29%22" xr:uid="{B40CF1D5-8586-4021-908A-FABE941256CB}"/>
    <hyperlink ref="C8" r:id="rId41" display="https://xrspace.atlassian.net/issues/?jql=created+%3E%3D+2025-02-01+AND+created+%3C%3D+2026-12-31+AND+type+%3D+Bug+AND+project+%3D+SOVA+AND+Sprint+%3D+3213+AND+status+%3D+%22STARTING+%2810+%7E+40%25%29%22" xr:uid="{19A269D5-AC55-4F5F-9596-7072E9D5109C}"/>
    <hyperlink ref="F8" r:id="rId42" display="https://xrspace.atlassian.net/issues/?jql=created+%3E%3D+2025-02-01+AND+created+%3C%3D+2026-12-31+AND+type+%3D+Bug+AND+project+%3D+SOVA+AND+Sprint+%3D+3213+AND+status+%3D+%22READY+FOR+TESTING+%2890%25%29%22" xr:uid="{4E62FBB5-69CA-405E-8F8D-5C4F61B49F25}"/>
    <hyperlink ref="B9" r:id="rId43" display="https://xrspace.atlassian.net/issues/?jql=created+%3E%3D+2025-02-01+AND+created+%3C%3D+2026-12-31+AND+type+%3D+Bug+AND+project+%3D+SOVA+AND+Sprint+%3D+3245+AND+status+%3D+%22To+Do+%280%25%29%22" xr:uid="{D54C2677-4CA1-4A92-BDC4-67D05A92F3C0}"/>
    <hyperlink ref="D9" r:id="rId44" display="https://xrspace.atlassian.net/issues/?jql=created+%3E%3D+2025-02-01+AND+created+%3C%3D+2026-12-31+AND+type+%3D+Bug+AND+project+%3D+SOVA+AND+Sprint+%3D+3245+AND+status+%3D+%22In+Progress+%2850+%7E+70%25%29%22" xr:uid="{2FFEC7E5-8BF7-4E69-9C5D-957F20D58D6A}"/>
    <hyperlink ref="G9" r:id="rId45" display="https://xrspace.atlassian.net/issues/?jql=created+%3E%3D+2025-02-01+AND+created+%3C%3D+2026-12-31+AND+type+%3D+Bug+AND+project+%3D+SOVA+AND+Sprint+%3D+3245+AND+status+%3D+%22Done+%28100%25%29%22" xr:uid="{A6F4D715-A3C5-47F8-A59C-4ECD3E426502}"/>
    <hyperlink ref="E9" r:id="rId46" display="https://xrspace.atlassian.net/issues/?jql=created+%3E%3D+2025-02-01+AND+created+%3C%3D+2026-12-31+AND+type+%3D+Bug+AND+project+%3D+SOVA+AND+Sprint+%3D+3245+AND+status+%3D+%22IN+REVIEW+%2880%25%29%22" xr:uid="{8935967A-8E75-4D9B-82BC-4AD5B39DDA37}"/>
    <hyperlink ref="H9" r:id="rId47" display="https://xrspace.atlassian.net/issues/?jql=created+%3E%3D+2025-02-01+AND+created+%3C%3D+2026-12-31+AND+type+%3D+Bug+AND+project+%3D+SOVA+AND+Sprint+%3D+3245+AND+status+%3D+%22WON%27T+DO+%28100%25%29%22" xr:uid="{E6BE219D-9527-4CF3-880D-1F56A7A831B7}"/>
    <hyperlink ref="C9" r:id="rId48" display="https://xrspace.atlassian.net/issues/?jql=created+%3E%3D+2025-02-01+AND+created+%3C%3D+2026-12-31+AND+type+%3D+Bug+AND+project+%3D+SOVA+AND+Sprint+%3D+3245+AND+status+%3D+%22STARTING+%2810+%7E+40%25%29%22" xr:uid="{C3949D62-CB7D-4434-A21A-E4DEC6B0EAFC}"/>
    <hyperlink ref="F9" r:id="rId49" display="https://xrspace.atlassian.net/issues/?jql=created+%3E%3D+2025-02-01+AND+created+%3C%3D+2026-12-31+AND+type+%3D+Bug+AND+project+%3D+SOVA+AND+Sprint+%3D+3245+AND+status+%3D+%22READY+FOR+TESTING+%2890%25%29%22" xr:uid="{0C30E5AA-F786-4DF6-9C85-F8C6A9F80A41}"/>
    <hyperlink ref="B10" r:id="rId50" display="https://xrspace.atlassian.net/issues/?jql=created+%3E%3D+2025-02-01+AND+created+%3C%3D+2026-12-31+AND+type+%3D+Bug+AND+project+%3D+SOVA+AND+Sprint+%3D+3246+AND+status+%3D+%22To+Do+%280%25%29%22" xr:uid="{43EAC04B-BFEB-441A-9EF8-72579DE6B84D}"/>
    <hyperlink ref="D10" r:id="rId51" display="https://xrspace.atlassian.net/issues/?jql=created+%3E%3D+2025-02-01+AND+created+%3C%3D+2026-12-31+AND+type+%3D+Bug+AND+project+%3D+SOVA+AND+Sprint+%3D+3246+AND+status+%3D+%22In+Progress+%2850+%7E+70%25%29%22" xr:uid="{806B7B22-6B6C-4660-B79E-C5CDC90D38A7}"/>
    <hyperlink ref="G10" r:id="rId52" display="https://xrspace.atlassian.net/issues/?jql=created+%3E%3D+2025-02-01+AND+created+%3C%3D+2026-12-31+AND+type+%3D+Bug+AND+project+%3D+SOVA+AND+Sprint+%3D+3246+AND+status+%3D+%22Done+%28100%25%29%22" xr:uid="{602DCC85-DBB0-4ACF-839B-3B92093B2D9E}"/>
    <hyperlink ref="E10" r:id="rId53" display="https://xrspace.atlassian.net/issues/?jql=created+%3E%3D+2025-02-01+AND+created+%3C%3D+2026-12-31+AND+type+%3D+Bug+AND+project+%3D+SOVA+AND+Sprint+%3D+3246+AND+status+%3D+%22IN+REVIEW+%2880%25%29%22" xr:uid="{3CBEDAC9-4ED9-4904-82E5-C1B7C97D8F84}"/>
    <hyperlink ref="H10" r:id="rId54" display="https://xrspace.atlassian.net/issues/?jql=created+%3E%3D+2025-02-01+AND+created+%3C%3D+2026-12-31+AND+type+%3D+Bug+AND+project+%3D+SOVA+AND+Sprint+%3D+3246+AND+status+%3D+%22WON%27T+DO+%28100%25%29%22" xr:uid="{D0350FA7-ED6F-4A24-97CF-732FB82FDAF1}"/>
    <hyperlink ref="C10" r:id="rId55" display="https://xrspace.atlassian.net/issues/?jql=created+%3E%3D+2025-02-01+AND+created+%3C%3D+2026-12-31+AND+type+%3D+Bug+AND+project+%3D+SOVA+AND+Sprint+%3D+3246+AND+status+%3D+%22STARTING+%2810+%7E+40%25%29%22" xr:uid="{E5419792-E975-4A51-9919-97EC3338E327}"/>
    <hyperlink ref="F10" r:id="rId56" display="https://xrspace.atlassian.net/issues/?jql=created+%3E%3D+2025-02-01+AND+created+%3C%3D+2026-12-31+AND+type+%3D+Bug+AND+project+%3D+SOVA+AND+Sprint+%3D+3246+AND+status+%3D+%22READY+FOR+TESTING+%2890%25%29%22" xr:uid="{CB65C645-7525-4D05-8C19-0E9E241665E7}"/>
    <hyperlink ref="B11" r:id="rId57" display="https://xrspace.atlassian.net/issues/?jql=created+%3E%3D+2025-02-01+AND+created+%3C%3D+2026-12-31+AND+type+%3D+Bug+AND+project+%3D+SOVA+AND+Sprint+%3D+3575+AND+status+%3D+%22To+Do+%280%25%29%22" xr:uid="{98C023C1-CA96-4DE3-9881-22BE5942C024}"/>
    <hyperlink ref="D11" r:id="rId58" display="https://xrspace.atlassian.net/issues/?jql=created+%3E%3D+2025-02-01+AND+created+%3C%3D+2026-12-31+AND+type+%3D+Bug+AND+project+%3D+SOVA+AND+Sprint+%3D+3575+AND+status+%3D+%22In+Progress+%2850+%7E+70%25%29%22" xr:uid="{E4B9E15D-623F-4067-AA91-9FBD71257620}"/>
    <hyperlink ref="G11" r:id="rId59" display="https://xrspace.atlassian.net/issues/?jql=created+%3E%3D+2025-02-01+AND+created+%3C%3D+2026-12-31+AND+type+%3D+Bug+AND+project+%3D+SOVA+AND+Sprint+%3D+3575+AND+status+%3D+%22Done+%28100%25%29%22" xr:uid="{1651BF54-EBC4-4D25-805D-7013CFA7B979}"/>
    <hyperlink ref="E11" r:id="rId60" display="https://xrspace.atlassian.net/issues/?jql=created+%3E%3D+2025-02-01+AND+created+%3C%3D+2026-12-31+AND+type+%3D+Bug+AND+project+%3D+SOVA+AND+Sprint+%3D+3575+AND+status+%3D+%22IN+REVIEW+%2880%25%29%22" xr:uid="{1D31493D-95B1-43EC-B513-4BE1928C24BC}"/>
    <hyperlink ref="H11" r:id="rId61" display="https://xrspace.atlassian.net/issues/?jql=created+%3E%3D+2025-02-01+AND+created+%3C%3D+2026-12-31+AND+type+%3D+Bug+AND+project+%3D+SOVA+AND+Sprint+%3D+3575+AND+status+%3D+%22WON%27T+DO+%28100%25%29%22" xr:uid="{FAF2E04C-57F4-48B5-A00F-0CA839212DBB}"/>
    <hyperlink ref="C11" r:id="rId62" display="https://xrspace.atlassian.net/issues/?jql=created+%3E%3D+2025-02-01+AND+created+%3C%3D+2026-12-31+AND+type+%3D+Bug+AND+project+%3D+SOVA+AND+Sprint+%3D+3575+AND+status+%3D+%22STARTING+%2810+%7E+40%25%29%22" xr:uid="{D5B6D1DD-7C98-4336-BA2C-7F8C7726903B}"/>
    <hyperlink ref="F11" r:id="rId63" display="https://xrspace.atlassian.net/issues/?jql=created+%3E%3D+2025-02-01+AND+created+%3C%3D+2026-12-31+AND+type+%3D+Bug+AND+project+%3D+SOVA+AND+Sprint+%3D+3575+AND+status+%3D+%22READY+FOR+TESTING+%2890%25%29%22" xr:uid="{CD4BA075-234D-409A-9674-39E0B6B1F7CA}"/>
    <hyperlink ref="B12" r:id="rId64" display="https://xrspace.atlassian.net/issues/?jql=created+%3E%3D+2025-02-01+AND+created+%3C%3D+2026-12-31+AND+type+%3D+Bug+AND+project+%3D+SOVA+AND+Sprint+%3D+3608+AND+status+%3D+%22To+Do+%280%25%29%22" xr:uid="{29406032-B0F5-48BB-9AEC-1066990CE16E}"/>
    <hyperlink ref="D12" r:id="rId65" display="https://xrspace.atlassian.net/issues/?jql=created+%3E%3D+2025-02-01+AND+created+%3C%3D+2026-12-31+AND+type+%3D+Bug+AND+project+%3D+SOVA+AND+Sprint+%3D+3608+AND+status+%3D+%22In+Progress+%2850+%7E+70%25%29%22" xr:uid="{E00E0956-DF54-4C37-B6EA-D2397D5BC071}"/>
    <hyperlink ref="G12" r:id="rId66" display="https://xrspace.atlassian.net/issues/?jql=created+%3E%3D+2025-02-01+AND+created+%3C%3D+2026-12-31+AND+type+%3D+Bug+AND+project+%3D+SOVA+AND+Sprint+%3D+3608+AND+status+%3D+%22Done+%28100%25%29%22" xr:uid="{03654FC0-CBAB-4373-87DC-4C9D6739012A}"/>
    <hyperlink ref="E12" r:id="rId67" display="https://xrspace.atlassian.net/issues/?jql=created+%3E%3D+2025-02-01+AND+created+%3C%3D+2026-12-31+AND+type+%3D+Bug+AND+project+%3D+SOVA+AND+Sprint+%3D+3608+AND+status+%3D+%22IN+REVIEW+%2880%25%29%22" xr:uid="{87304B2D-730C-4C3C-97B6-3F59F76BA727}"/>
    <hyperlink ref="H12" r:id="rId68" display="https://xrspace.atlassian.net/issues/?jql=created+%3E%3D+2025-02-01+AND+created+%3C%3D+2026-12-31+AND+type+%3D+Bug+AND+project+%3D+SOVA+AND+Sprint+%3D+3608+AND+status+%3D+%22WON%27T+DO+%28100%25%29%22" xr:uid="{CADA6C1F-37B4-44B0-9315-D33BE03CDE50}"/>
    <hyperlink ref="C12" r:id="rId69" display="https://xrspace.atlassian.net/issues/?jql=created+%3E%3D+2025-02-01+AND+created+%3C%3D+2026-12-31+AND+type+%3D+Bug+AND+project+%3D+SOVA+AND+Sprint+%3D+3608+AND+status+%3D+%22STARTING+%2810+%7E+40%25%29%22" xr:uid="{E626E510-0C01-4031-9BBC-0941F5595CE9}"/>
    <hyperlink ref="F12" r:id="rId70" display="https://xrspace.atlassian.net/issues/?jql=created+%3E%3D+2025-02-01+AND+created+%3C%3D+2026-12-31+AND+type+%3D+Bug+AND+project+%3D+SOVA+AND+Sprint+%3D+3608+AND+status+%3D+%22READY+FOR+TESTING+%2890%25%29%22" xr:uid="{58D199FE-216C-4278-9252-288B59744BFB}"/>
    <hyperlink ref="B13" r:id="rId71" display="https://xrspace.atlassian.net/issues/?jql=created+%3E%3D+2025-02-01+AND+created+%3C%3D+2026-12-31+AND+type+%3D+Bug+AND+project+%3D+SOVA+AND+Sprint+%3D+3872+AND+status+%3D+%22To+Do+%280%25%29%22" xr:uid="{222A7DC7-EB7D-450A-B1AE-D923F7A32A8A}"/>
    <hyperlink ref="D13" r:id="rId72" display="https://xrspace.atlassian.net/issues/?jql=created+%3E%3D+2025-02-01+AND+created+%3C%3D+2026-12-31+AND+type+%3D+Bug+AND+project+%3D+SOVA+AND+Sprint+%3D+3872+AND+status+%3D+%22In+Progress+%2850+%7E+70%25%29%22" xr:uid="{328268AC-ECED-4914-A5D0-3760E987F72A}"/>
    <hyperlink ref="G13" r:id="rId73" display="https://xrspace.atlassian.net/issues/?jql=created+%3E%3D+2025-02-01+AND+created+%3C%3D+2026-12-31+AND+type+%3D+Bug+AND+project+%3D+SOVA+AND+Sprint+%3D+3872+AND+status+%3D+%22Done+%28100%25%29%22" xr:uid="{508349F9-BD2F-4BA1-ABD8-6A09096BC099}"/>
    <hyperlink ref="E13" r:id="rId74" display="https://xrspace.atlassian.net/issues/?jql=created+%3E%3D+2025-02-01+AND+created+%3C%3D+2026-12-31+AND+type+%3D+Bug+AND+project+%3D+SOVA+AND+Sprint+%3D+3872+AND+status+%3D+%22IN+REVIEW+%2880%25%29%22" xr:uid="{A16CA7F6-BC81-4FAF-9406-B360BF52AEF9}"/>
    <hyperlink ref="H13" r:id="rId75" display="https://xrspace.atlassian.net/issues/?jql=created+%3E%3D+2025-02-01+AND+created+%3C%3D+2026-12-31+AND+type+%3D+Bug+AND+project+%3D+SOVA+AND+Sprint+%3D+3872+AND+status+%3D+%22WON%27T+DO+%28100%25%29%22" xr:uid="{8384757C-0F35-4AEB-8947-EEBB77DC6DD4}"/>
    <hyperlink ref="C13" r:id="rId76" display="https://xrspace.atlassian.net/issues/?jql=created+%3E%3D+2025-02-01+AND+created+%3C%3D+2026-12-31+AND+type+%3D+Bug+AND+project+%3D+SOVA+AND+Sprint+%3D+3872+AND+status+%3D+%22STARTING+%2810+%7E+40%25%29%22" xr:uid="{409B237A-DBE0-4DCC-873F-357F180266F0}"/>
    <hyperlink ref="F13" r:id="rId77" display="https://xrspace.atlassian.net/issues/?jql=created+%3E%3D+2025-02-01+AND+created+%3C%3D+2026-12-31+AND+type+%3D+Bug+AND+project+%3D+SOVA+AND+Sprint+%3D+3872+AND+status+%3D+%22READY+FOR+TESTING+%2890%25%29%22" xr:uid="{1ABA134C-F280-4679-9837-FB1B38D5C38D}"/>
    <hyperlink ref="B14" r:id="rId78" display="https://xrspace.atlassian.net/issues/?jql=created+%3E%3D+2025-02-01+AND+created+%3C%3D+2026-12-31+AND+type+%3D+Bug+AND+project+%3D+SOVA+AND+Sprint+%3D+3873+AND+status+%3D+%22To+Do+%280%25%29%22" xr:uid="{76CD4825-7A16-4AFF-BAC8-DEAE642EDFFF}"/>
    <hyperlink ref="D14" r:id="rId79" display="https://xrspace.atlassian.net/issues/?jql=created+%3E%3D+2025-02-01+AND+created+%3C%3D+2026-12-31+AND+type+%3D+Bug+AND+project+%3D+SOVA+AND+Sprint+%3D+3873+AND+status+%3D+%22In+Progress+%2850+%7E+70%25%29%22" xr:uid="{CCDFDD0B-E2D4-4307-9622-7B69E54B658B}"/>
    <hyperlink ref="G14" r:id="rId80" display="https://xrspace.atlassian.net/issues/?jql=created+%3E%3D+2025-02-01+AND+created+%3C%3D+2026-12-31+AND+type+%3D+Bug+AND+project+%3D+SOVA+AND+Sprint+%3D+3873+AND+status+%3D+%22Done+%28100%25%29%22" xr:uid="{24A02E7F-E95F-41FC-ABA2-5B08EFE17316}"/>
    <hyperlink ref="E14" r:id="rId81" display="https://xrspace.atlassian.net/issues/?jql=created+%3E%3D+2025-02-01+AND+created+%3C%3D+2026-12-31+AND+type+%3D+Bug+AND+project+%3D+SOVA+AND+Sprint+%3D+3873+AND+status+%3D+%22IN+REVIEW+%2880%25%29%22" xr:uid="{7660F657-FF1A-4590-940B-D0E40E4E0176}"/>
    <hyperlink ref="H14" r:id="rId82" display="https://xrspace.atlassian.net/issues/?jql=created+%3E%3D+2025-02-01+AND+created+%3C%3D+2026-12-31+AND+type+%3D+Bug+AND+project+%3D+SOVA+AND+Sprint+%3D+3873+AND+status+%3D+%22WON%27T+DO+%28100%25%29%22" xr:uid="{29879DB2-9140-4D2A-8DDD-756C10B8D867}"/>
    <hyperlink ref="C14" r:id="rId83" display="https://xrspace.atlassian.net/issues/?jql=created+%3E%3D+2025-02-01+AND+created+%3C%3D+2026-12-31+AND+type+%3D+Bug+AND+project+%3D+SOVA+AND+Sprint+%3D+3873+AND+status+%3D+%22STARTING+%2810+%7E+40%25%29%22" xr:uid="{E42A6969-0106-45A4-89C7-44DFF5E48382}"/>
    <hyperlink ref="F14" r:id="rId84" display="https://xrspace.atlassian.net/issues/?jql=created+%3E%3D+2025-02-01+AND+created+%3C%3D+2026-12-31+AND+type+%3D+Bug+AND+project+%3D+SOVA+AND+Sprint+%3D+3873+AND+status+%3D+%22READY+FOR+TESTING+%2890%25%29%22" xr:uid="{36B9BB2A-03B5-45C3-BF7E-9A8A49ADFBA3}"/>
    <hyperlink ref="B15" r:id="rId85" display="https://xrspace.atlassian.net/issues/?jql=created+%3E%3D+2025-02-01+AND+created+%3C%3D+2026-12-31+AND+type+%3D+Bug+AND+project+%3D+SOVA+AND+Sprint+%3D+4140+AND+status+%3D+%22To+Do+%280%25%29%22" xr:uid="{919841E7-1318-4DA4-AE19-8168268A5864}"/>
    <hyperlink ref="D15" r:id="rId86" display="https://xrspace.atlassian.net/issues/?jql=created+%3E%3D+2025-02-01+AND+created+%3C%3D+2026-12-31+AND+type+%3D+Bug+AND+project+%3D+SOVA+AND+Sprint+%3D+4140+AND+status+%3D+%22In+Progress+%2850+%7E+70%25%29%22" xr:uid="{327A751E-138B-477D-A24E-B4EC7AB2D3D9}"/>
    <hyperlink ref="G15" r:id="rId87" display="https://xrspace.atlassian.net/issues/?jql=created+%3E%3D+2025-02-01+AND+created+%3C%3D+2026-12-31+AND+type+%3D+Bug+AND+project+%3D+SOVA+AND+Sprint+%3D+4140+AND+status+%3D+%22Done+%28100%25%29%22" xr:uid="{5FDD3638-BF04-419A-A300-25C599BB3BE9}"/>
    <hyperlink ref="E15" r:id="rId88" display="https://xrspace.atlassian.net/issues/?jql=created+%3E%3D+2025-02-01+AND+created+%3C%3D+2026-12-31+AND+type+%3D+Bug+AND+project+%3D+SOVA+AND+Sprint+%3D+4140+AND+status+%3D+%22IN+REVIEW+%2880%25%29%22" xr:uid="{5294BAF0-0EEF-42FC-B0EE-8951B5670DEA}"/>
    <hyperlink ref="H15" r:id="rId89" display="https://xrspace.atlassian.net/issues/?jql=created+%3E%3D+2025-02-01+AND+created+%3C%3D+2026-12-31+AND+type+%3D+Bug+AND+project+%3D+SOVA+AND+Sprint+%3D+4140+AND+status+%3D+%22WON%27T+DO+%28100%25%29%22" xr:uid="{BC0B052E-3740-4E56-9BCE-FB27940CFFEE}"/>
    <hyperlink ref="C15" r:id="rId90" display="https://xrspace.atlassian.net/issues/?jql=created+%3E%3D+2025-02-01+AND+created+%3C%3D+2026-12-31+AND+type+%3D+Bug+AND+project+%3D+SOVA+AND+Sprint+%3D+4140+AND+status+%3D+%22STARTING+%2810+%7E+40%25%29%22" xr:uid="{A04E1637-9AE1-489E-B678-A3FB34C64208}"/>
    <hyperlink ref="F15" r:id="rId91" display="https://xrspace.atlassian.net/issues/?jql=created+%3E%3D+2025-02-01+AND+created+%3C%3D+2026-12-31+AND+type+%3D+Bug+AND+project+%3D+SOVA+AND+Sprint+%3D+4140+AND+status+%3D+%22READY+FOR+TESTING+%2890%25%29%22" xr:uid="{0B47677D-3A5D-42C4-8EEE-96EA30559B89}"/>
    <hyperlink ref="B16" r:id="rId92" display="https://xrspace.atlassian.net/issues/?jql=created+%3E%3D+2025-02-01+AND+created+%3C%3D+2026-12-31+AND+type+%3D+Bug+AND+project+%3D+SOVA+AND+Sprint+%3D+4206+AND+status+%3D+%22To+Do+%280%25%29%22" xr:uid="{B1C29438-9C55-4920-AB5A-7260D27FDDD2}"/>
    <hyperlink ref="D16" r:id="rId93" display="https://xrspace.atlassian.net/issues/?jql=created+%3E%3D+2025-02-01+AND+created+%3C%3D+2026-12-31+AND+type+%3D+Bug+AND+project+%3D+SOVA+AND+Sprint+%3D+4206+AND+status+%3D+%22In+Progress+%2850+%7E+70%25%29%22" xr:uid="{A02530ED-49DD-48C2-8C58-45AEE5E11620}"/>
    <hyperlink ref="G16" r:id="rId94" display="https://xrspace.atlassian.net/issues/?jql=created+%3E%3D+2025-02-01+AND+created+%3C%3D+2026-12-31+AND+type+%3D+Bug+AND+project+%3D+SOVA+AND+Sprint+%3D+4206+AND+status+%3D+%22Done+%28100%25%29%22" xr:uid="{5C382A07-DEF0-4447-9F5D-79E7A252A9EE}"/>
    <hyperlink ref="E16" r:id="rId95" display="https://xrspace.atlassian.net/issues/?jql=created+%3E%3D+2025-02-01+AND+created+%3C%3D+2026-12-31+AND+type+%3D+Bug+AND+project+%3D+SOVA+AND+Sprint+%3D+4206+AND+status+%3D+%22IN+REVIEW+%2880%25%29%22" xr:uid="{2D1A7E9E-4625-4149-B37E-2D85B5E2AD4A}"/>
    <hyperlink ref="H16" r:id="rId96" display="https://xrspace.atlassian.net/issues/?jql=created+%3E%3D+2025-02-01+AND+created+%3C%3D+2026-12-31+AND+type+%3D+Bug+AND+project+%3D+SOVA+AND+Sprint+%3D+4206+AND+status+%3D+%22WON%27T+DO+%28100%25%29%22" xr:uid="{38E165F7-B11B-4546-B2B5-F821A9C8AEA1}"/>
    <hyperlink ref="C16" r:id="rId97" display="https://xrspace.atlassian.net/issues/?jql=created+%3E%3D+2025-02-01+AND+created+%3C%3D+2026-12-31+AND+type+%3D+Bug+AND+project+%3D+SOVA+AND+Sprint+%3D+4206+AND+status+%3D+%22STARTING+%2810+%7E+40%25%29%22" xr:uid="{AA862749-09D3-4DAA-81B4-A2BA092B94F5}"/>
    <hyperlink ref="F16" r:id="rId98" display="https://xrspace.atlassian.net/issues/?jql=created+%3E%3D+2025-02-01+AND+created+%3C%3D+2026-12-31+AND+type+%3D+Bug+AND+project+%3D+SOVA+AND+Sprint+%3D+4206+AND+status+%3D+%22READY+FOR+TESTING+%2890%25%29%22" xr:uid="{80B2A072-2B04-4552-9E6A-10DF9506D769}"/>
    <hyperlink ref="B17" r:id="rId99" display="https://xrspace.atlassian.net/issues/?jql=created+%3E%3D+2025-02-01+AND+created+%3C%3D+2026-12-31+AND+type+%3D+Bug+AND+project+%3D+SOVA+AND+Sprint+%3D+4477+AND+status+%3D+%22To+Do+%280%25%29%22" xr:uid="{BE0968BC-81E8-4877-8E0E-0025D8EA28F4}"/>
    <hyperlink ref="D17" r:id="rId100" display="https://xrspace.atlassian.net/issues/?jql=created+%3E%3D+2025-02-01+AND+created+%3C%3D+2026-12-31+AND+type+%3D+Bug+AND+project+%3D+SOVA+AND+Sprint+%3D+4477+AND+status+%3D+%22In+Progress+%2850+%7E+70%25%29%22" xr:uid="{4E4ECEE9-65B1-4612-9FD7-78531339F2A4}"/>
    <hyperlink ref="G17" r:id="rId101" display="https://xrspace.atlassian.net/issues/?jql=created+%3E%3D+2025-02-01+AND+created+%3C%3D+2026-12-31+AND+type+%3D+Bug+AND+project+%3D+SOVA+AND+Sprint+%3D+4477+AND+status+%3D+%22Done+%28100%25%29%22" xr:uid="{3C435AAC-A60A-43F0-8608-819BD4062BBB}"/>
    <hyperlink ref="E17" r:id="rId102" display="https://xrspace.atlassian.net/issues/?jql=created+%3E%3D+2025-02-01+AND+created+%3C%3D+2026-12-31+AND+type+%3D+Bug+AND+project+%3D+SOVA+AND+Sprint+%3D+4477+AND+status+%3D+%22IN+REVIEW+%2880%25%29%22" xr:uid="{B93C0727-E06B-4D2D-B2E2-8752A5A6ED5E}"/>
    <hyperlink ref="H17" r:id="rId103" display="https://xrspace.atlassian.net/issues/?jql=created+%3E%3D+2025-02-01+AND+created+%3C%3D+2026-12-31+AND+type+%3D+Bug+AND+project+%3D+SOVA+AND+Sprint+%3D+4477+AND+status+%3D+%22WON%27T+DO+%28100%25%29%22" xr:uid="{827D25AA-976C-4D93-8D75-26220DECCA7E}"/>
    <hyperlink ref="C17" r:id="rId104" display="https://xrspace.atlassian.net/issues/?jql=created+%3E%3D+2025-02-01+AND+created+%3C%3D+2026-12-31+AND+type+%3D+Bug+AND+project+%3D+SOVA+AND+Sprint+%3D+4477+AND+status+%3D+%22STARTING+%2810+%7E+40%25%29%22" xr:uid="{09174815-0AFB-4A29-8022-2A342DBE4DBC}"/>
    <hyperlink ref="F17" r:id="rId105" display="https://xrspace.atlassian.net/issues/?jql=created+%3E%3D+2025-02-01+AND+created+%3C%3D+2026-12-31+AND+type+%3D+Bug+AND+project+%3D+SOVA+AND+Sprint+%3D+4477+AND+status+%3D+%22READY+FOR+TESTING+%2890%25%29%22" xr:uid="{28DA800C-C1EB-4FBB-BE7F-2C4EA6A7722F}"/>
    <hyperlink ref="B18" r:id="rId106" display="https://xrspace.atlassian.net/issues/?jql=created+%3E%3D+2025-02-01+AND+created+%3C%3D+2026-12-31+AND+type+%3D+Bug+AND+project+%3D+SOVA+AND+Sprint+%3D+4478+AND+status+%3D+%22To+Do+%280%25%29%22" xr:uid="{89B24529-3963-4B35-A395-7E5E8067203E}"/>
    <hyperlink ref="D18" r:id="rId107" display="https://xrspace.atlassian.net/issues/?jql=created+%3E%3D+2025-02-01+AND+created+%3C%3D+2026-12-31+AND+type+%3D+Bug+AND+project+%3D+SOVA+AND+Sprint+%3D+4478+AND+status+%3D+%22In+Progress+%2850+%7E+70%25%29%22" xr:uid="{81721FC9-8730-4ED5-8939-D28602ABB1BA}"/>
    <hyperlink ref="G18" r:id="rId108" display="https://xrspace.atlassian.net/issues/?jql=created+%3E%3D+2025-02-01+AND+created+%3C%3D+2026-12-31+AND+type+%3D+Bug+AND+project+%3D+SOVA+AND+Sprint+%3D+4478+AND+status+%3D+%22Done+%28100%25%29%22" xr:uid="{D5D1DC77-60BC-4590-BFE3-01408E4B2FA0}"/>
    <hyperlink ref="E18" r:id="rId109" display="https://xrspace.atlassian.net/issues/?jql=created+%3E%3D+2025-02-01+AND+created+%3C%3D+2026-12-31+AND+type+%3D+Bug+AND+project+%3D+SOVA+AND+Sprint+%3D+4478+AND+status+%3D+%22IN+REVIEW+%2880%25%29%22" xr:uid="{A679389C-C112-44A6-BBC8-BD3B7DDD72BC}"/>
    <hyperlink ref="H18" r:id="rId110" display="https://xrspace.atlassian.net/issues/?jql=created+%3E%3D+2025-02-01+AND+created+%3C%3D+2026-12-31+AND+type+%3D+Bug+AND+project+%3D+SOVA+AND+Sprint+%3D+4478+AND+status+%3D+%22WON%27T+DO+%28100%25%29%22" xr:uid="{DD6F39A5-2CA3-4477-B214-BD054C36527A}"/>
    <hyperlink ref="C18" r:id="rId111" display="https://xrspace.atlassian.net/issues/?jql=created+%3E%3D+2025-02-01+AND+created+%3C%3D+2026-12-31+AND+type+%3D+Bug+AND+project+%3D+SOVA+AND+Sprint+%3D+4478+AND+status+%3D+%22STARTING+%2810+%7E+40%25%29%22" xr:uid="{D90D4320-0B3D-4B09-B3A3-8AE51347BD90}"/>
    <hyperlink ref="F18" r:id="rId112" display="https://xrspace.atlassian.net/issues/?jql=created+%3E%3D+2025-02-01+AND+created+%3C%3D+2026-12-31+AND+type+%3D+Bug+AND+project+%3D+SOVA+AND+Sprint+%3D+4478+AND+status+%3D+%22READY+FOR+TESTING+%2890%25%29%22" xr:uid="{C62CFFE7-08AA-4C5A-9C4C-CC562CD9529F}"/>
    <hyperlink ref="B19" r:id="rId113" display="https://xrspace.atlassian.net/issues/?jql=created+%3E%3D+2025-02-01+AND+created+%3C%3D+2026-12-31+AND+type+%3D+Bug+AND+project+%3D+SOVA+AND+Sprint+%3D+4677+AND+status+%3D+%22To+Do+%280%25%29%22" xr:uid="{9D35F396-6128-413B-A309-B0CC2DB78F4A}"/>
    <hyperlink ref="D19" r:id="rId114" display="https://xrspace.atlassian.net/issues/?jql=created+%3E%3D+2025-02-01+AND+created+%3C%3D+2026-12-31+AND+type+%3D+Bug+AND+project+%3D+SOVA+AND+Sprint+%3D+4677+AND+status+%3D+%22In+Progress+%2850+%7E+70%25%29%22" xr:uid="{2BC15D53-C551-49AA-891E-4DBF659FEFF9}"/>
    <hyperlink ref="G19" r:id="rId115" display="https://xrspace.atlassian.net/issues/?jql=created+%3E%3D+2025-02-01+AND+created+%3C%3D+2026-12-31+AND+type+%3D+Bug+AND+project+%3D+SOVA+AND+Sprint+%3D+4677+AND+status+%3D+%22Done+%28100%25%29%22" xr:uid="{331F9471-CD24-4A79-9F52-5FD5FB79A3E2}"/>
    <hyperlink ref="E19" r:id="rId116" display="https://xrspace.atlassian.net/issues/?jql=created+%3E%3D+2025-02-01+AND+created+%3C%3D+2026-12-31+AND+type+%3D+Bug+AND+project+%3D+SOVA+AND+Sprint+%3D+4677+AND+status+%3D+%22IN+REVIEW+%2880%25%29%22" xr:uid="{F20A672B-8A6C-432E-A93B-EFBBD4C4C65C}"/>
    <hyperlink ref="H19" r:id="rId117" display="https://xrspace.atlassian.net/issues/?jql=created+%3E%3D+2025-02-01+AND+created+%3C%3D+2026-12-31+AND+type+%3D+Bug+AND+project+%3D+SOVA+AND+Sprint+%3D+4677+AND+status+%3D+%22WON%27T+DO+%28100%25%29%22" xr:uid="{5436657F-F0F0-4513-9D6E-C9ED1F63A57D}"/>
    <hyperlink ref="C19" r:id="rId118" display="https://xrspace.atlassian.net/issues/?jql=created+%3E%3D+2025-02-01+AND+created+%3C%3D+2026-12-31+AND+type+%3D+Bug+AND+project+%3D+SOVA+AND+Sprint+%3D+4677+AND+status+%3D+%22STARTING+%2810+%7E+40%25%29%22" xr:uid="{EB41AB77-F753-4D55-9FAE-33A2B740C01D}"/>
    <hyperlink ref="F19" r:id="rId119" display="https://xrspace.atlassian.net/issues/?jql=created+%3E%3D+2025-02-01+AND+created+%3C%3D+2026-12-31+AND+type+%3D+Bug+AND+project+%3D+SOVA+AND+Sprint+%3D+4677+AND+status+%3D+%22READY+FOR+TESTING+%2890%25%29%22" xr:uid="{D3106AF6-986C-441C-AA65-C1A04486187B}"/>
    <hyperlink ref="B20" r:id="rId120" display="https://xrspace.atlassian.net/issues/?jql=created+%3E%3D+2025-02-01+AND+created+%3C%3D+2026-12-31+AND+type+%3D+Bug+AND+project+%3D+SOVA+AND+Sprint+%3D+4678+AND+status+%3D+%22To+Do+%280%25%29%22" xr:uid="{B5659207-37D3-4D71-9D71-79A481F3FCB0}"/>
    <hyperlink ref="D20" r:id="rId121" display="https://xrspace.atlassian.net/issues/?jql=created+%3E%3D+2025-02-01+AND+created+%3C%3D+2026-12-31+AND+type+%3D+Bug+AND+project+%3D+SOVA+AND+Sprint+%3D+4678+AND+status+%3D+%22In+Progress+%2850+%7E+70%25%29%22" xr:uid="{2D9F3458-E389-497E-A1BD-EDE63EF8BD8A}"/>
    <hyperlink ref="G20" r:id="rId122" display="https://xrspace.atlassian.net/issues/?jql=created+%3E%3D+2025-02-01+AND+created+%3C%3D+2026-12-31+AND+type+%3D+Bug+AND+project+%3D+SOVA+AND+Sprint+%3D+4678+AND+status+%3D+%22Done+%28100%25%29%22" xr:uid="{CCE7959A-0354-4DBE-86D6-C5086D901EA4}"/>
    <hyperlink ref="E20" r:id="rId123" display="https://xrspace.atlassian.net/issues/?jql=created+%3E%3D+2025-02-01+AND+created+%3C%3D+2026-12-31+AND+type+%3D+Bug+AND+project+%3D+SOVA+AND+Sprint+%3D+4678+AND+status+%3D+%22IN+REVIEW+%2880%25%29%22" xr:uid="{086DEF17-D801-4052-AAED-7707141F691B}"/>
    <hyperlink ref="H20" r:id="rId124" display="https://xrspace.atlassian.net/issues/?jql=created+%3E%3D+2025-02-01+AND+created+%3C%3D+2026-12-31+AND+type+%3D+Bug+AND+project+%3D+SOVA+AND+Sprint+%3D+4678+AND+status+%3D+%22WON%27T+DO+%28100%25%29%22" xr:uid="{1B905808-104B-4F80-AF93-280BFEA7EDED}"/>
    <hyperlink ref="C20" r:id="rId125" display="https://xrspace.atlassian.net/issues/?jql=created+%3E%3D+2025-02-01+AND+created+%3C%3D+2026-12-31+AND+type+%3D+Bug+AND+project+%3D+SOVA+AND+Sprint+%3D+4678+AND+status+%3D+%22STARTING+%2810+%7E+40%25%29%22" xr:uid="{36EF965C-0BDC-4D67-B242-D887C4317F4E}"/>
    <hyperlink ref="F20" r:id="rId126" display="https://xrspace.atlassian.net/issues/?jql=created+%3E%3D+2025-02-01+AND+created+%3C%3D+2026-12-31+AND+type+%3D+Bug+AND+project+%3D+SOVA+AND+Sprint+%3D+4678+AND+status+%3D+%22READY+FOR+TESTING+%2890%25%29%22" xr:uid="{E5E66D5E-149B-46AB-A8DF-EE8D036DFC90}"/>
    <hyperlink ref="B21" r:id="rId127" display="https://xrspace.atlassian.net/issues/?jql=created+%3E%3D+2025-02-01+AND+created+%3C%3D+2026-12-31+AND+type+%3D+Bug+AND+project+%3D+SOVA+AND+Sprint+%3D+4910+AND+status+%3D+%22To+Do+%280%25%29%22" xr:uid="{28EAEFF3-C273-4EAE-86FD-7D48079A2713}"/>
    <hyperlink ref="D21" r:id="rId128" display="https://xrspace.atlassian.net/issues/?jql=created+%3E%3D+2025-02-01+AND+created+%3C%3D+2026-12-31+AND+type+%3D+Bug+AND+project+%3D+SOVA+AND+Sprint+%3D+4910+AND+status+%3D+%22In+Progress+%2850+%7E+70%25%29%22" xr:uid="{A2ABE71B-702B-4C13-B8EF-463DA9AB8E01}"/>
    <hyperlink ref="G21" r:id="rId129" display="https://xrspace.atlassian.net/issues/?jql=created+%3E%3D+2025-02-01+AND+created+%3C%3D+2026-12-31+AND+type+%3D+Bug+AND+project+%3D+SOVA+AND+Sprint+%3D+4910+AND+status+%3D+%22Done+%28100%25%29%22" xr:uid="{10EE658C-344B-437A-89A2-A974629451DC}"/>
    <hyperlink ref="E21" r:id="rId130" display="https://xrspace.atlassian.net/issues/?jql=created+%3E%3D+2025-02-01+AND+created+%3C%3D+2026-12-31+AND+type+%3D+Bug+AND+project+%3D+SOVA+AND+Sprint+%3D+4910+AND+status+%3D+%22IN+REVIEW+%2880%25%29%22" xr:uid="{91924F1B-11FD-427B-AB45-67DE307F21F4}"/>
    <hyperlink ref="H21" r:id="rId131" display="https://xrspace.atlassian.net/issues/?jql=created+%3E%3D+2025-02-01+AND+created+%3C%3D+2026-12-31+AND+type+%3D+Bug+AND+project+%3D+SOVA+AND+Sprint+%3D+4910+AND+status+%3D+%22WON%27T+DO+%28100%25%29%22" xr:uid="{F8856540-9185-4B43-A737-15E88ECEFFF7}"/>
    <hyperlink ref="C21" r:id="rId132" display="https://xrspace.atlassian.net/issues/?jql=created+%3E%3D+2025-02-01+AND+created+%3C%3D+2026-12-31+AND+type+%3D+Bug+AND+project+%3D+SOVA+AND+Sprint+%3D+4910+AND+status+%3D+%22STARTING+%2810+%7E+40%25%29%22" xr:uid="{3998FA45-2BB6-487D-931A-24D16E759733}"/>
    <hyperlink ref="F21" r:id="rId133" display="https://xrspace.atlassian.net/issues/?jql=created+%3E%3D+2025-02-01+AND+created+%3C%3D+2026-12-31+AND+type+%3D+Bug+AND+project+%3D+SOVA+AND+Sprint+%3D+4910+AND+status+%3D+%22READY+FOR+TESTING+%2890%25%29%22" xr:uid="{7DE3A1F2-A787-4B51-B920-39CCA4456F33}"/>
    <hyperlink ref="B22" r:id="rId134" display="https://xrspace.atlassian.net/issues/?jql=created+%3E%3D+2025-02-01+AND+created+%3C%3D+2026-12-31+AND+type+%3D+Bug+AND+project+%3D+SOVA+AND+Sprint+%3D+5044+AND+status+%3D+%22To+Do+%280%25%29%22" xr:uid="{C7D2908A-6D29-4A54-B382-921932825441}"/>
    <hyperlink ref="D22" r:id="rId135" display="https://xrspace.atlassian.net/issues/?jql=created+%3E%3D+2025-02-01+AND+created+%3C%3D+2026-12-31+AND+type+%3D+Bug+AND+project+%3D+SOVA+AND+Sprint+%3D+5044+AND+status+%3D+%22In+Progress+%2850+%7E+70%25%29%22" xr:uid="{83B2F37F-3C74-46E7-A39F-B7308FC689C5}"/>
    <hyperlink ref="G22" r:id="rId136" display="https://xrspace.atlassian.net/issues/?jql=created+%3E%3D+2025-02-01+AND+created+%3C%3D+2026-12-31+AND+type+%3D+Bug+AND+project+%3D+SOVA+AND+Sprint+%3D+5044+AND+status+%3D+%22Done+%28100%25%29%22" xr:uid="{B4B15DD8-1BFC-4323-B5AC-FF843480DEF9}"/>
    <hyperlink ref="E22" r:id="rId137" display="https://xrspace.atlassian.net/issues/?jql=created+%3E%3D+2025-02-01+AND+created+%3C%3D+2026-12-31+AND+type+%3D+Bug+AND+project+%3D+SOVA+AND+Sprint+%3D+5044+AND+status+%3D+%22IN+REVIEW+%2880%25%29%22" xr:uid="{C7C9A7AD-A5BD-4B1B-B208-DDE4B71280B9}"/>
    <hyperlink ref="H22" r:id="rId138" display="https://xrspace.atlassian.net/issues/?jql=created+%3E%3D+2025-02-01+AND+created+%3C%3D+2026-12-31+AND+type+%3D+Bug+AND+project+%3D+SOVA+AND+Sprint+%3D+5044+AND+status+%3D+%22WON%27T+DO+%28100%25%29%22" xr:uid="{1CA5DDE4-1943-4F9E-915D-93809DCACE23}"/>
    <hyperlink ref="C22" r:id="rId139" display="https://xrspace.atlassian.net/issues/?jql=created+%3E%3D+2025-02-01+AND+created+%3C%3D+2026-12-31+AND+type+%3D+Bug+AND+project+%3D+SOVA+AND+Sprint+%3D+5044+AND+status+%3D+%22STARTING+%2810+%7E+40%25%29%22" xr:uid="{7A9A3BD7-1646-4071-A96F-09B25297BD23}"/>
    <hyperlink ref="F22" r:id="rId140" display="https://xrspace.atlassian.net/issues/?jql=created+%3E%3D+2025-02-01+AND+created+%3C%3D+2026-12-31+AND+type+%3D+Bug+AND+project+%3D+SOVA+AND+Sprint+%3D+5044+AND+status+%3D+%22READY+FOR+TESTING+%2890%25%29%22" xr:uid="{F91D0C14-DBE8-412D-B789-B0F4372565F3}"/>
    <hyperlink ref="B23" r:id="rId141" display="https://xrspace.atlassian.net/issues/?jql=created+%3E%3D+2025-02-01+AND+created+%3C%3D+2026-12-31+AND+type+%3D+Bug+AND+project+%3D+SOVA+AND+Sprint+%3D+5045+AND+status+%3D+%22To+Do+%280%25%29%22" xr:uid="{4B774613-D74D-47CE-A41F-29F19C0EB61E}"/>
    <hyperlink ref="D23" r:id="rId142" display="https://xrspace.atlassian.net/issues/?jql=created+%3E%3D+2025-02-01+AND+created+%3C%3D+2026-12-31+AND+type+%3D+Bug+AND+project+%3D+SOVA+AND+Sprint+%3D+5045+AND+status+%3D+%22In+Progress+%2850+%7E+70%25%29%22" xr:uid="{90496142-F267-486A-84E8-06A240F98E47}"/>
    <hyperlink ref="G23" r:id="rId143" display="https://xrspace.atlassian.net/issues/?jql=created+%3E%3D+2025-02-01+AND+created+%3C%3D+2026-12-31+AND+type+%3D+Bug+AND+project+%3D+SOVA+AND+Sprint+%3D+5045+AND+status+%3D+%22Done+%28100%25%29%22" xr:uid="{1A15D6C6-12C5-4755-954E-E0727EF8875C}"/>
    <hyperlink ref="E23" r:id="rId144" display="https://xrspace.atlassian.net/issues/?jql=created+%3E%3D+2025-02-01+AND+created+%3C%3D+2026-12-31+AND+type+%3D+Bug+AND+project+%3D+SOVA+AND+Sprint+%3D+5045+AND+status+%3D+%22IN+REVIEW+%2880%25%29%22" xr:uid="{932AA533-2D83-434C-9DA4-1D0EC8ED5F92}"/>
    <hyperlink ref="H23" r:id="rId145" display="https://xrspace.atlassian.net/issues/?jql=created+%3E%3D+2025-02-01+AND+created+%3C%3D+2026-12-31+AND+type+%3D+Bug+AND+project+%3D+SOVA+AND+Sprint+%3D+5045+AND+status+%3D+%22WON%27T+DO+%28100%25%29%22" xr:uid="{0D265159-D490-4FDB-B2F2-00CB9B9B2C89}"/>
    <hyperlink ref="C23" r:id="rId146" display="https://xrspace.atlassian.net/issues/?jql=created+%3E%3D+2025-02-01+AND+created+%3C%3D+2026-12-31+AND+type+%3D+Bug+AND+project+%3D+SOVA+AND+Sprint+%3D+5045+AND+status+%3D+%22STARTING+%2810+%7E+40%25%29%22" xr:uid="{903BC227-55D0-461C-AB1D-1ADA00D1092C}"/>
    <hyperlink ref="F23" r:id="rId147" display="https://xrspace.atlassian.net/issues/?jql=created+%3E%3D+2025-02-01+AND+created+%3C%3D+2026-12-31+AND+type+%3D+Bug+AND+project+%3D+SOVA+AND+Sprint+%3D+5045+AND+status+%3D+%22READY+FOR+TESTING+%2890%25%29%22" xr:uid="{AF89C1CE-84BB-41CC-96AA-831E7E420D51}"/>
    <hyperlink ref="B2" r:id="rId148" display="https://xrspace.atlassian.net/issues/?jql=created+%3E%3D+2025-02-01+AND+created+%3C%3D+2026-12-31+AND+type+%3D+Bug+AND+project+%3D+SOVA+AND+Sprint+%3D+2915+AND+status+%3D+%22To+Do+%280%25%29%22" xr:uid="{B0E00C65-D14E-4266-84CD-7B5C276EA22B}"/>
    <hyperlink ref="D2" r:id="rId149" display="https://xrspace.atlassian.net/issues/?jql=created+%3E%3D+2025-02-01+AND+created+%3C%3D+2026-12-31+AND+type+%3D+Bug+AND+project+%3D+SOVA+AND+Sprint+%3D+2915+AND+status+%3D+%22In+Progress+%2850+%7E+70%25%29%22" xr:uid="{223A17B5-5634-45B9-8DE9-4E7F14C2B3C9}"/>
    <hyperlink ref="G2" r:id="rId150" display="https://xrspace.atlassian.net/issues/?jql=created+%3E%3D+2025-02-01+AND+created+%3C%3D+2026-12-31+AND+type+%3D+Bug+AND+project+%3D+SOVA+AND+Sprint+%3D+2915+AND+status+%3D+%22Done+%28100%25%29%22" xr:uid="{3D555BAF-3C31-4EB0-97E8-B28FFA2CE587}"/>
    <hyperlink ref="E2" r:id="rId151" display="https://xrspace.atlassian.net/issues/?jql=created+%3E%3D+2025-02-01+AND+created+%3C%3D+2026-12-31+AND+type+%3D+Bug+AND+project+%3D+SOVA+AND+Sprint+%3D+2915+AND+status+%3D+%22IN+REVIEW+%2880%25%29%22" xr:uid="{471F296F-B431-45D5-BAFF-4ECD733C38E0}"/>
    <hyperlink ref="H2" r:id="rId152" display="https://xrspace.atlassian.net/issues/?jql=created+%3E%3D+2025-02-01+AND+created+%3C%3D+2026-12-31+AND+type+%3D+Bug+AND+project+%3D+SOVA+AND+Sprint+%3D+2915+AND+status+%3D+%22WON%27T+DO+%28100%25%29%22" xr:uid="{4F212458-20BE-49C9-ADB7-8081B6A9C806}"/>
    <hyperlink ref="C2" r:id="rId153" display="https://xrspace.atlassian.net/issues/?jql=created+%3E%3D+2025-02-01+AND+created+%3C%3D+2026-12-31+AND+type+%3D+Bug+AND+project+%3D+SOVA+AND+Sprint+%3D+2915+AND+status+%3D+%22STARTING+%2810+%7E+40%25%29%22" xr:uid="{5DF923F4-0829-4A4B-B4CF-5DCA993CBBC6}"/>
    <hyperlink ref="F2" r:id="rId154" display="https://xrspace.atlassian.net/issues/?jql=created+%3E%3D+2025-02-01+AND+created+%3C%3D+2026-12-31+AND+type+%3D+Bug+AND+project+%3D+SOVA+AND+Sprint+%3D+2915+AND+status+%3D+%22READY+FOR+TESTING+%2890%25%29%22" xr:uid="{C11619F5-2377-4F31-8C98-1E3A63269A34}"/>
  </hyperlinks>
  <pageMargins left="0.7" right="0.7" top="0.75" bottom="0.75" header="0.3" footer="0.3"/>
  <pageSetup orientation="portrait" r:id="rId155"/>
  <drawing r:id="rId156"/>
  <tableParts count="1">
    <tablePart r:id="rId15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25"/>
  <sheetViews>
    <sheetView workbookViewId="0">
      <selection activeCell="H25" sqref="H25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56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57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58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59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60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61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62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63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64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65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66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67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55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68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83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84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85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  <row r="19" spans="1:5" ht="20.100000000000001" customHeight="1">
      <c r="A19" s="3" t="s">
        <v>89</v>
      </c>
      <c r="B19" s="14">
        <v>92</v>
      </c>
      <c r="C19" s="14">
        <v>6</v>
      </c>
      <c r="D19" s="14">
        <v>13</v>
      </c>
      <c r="E19" s="14">
        <f>SUM(Table25[[#This Row],[Done]:[TODO (P1)]])</f>
        <v>111</v>
      </c>
    </row>
    <row r="20" spans="1:5" ht="20.100000000000001" customHeight="1">
      <c r="A20" s="3" t="s">
        <v>90</v>
      </c>
      <c r="B20" s="14">
        <v>97</v>
      </c>
      <c r="C20" s="14">
        <v>3</v>
      </c>
      <c r="D20" s="14">
        <v>13</v>
      </c>
      <c r="E20" s="14">
        <f>SUM(Table25[[#This Row],[Done]:[TODO (P1)]])</f>
        <v>113</v>
      </c>
    </row>
    <row r="21" spans="1:5" ht="20.100000000000001" customHeight="1">
      <c r="A21" s="3" t="s">
        <v>91</v>
      </c>
      <c r="B21" s="14">
        <v>98</v>
      </c>
      <c r="C21" s="14">
        <v>1</v>
      </c>
      <c r="D21" s="14">
        <v>14</v>
      </c>
      <c r="E21" s="14">
        <f>SUM(Table25[[#This Row],[Done]:[TODO (P1)]])</f>
        <v>113</v>
      </c>
    </row>
    <row r="22" spans="1:5" ht="20.100000000000001" customHeight="1">
      <c r="A22" s="3" t="s">
        <v>100</v>
      </c>
      <c r="B22" s="14">
        <v>98</v>
      </c>
      <c r="C22" s="14">
        <v>1</v>
      </c>
      <c r="D22" s="14">
        <v>14</v>
      </c>
      <c r="E22" s="14">
        <f>SUM(Table25[[#This Row],[Done]:[TODO (P1)]])</f>
        <v>113</v>
      </c>
    </row>
    <row r="23" spans="1:5" ht="20.100000000000001" customHeight="1">
      <c r="A23" s="3" t="s">
        <v>102</v>
      </c>
      <c r="B23" s="14">
        <v>98</v>
      </c>
      <c r="C23" s="14">
        <v>1</v>
      </c>
      <c r="D23" s="14">
        <v>14</v>
      </c>
      <c r="E23" s="14">
        <f>SUM(Table25[[#This Row],[Done]:[TODO (P1)]])</f>
        <v>113</v>
      </c>
    </row>
    <row r="24" spans="1:5" ht="20.100000000000001" customHeight="1">
      <c r="A24" s="3" t="s">
        <v>104</v>
      </c>
      <c r="B24" s="14">
        <v>98</v>
      </c>
      <c r="C24" s="14">
        <v>1</v>
      </c>
      <c r="D24" s="14">
        <v>14</v>
      </c>
      <c r="E24" s="14">
        <f>SUM(Table25[[#This Row],[Done]:[TODO (P1)]])</f>
        <v>113</v>
      </c>
    </row>
    <row r="25" spans="1:5" ht="20.100000000000001" customHeight="1">
      <c r="A25" s="3" t="s">
        <v>107</v>
      </c>
      <c r="B25" s="14">
        <v>98</v>
      </c>
      <c r="C25" s="14">
        <v>1</v>
      </c>
      <c r="D25" s="14">
        <v>14</v>
      </c>
      <c r="E25" s="14">
        <f>SUM(Table25[[#This Row],[Done]:[TODO (P1)]])</f>
        <v>113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2026-04-01T23:48:26Z</dcterms:modified>
</cp:coreProperties>
</file>