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B6202256-E707-473F-A81F-160AA6874FBC}" xr6:coauthVersionLast="47" xr6:coauthVersionMax="47" xr10:uidLastSave="{00000000-0000-0000-0000-000000000000}"/>
  <bookViews>
    <workbookView xWindow="-120" yWindow="-120" windowWidth="29040" windowHeight="15720" firstSheet="1" activeTab="1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4" l="1"/>
  <c r="H22" i="2"/>
  <c r="H21" i="2"/>
  <c r="E8" i="6"/>
  <c r="E17" i="1"/>
  <c r="E9" i="6"/>
  <c r="H19" i="2"/>
  <c r="E6" i="6"/>
  <c r="E15" i="1"/>
  <c r="E5" i="6"/>
  <c r="E16" i="1"/>
  <c r="H18" i="2"/>
  <c r="E7" i="6"/>
  <c r="H22" i="3"/>
  <c r="E14" i="1"/>
  <c r="H20" i="2"/>
  <c r="E13" i="1"/>
  <c r="E12" i="1"/>
  <c r="E3" i="6"/>
  <c r="E2" i="6"/>
  <c r="E4" i="6"/>
  <c r="H16" i="2"/>
  <c r="H21" i="3"/>
  <c r="E2" i="1"/>
  <c r="E3" i="1"/>
  <c r="E4" i="1"/>
  <c r="E5" i="1"/>
  <c r="E6" i="1"/>
  <c r="E7" i="1"/>
  <c r="E8" i="1"/>
  <c r="E9" i="1"/>
  <c r="E10" i="1"/>
  <c r="E11" i="1"/>
  <c r="H10" i="4"/>
  <c r="H20" i="3"/>
  <c r="H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<sst xmlns="http://schemas.openxmlformats.org/spreadsheetml/2006/main" count="138" uniqueCount="85">
  <si>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</si>
  <si>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</si>
  <si>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</si>
  <si>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</si>
  <si>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</si>
  <si>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</si>
  <si>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</si>
  <si>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</si>
  <si>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</si>
  <si>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</si>
  <si>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</si>
  <si>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</si>
  <si>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</si>
  <si>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</si>
  <si>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</si>
  <si>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</si>
  <si>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</si>
  <si>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</si>
  <si>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</si>
  <si>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</si>
  <si>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</si>
  <si>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</si>
  <si>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</si>
  <si>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</si>
  <si>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</si>
  <si>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</si>
  <si>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</si>
  <si>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</si>
  <si>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</si>
  <si>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</si>
  <si>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v1.14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</si>
  <si>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</si>
  <si>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</si>
  <si>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</si>
  <si>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</si>
  <si>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</si>
  <si>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</si>
  <si>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</si>
  <si>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</si>
  <si>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</si>
  <si>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</si>
  <si>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</si>
  <si>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</si>
  <si>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</si>
  <si>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</si>
  <si>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</si>
  <si>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</si>
  <si>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</si>
  <si>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</si>
  <si>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</si>
  <si>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</si>
  <si>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</si>
  <si>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</si>
  <si>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</si>
  <si>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</si>
  <si>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</si>
  <si>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</si>
  <si>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</si>
  <si>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</si>
  <si>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</si>
  <si>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</si>
  <si>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</si>
  <si>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</si>
  <si>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</si>
  <si>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</si>
  <si>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</si>
  <si>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</si>
  <si>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</si>
  <si>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</si>
  <si>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</si>
  <si>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</si>
  <si>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</si>
  <si>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</si>
  <si>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</si>
  <si>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</si>
  <si>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</si>
  <si>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</si>
  <si>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</si>
  <si>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</si>
  <si>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</si>
  <si>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</si>
  <si>
    <t>v1.34</t>
  </si>
  <si>
    <t>W47</t>
  </si>
  <si>
    <t>y25w50</t>
  </si>
  <si>
    <t>W48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</si>
</sst>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28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TestAutomationProgress!$B$2:$B$17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TestAutomationProgress!$C$2:$C$17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TestAutomationProgress!$D$2:$D$17</c:f>
              <c:numCache>
                <c:formatCode>General</c:formatCode>
                <c:ptCount val="16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'Humi-TestResult'!$B$2:$B$13</c:f>
              <c:numCache>
                <c:formatCode>General</c:formatCode>
                <c:ptCount val="12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'Humi-TestResult'!$C$2:$C$13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'Humi-TestResult'!$D$2:$D$13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'Humi-TestResult'!$E$2:$E$13</c:f>
              <c:numCache>
                <c:formatCode>General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'Humi-TestResult'!$F$2:$F$13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'Humi-TestResult'!$H$2:$H$13</c:f>
              <c:numCache>
                <c:formatCode>General</c:formatCode>
                <c:ptCount val="12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1341</c:v>
                </c:pt>
                <c:pt idx="11">
                  <c:v>2037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'SOVA-TestResult'!$B$2:$B$22</c:f>
              <c:numCache>
                <c:formatCode>General</c:formatCode>
                <c:ptCount val="21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'SOVA-TestResult'!$C$2:$C$22</c:f>
              <c:numCache>
                <c:formatCode>General</c:formatCode>
                <c:ptCount val="21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'SOVA-TestResult'!$D$2:$D$22</c:f>
              <c:numCache>
                <c:formatCode>General</c:formatCode>
                <c:ptCount val="21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'SOVA-TestResult'!$E$2:$E$22</c:f>
              <c:numCache>
                <c:formatCode>General</c:formatCode>
                <c:ptCount val="21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'SOVA-TestResult'!$F$2:$F$22</c:f>
              <c:numCache>
                <c:formatCode>General</c:formatCode>
                <c:ptCount val="21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'SOVA-TestResult'!$G$2:$G$22</c:f>
              <c:numCache>
                <c:formatCode>General</c:formatCode>
                <c:ptCount val="21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'SOVA-TestResult'!$A$2:$A$22</c:f>
              <c:strCache>
                <c:ptCount val="21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</c:strCache>
            </c:strRef>
          </c:cat>
          <c:val>
            <c:numRef>
              <c:f>'SOVA-TestResult'!$H$2:$H$22</c:f>
              <c:numCache>
                <c:formatCode>General</c:formatCode>
                <c:ptCount val="21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7</c:v>
                </c:pt>
                <c:pt idx="1">
                  <c:v>11</c:v>
                </c:pt>
                <c:pt idx="2">
                  <c:v>7</c:v>
                </c:pt>
                <c:pt idx="3">
                  <c:v>25</c:v>
                </c:pt>
                <c:pt idx="4">
                  <c:v>31</c:v>
                </c:pt>
                <c:pt idx="5">
                  <c:v>15</c:v>
                </c:pt>
                <c:pt idx="6">
                  <c:v>15</c:v>
                </c:pt>
                <c:pt idx="7">
                  <c:v>7</c:v>
                </c:pt>
                <c:pt idx="8">
                  <c:v>18</c:v>
                </c:pt>
                <c:pt idx="9">
                  <c:v>17</c:v>
                </c:pt>
                <c:pt idx="10">
                  <c:v>26</c:v>
                </c:pt>
                <c:pt idx="11">
                  <c:v>15</c:v>
                </c:pt>
                <c:pt idx="12">
                  <c:v>9</c:v>
                </c:pt>
                <c:pt idx="13">
                  <c:v>5</c:v>
                </c:pt>
                <c:pt idx="14">
                  <c:v>11</c:v>
                </c:pt>
                <c:pt idx="15">
                  <c:v>2</c:v>
                </c:pt>
                <c:pt idx="16">
                  <c:v>15</c:v>
                </c:pt>
                <c:pt idx="17">
                  <c:v>1</c:v>
                </c:pt>
                <c:pt idx="18">
                  <c:v>5</c:v>
                </c:pt>
                <c:pt idx="19">
                  <c:v>15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96</c:v>
                </c:pt>
                <c:pt idx="1">
                  <c:v>89</c:v>
                </c:pt>
                <c:pt idx="2">
                  <c:v>58</c:v>
                </c:pt>
                <c:pt idx="3">
                  <c:v>167</c:v>
                </c:pt>
                <c:pt idx="4">
                  <c:v>156</c:v>
                </c:pt>
                <c:pt idx="5">
                  <c:v>76</c:v>
                </c:pt>
                <c:pt idx="6">
                  <c:v>61</c:v>
                </c:pt>
                <c:pt idx="7">
                  <c:v>46</c:v>
                </c:pt>
                <c:pt idx="8">
                  <c:v>42</c:v>
                </c:pt>
                <c:pt idx="9">
                  <c:v>33</c:v>
                </c:pt>
                <c:pt idx="10">
                  <c:v>25</c:v>
                </c:pt>
                <c:pt idx="11">
                  <c:v>55</c:v>
                </c:pt>
                <c:pt idx="12">
                  <c:v>38</c:v>
                </c:pt>
                <c:pt idx="13">
                  <c:v>33</c:v>
                </c:pt>
                <c:pt idx="14">
                  <c:v>27</c:v>
                </c:pt>
                <c:pt idx="15">
                  <c:v>0</c:v>
                </c:pt>
                <c:pt idx="16">
                  <c:v>7</c:v>
                </c:pt>
                <c:pt idx="17">
                  <c:v>11</c:v>
                </c:pt>
                <c:pt idx="18">
                  <c:v>7</c:v>
                </c:pt>
                <c:pt idx="19">
                  <c:v>22</c:v>
                </c:pt>
                <c:pt idx="2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103</c:v>
                </c:pt>
                <c:pt idx="1">
                  <c:v>101</c:v>
                </c:pt>
                <c:pt idx="2">
                  <c:v>66</c:v>
                </c:pt>
                <c:pt idx="3">
                  <c:v>193</c:v>
                </c:pt>
                <c:pt idx="4">
                  <c:v>187</c:v>
                </c:pt>
                <c:pt idx="5">
                  <c:v>91</c:v>
                </c:pt>
                <c:pt idx="6">
                  <c:v>77</c:v>
                </c:pt>
                <c:pt idx="7">
                  <c:v>53</c:v>
                </c:pt>
                <c:pt idx="8">
                  <c:v>62</c:v>
                </c:pt>
                <c:pt idx="9">
                  <c:v>51</c:v>
                </c:pt>
                <c:pt idx="10">
                  <c:v>51</c:v>
                </c:pt>
                <c:pt idx="11">
                  <c:v>70</c:v>
                </c:pt>
                <c:pt idx="12">
                  <c:v>48</c:v>
                </c:pt>
                <c:pt idx="13">
                  <c:v>38</c:v>
                </c:pt>
                <c:pt idx="14">
                  <c:v>40</c:v>
                </c:pt>
                <c:pt idx="15">
                  <c:v>3</c:v>
                </c:pt>
                <c:pt idx="16">
                  <c:v>22</c:v>
                </c:pt>
                <c:pt idx="17">
                  <c:v>12</c:v>
                </c:pt>
                <c:pt idx="18" formatCode="0">
                  <c:v>12</c:v>
                </c:pt>
                <c:pt idx="19" formatCode="0">
                  <c:v>40</c:v>
                </c:pt>
                <c:pt idx="20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'SOVA-BugTrend'!$D$2:$D$19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'SOVA-BugTrend'!$E$2:$E$19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14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'SOVA-BugTrend'!$F$2:$F$19</c:f>
              <c:numCache>
                <c:formatCode>General</c:formatCode>
                <c:ptCount val="18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17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42</c:v>
                </c:pt>
                <c:pt idx="14">
                  <c:v>34</c:v>
                </c:pt>
                <c:pt idx="15">
                  <c:v>25</c:v>
                </c:pt>
                <c:pt idx="16">
                  <c:v>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'SOVA-BugTrend'!$G$2:$G$19</c:f>
              <c:numCache>
                <c:formatCode>General</c:formatCode>
                <c:ptCount val="1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'SOVA-BugTrend'!$H$2:$H$19</c:f>
              <c:numCache>
                <c:formatCode>General</c:formatCode>
                <c:ptCount val="18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39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20</xdr:row>
      <xdr:rowOff>171448</xdr:rowOff>
    </xdr:from>
    <xdr:to>
      <xdr:col>8</xdr:col>
      <xdr:colOff>95250</xdr:colOff>
      <xdr:row>49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114300</xdr:rowOff>
    </xdr:from>
    <xdr:to>
      <xdr:col>6</xdr:col>
      <xdr:colOff>1028700</xdr:colOff>
      <xdr:row>44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27</xdr:row>
      <xdr:rowOff>69662</xdr:rowOff>
    </xdr:from>
    <xdr:to>
      <xdr:col>6</xdr:col>
      <xdr:colOff>1057275</xdr:colOff>
      <xdr:row>56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26</xdr:row>
      <xdr:rowOff>95250</xdr:rowOff>
    </xdr:from>
    <xdr:to>
      <xdr:col>8</xdr:col>
      <xdr:colOff>409575</xdr:colOff>
      <xdr:row>55</xdr:row>
      <xdr:rowOff>41274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20</xdr:row>
      <xdr:rowOff>127000</xdr:rowOff>
    </xdr:from>
    <xdr:to>
      <xdr:col>7</xdr:col>
      <xdr:colOff>295275</xdr:colOff>
      <xdr:row>49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17" totalsRowShown="0" headerRowDxfId="27">
  <autoFilter ref="A1:E17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26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3" totalsRowShown="0" headerRowDxfId="25">
  <autoFilter ref="A1:H13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2" totalsRowShown="0" headerRowDxfId="24">
  <autoFilter ref="A1:H22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23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2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/>
    <tableColumn id="3" xr3:uid="{FC519478-6B36-4D96-93F3-3AF4B1D70F3E}" name="In Progress"/>
    <tableColumn id="5" xr3:uid="{52258D92-71B9-4E63-A3AA-5ABE6B4F3D23}" name="In Review"/>
    <tableColumn id="4" xr3:uid="{C5EE39F3-E9DF-4F2E-9576-6DDB97E21DB3}" name="In QA"/>
    <tableColumn id="6" xr3:uid="{CC106112-C63E-4AA5-9AAA-D0A99983E0DD}" name="Internal Test"/>
    <tableColumn id="7" xr3:uid="{C69EECCF-E5E5-4372-B171-2B35FE10B60D}" name="Done"/>
    <tableColumn id="8" xr3:uid="{C7A900BC-8967-4049-AE22-7F9EDE21E913}" name="Total" dataDxfId="21" totalsRowDxfId="20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H19" totalsRowShown="0" headerRowDxfId="19" dataDxfId="17" headerRowBorderDxfId="18" tableBorderDxfId="16" totalsRowBorderDxfId="15" dataCellStyle="Hyperlink">
  <autoFilter ref="A1:H19" xr:uid="{108F5145-A108-41DB-B2C3-516BE7C86923}"/>
  <tableColumns count="8">
    <tableColumn id="1" xr3:uid="{5BE08AE0-E0B5-4B46-9423-456B88C2D9BC}" name="Sprint" dataDxfId="14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6" xr3:uid="{33C9BCE6-D9EB-4032-9B0A-DDD9A4051A2D}" name="Done (100%)" dataDxfId="2" dataCellStyle="Hyperlink"/>
    <tableColumn id="8" xr3:uid="{D624FC89-A88E-45AC-9D22-66D66702B8C5}" name="WON'T DO (100%)" dataDxfId="1" dataCellStyle="Hyperlink"/>
    <tableColumn id="7" xr3:uid="{EFEEB7EC-E2D1-40EA-B265-A558311E5D30}" name="Total" dataDxfId="0" dataCellStyle="Hyper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9" totalsRowShown="0" headerRowDxfId="13" dataDxfId="12">
  <autoFilter ref="A1:E9" xr:uid="{2C55E946-0086-4A42-AEAE-DA5ED4E8BB10}"/>
  <tableColumns count="5">
    <tableColumn id="1" xr3:uid="{7070D9F2-0ED1-4F39-8D72-28B37C8E98F2}" name="Week" dataDxfId="11"/>
    <tableColumn id="2" xr3:uid="{1173F443-CC27-4C6E-A432-BF66DB2A740E}" name="Done" dataDxfId="10"/>
    <tableColumn id="3" xr3:uid="{2EE10CB5-1AF1-4B50-9456-B3A666DD5338}" name="In Review/Progress" dataDxfId="9"/>
    <tableColumn id="4" xr3:uid="{328D0A00-85F0-4BFF-81FE-C023998A3701}" name="TODO (P1)" dataDxfId="8"/>
    <tableColumn id="5" xr3:uid="{E385808E-1FCD-451C-9807-DAF18A42B704}" name="Total" dataDxfId="7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21" Type="http://schemas.openxmlformats.org/officeDocument/2006/relationships/hyperlink" Target="https://xrspace.atlassian.net/issues/?jql=created+%3E%3D+2025-01-01+AND+created+%3C%3D+2025-12-31+AND+type+%3D+Bug+AND+project+%3D+SOVA+AND+Sprint+%3D+1497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2156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619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3245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87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123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128" Type="http://schemas.openxmlformats.org/officeDocument/2006/relationships/drawing" Target="../drawings/drawing5.xml"/><Relationship Id="rId5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18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80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124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129" Type="http://schemas.openxmlformats.org/officeDocument/2006/relationships/table" Target="../tables/table5.xml"/><Relationship Id="rId54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288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246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98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2157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119" Type="http://schemas.openxmlformats.org/officeDocument/2006/relationships/hyperlink" Target="https://xrspace.atlassian.net/issues/?jql=created+%3E%3D+2025-01-01+AND+created+%3C%3D+2025-12-31+AND+type+%3D+Bug+AND+project+%3D+SOVA+AND+Sprint+%3D+3873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13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120" Type="http://schemas.openxmlformats.org/officeDocument/2006/relationships/hyperlink" Target="https://xrspace.atlassian.net/issues/?jql=created+%3E%3D+2025-01-01+AND+created+%3C%3D+2025-12-31+AND+type+%3D+Bug+AND+project+%3D+SOVA+AND+Sprint+%3D+1463" TargetMode="External"/><Relationship Id="rId125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1466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115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61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96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9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2618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3213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608" TargetMode="External"/><Relationship Id="rId126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575" TargetMode="External"/><Relationship Id="rId121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116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Relationship Id="rId20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27" Type="http://schemas.openxmlformats.org/officeDocument/2006/relationships/printerSettings" Target="../printerSettings/printerSettings3.bin"/><Relationship Id="rId10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122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26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17"/>
  <sheetViews>
    <sheetView zoomScaleNormal="100" workbookViewId="0">
      <selection activeCell="D18" sqref="D18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60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62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67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70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73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75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78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80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82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4"/>
  <sheetViews>
    <sheetView tabSelected="1" zoomScaleNormal="100" workbookViewId="0">
      <selection activeCell="I10" sqref="I10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50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61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68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71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v>1341</v>
      </c>
    </row>
    <row r="12" spans="1:8" ht="21.95" customHeight="1">
      <c r="A12" t="s">
        <v>76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v>1341</v>
      </c>
    </row>
    <row r="13" spans="1:8" ht="21.95" customHeight="1">
      <c r="A13" t="s">
        <v>77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2"/>
  <sheetViews>
    <sheetView zoomScaleNormal="100" workbookViewId="0">
      <selection activeCell="H23" sqref="H23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50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0.100000000000001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24</v>
      </c>
    </row>
    <row r="4" spans="1:8" ht="20.100000000000001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26</v>
      </c>
    </row>
    <row r="6" spans="1:8" ht="20.100000000000001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2</v>
      </c>
    </row>
    <row r="8" spans="1:8" ht="20.100000000000001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4</v>
      </c>
    </row>
    <row r="10" spans="1:8" ht="20.100000000000001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9</v>
      </c>
    </row>
    <row r="12" spans="1:8" ht="20.100000000000001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62</v>
      </c>
    </row>
    <row r="14" spans="1:8" ht="20.100000000000001" customHeight="1">
      <c r="A14" s="3" t="s">
        <v>67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3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73</v>
      </c>
      <c r="H17" s="13"/>
    </row>
    <row r="18" spans="1:8" ht="20.100000000000001" customHeight="1">
      <c r="A18" s="3" t="s">
        <v>75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78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80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0.100000000000001" customHeight="1">
      <c r="A21" s="3" t="s">
        <v>82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  <row r="22" spans="1:8" ht="20.100000000000001" customHeight="1">
      <c r="A22" s="3" t="s">
        <v>84</v>
      </c>
      <c r="B22">
        <v>280</v>
      </c>
      <c r="C22">
        <v>17</v>
      </c>
      <c r="D22">
        <v>1</v>
      </c>
      <c r="E22">
        <v>7</v>
      </c>
      <c r="F22">
        <v>3</v>
      </c>
      <c r="G22">
        <v>18</v>
      </c>
      <c r="H22" s="13">
        <f>SUM(Table3[[#This Row],[Passed]:[Untested]])</f>
        <v>326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H2" sqref="H2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5" customWidth="1"/>
    <col min="7" max="7" width="14.33203125" customWidth="1"/>
    <col min="8" max="8" width="15.44140625" customWidth="1"/>
  </cols>
  <sheetData>
    <row r="1" spans="1:8">
      <c r="A1" t="s">
        <v>38</v>
      </c>
      <c r="B1" s="3" t="s">
        <v>29</v>
      </c>
      <c r="C1" s="3" t="s">
        <v>59</v>
      </c>
      <c r="D1" s="3" t="s">
        <v>28</v>
      </c>
      <c r="E1" s="3" t="s">
        <v>63</v>
      </c>
      <c r="F1" s="3" t="s">
        <v>64</v>
      </c>
      <c r="G1" s="3" t="s">
        <v>5</v>
      </c>
      <c r="H1" s="3" t="s">
        <v>7</v>
      </c>
    </row>
    <row r="2" spans="1:8">
      <c r="A2" t="s">
        <v>30</v>
      </c>
      <c r="B2">
        <v>7</v>
      </c>
      <c r="C2">
        <v>0</v>
      </c>
      <c r="D2">
        <v>0</v>
      </c>
      <c r="E2">
        <v>0</v>
      </c>
      <c r="F2">
        <v>0</v>
      </c>
      <c r="G2">
        <v>96</v>
      </c>
      <c r="H2">
        <f>SUM(Table7[[#This Row],[To Do]:[Done]])</f>
        <v>103</v>
      </c>
    </row>
    <row r="3" spans="1:8">
      <c r="A3" t="s">
        <v>31</v>
      </c>
      <c r="B3">
        <v>11</v>
      </c>
      <c r="C3">
        <v>0</v>
      </c>
      <c r="D3">
        <v>0</v>
      </c>
      <c r="E3">
        <v>1</v>
      </c>
      <c r="F3">
        <v>0</v>
      </c>
      <c r="G3">
        <v>89</v>
      </c>
      <c r="H3">
        <f>SUM(Table7[[#This Row],[To Do]:[Done]])</f>
        <v>101</v>
      </c>
    </row>
    <row r="4" spans="1:8">
      <c r="A4" t="s">
        <v>32</v>
      </c>
      <c r="B4">
        <v>7</v>
      </c>
      <c r="C4">
        <v>0</v>
      </c>
      <c r="D4">
        <v>0</v>
      </c>
      <c r="E4">
        <v>1</v>
      </c>
      <c r="F4">
        <v>0</v>
      </c>
      <c r="G4">
        <v>58</v>
      </c>
      <c r="H4">
        <f>SUM(Table7[[#This Row],[To Do]:[Done]])</f>
        <v>66</v>
      </c>
    </row>
    <row r="5" spans="1:8">
      <c r="A5" t="s">
        <v>33</v>
      </c>
      <c r="B5">
        <v>25</v>
      </c>
      <c r="C5">
        <v>0</v>
      </c>
      <c r="D5">
        <v>0</v>
      </c>
      <c r="E5">
        <v>1</v>
      </c>
      <c r="F5">
        <v>0</v>
      </c>
      <c r="G5">
        <v>167</v>
      </c>
      <c r="H5">
        <f>SUM(Table7[[#This Row],[To Do]:[Done]])</f>
        <v>193</v>
      </c>
    </row>
    <row r="6" spans="1:8">
      <c r="A6" t="s">
        <v>34</v>
      </c>
      <c r="B6">
        <v>31</v>
      </c>
      <c r="C6">
        <v>0</v>
      </c>
      <c r="D6">
        <v>0</v>
      </c>
      <c r="E6">
        <v>0</v>
      </c>
      <c r="F6">
        <v>0</v>
      </c>
      <c r="G6">
        <v>156</v>
      </c>
      <c r="H6">
        <f>SUM(Table7[[#This Row],[To Do]:[Done]])</f>
        <v>187</v>
      </c>
    </row>
    <row r="7" spans="1:8">
      <c r="A7" t="s">
        <v>35</v>
      </c>
      <c r="B7">
        <v>15</v>
      </c>
      <c r="C7">
        <v>0</v>
      </c>
      <c r="D7">
        <v>0</v>
      </c>
      <c r="E7">
        <v>0</v>
      </c>
      <c r="F7">
        <v>0</v>
      </c>
      <c r="G7">
        <v>76</v>
      </c>
      <c r="H7">
        <f>SUM(Table7[[#This Row],[To Do]:[Done]])</f>
        <v>91</v>
      </c>
    </row>
    <row r="8" spans="1:8">
      <c r="A8" t="s">
        <v>36</v>
      </c>
      <c r="B8">
        <v>15</v>
      </c>
      <c r="C8">
        <v>0</v>
      </c>
      <c r="D8">
        <v>1</v>
      </c>
      <c r="E8">
        <v>0</v>
      </c>
      <c r="F8">
        <v>0</v>
      </c>
      <c r="G8">
        <v>61</v>
      </c>
      <c r="H8">
        <f>SUM(Table7[[#This Row],[To Do]:[Done]])</f>
        <v>77</v>
      </c>
    </row>
    <row r="9" spans="1:8">
      <c r="A9" t="s">
        <v>37</v>
      </c>
      <c r="B9">
        <v>7</v>
      </c>
      <c r="C9">
        <v>0</v>
      </c>
      <c r="D9">
        <v>0</v>
      </c>
      <c r="E9">
        <v>0</v>
      </c>
      <c r="F9">
        <v>0</v>
      </c>
      <c r="G9">
        <v>46</v>
      </c>
      <c r="H9">
        <f>SUM(Table7[[#This Row],[To Do]:[Done]])</f>
        <v>53</v>
      </c>
    </row>
    <row r="10" spans="1:8">
      <c r="A10" t="s">
        <v>11</v>
      </c>
      <c r="B10">
        <v>18</v>
      </c>
      <c r="C10">
        <v>0</v>
      </c>
      <c r="D10">
        <v>2</v>
      </c>
      <c r="E10">
        <v>0</v>
      </c>
      <c r="F10">
        <v>0</v>
      </c>
      <c r="G10">
        <v>42</v>
      </c>
      <c r="H10">
        <f>SUM(Table7[[#This Row],[To Do]:[Done]])</f>
        <v>62</v>
      </c>
    </row>
    <row r="11" spans="1:8">
      <c r="A11" t="s">
        <v>12</v>
      </c>
      <c r="B11">
        <v>17</v>
      </c>
      <c r="C11">
        <v>0</v>
      </c>
      <c r="D11">
        <v>1</v>
      </c>
      <c r="E11">
        <v>0</v>
      </c>
      <c r="F11">
        <v>0</v>
      </c>
      <c r="G11">
        <v>33</v>
      </c>
      <c r="H11">
        <f>SUM(Table7[[#This Row],[To Do]:[Done]])</f>
        <v>51</v>
      </c>
    </row>
    <row r="12" spans="1:8">
      <c r="A12" t="s">
        <v>13</v>
      </c>
      <c r="B12">
        <v>26</v>
      </c>
      <c r="C12">
        <v>0</v>
      </c>
      <c r="D12">
        <v>0</v>
      </c>
      <c r="E12">
        <v>0</v>
      </c>
      <c r="F12">
        <v>0</v>
      </c>
      <c r="G12">
        <v>25</v>
      </c>
      <c r="H12">
        <f>SUM(Table7[[#This Row],[To Do]:[Done]])</f>
        <v>51</v>
      </c>
    </row>
    <row r="13" spans="1:8">
      <c r="A13" t="s">
        <v>14</v>
      </c>
      <c r="B13">
        <v>15</v>
      </c>
      <c r="C13">
        <v>0</v>
      </c>
      <c r="D13">
        <v>0</v>
      </c>
      <c r="E13">
        <v>0</v>
      </c>
      <c r="F13">
        <v>0</v>
      </c>
      <c r="G13">
        <v>55</v>
      </c>
      <c r="H13">
        <f>SUM(Table7[[#This Row],[To Do]:[Done]])</f>
        <v>70</v>
      </c>
    </row>
    <row r="14" spans="1:8">
      <c r="A14" t="s">
        <v>15</v>
      </c>
      <c r="B14">
        <v>9</v>
      </c>
      <c r="C14">
        <v>1</v>
      </c>
      <c r="D14">
        <v>0</v>
      </c>
      <c r="E14">
        <v>0</v>
      </c>
      <c r="F14">
        <v>0</v>
      </c>
      <c r="G14">
        <v>38</v>
      </c>
      <c r="H14">
        <f>SUM(Table7[[#This Row],[To Do]:[Done]])</f>
        <v>48</v>
      </c>
    </row>
    <row r="15" spans="1:8">
      <c r="A15" t="s">
        <v>16</v>
      </c>
      <c r="B15">
        <v>5</v>
      </c>
      <c r="C15">
        <v>0</v>
      </c>
      <c r="D15">
        <v>0</v>
      </c>
      <c r="E15">
        <v>0</v>
      </c>
      <c r="F15">
        <v>0</v>
      </c>
      <c r="G15">
        <v>33</v>
      </c>
      <c r="H15">
        <f>SUM(Table7[[#This Row],[To Do]:[Done]])</f>
        <v>38</v>
      </c>
    </row>
    <row r="16" spans="1:8">
      <c r="A16" t="s">
        <v>17</v>
      </c>
      <c r="B16">
        <v>11</v>
      </c>
      <c r="C16">
        <v>1</v>
      </c>
      <c r="D16">
        <v>0</v>
      </c>
      <c r="E16">
        <v>1</v>
      </c>
      <c r="F16">
        <v>0</v>
      </c>
      <c r="G16">
        <v>27</v>
      </c>
      <c r="H16">
        <f>SUM(Table7[[#This Row],[To Do]:[Done]])</f>
        <v>40</v>
      </c>
    </row>
    <row r="17" spans="1:8">
      <c r="A17" t="s">
        <v>61</v>
      </c>
      <c r="B17">
        <v>2</v>
      </c>
      <c r="C17">
        <v>0</v>
      </c>
      <c r="D17">
        <v>0</v>
      </c>
      <c r="E17">
        <v>1</v>
      </c>
      <c r="F17">
        <v>0</v>
      </c>
      <c r="G17">
        <v>0</v>
      </c>
      <c r="H17">
        <f>SUM(Table7[[#This Row],[To Do]:[Done]])</f>
        <v>3</v>
      </c>
    </row>
    <row r="18" spans="1:8">
      <c r="A18" t="s">
        <v>68</v>
      </c>
      <c r="B18">
        <v>15</v>
      </c>
      <c r="C18">
        <v>0</v>
      </c>
      <c r="D18">
        <v>0</v>
      </c>
      <c r="E18">
        <v>0</v>
      </c>
      <c r="F18">
        <v>0</v>
      </c>
      <c r="G18">
        <v>7</v>
      </c>
      <c r="H18">
        <f>SUM(Table7[[#This Row],[To Do]:[Done]])</f>
        <v>22</v>
      </c>
    </row>
    <row r="19" spans="1:8">
      <c r="A19" t="s">
        <v>71</v>
      </c>
      <c r="B19">
        <v>1</v>
      </c>
      <c r="C19">
        <v>0</v>
      </c>
      <c r="D19">
        <v>0</v>
      </c>
      <c r="E19">
        <v>0</v>
      </c>
      <c r="F19">
        <v>0</v>
      </c>
      <c r="G19">
        <v>11</v>
      </c>
      <c r="H19">
        <f>SUM(Table7[[#This Row],[To Do]:[Done]])</f>
        <v>12</v>
      </c>
    </row>
    <row r="20" spans="1:8">
      <c r="A20" t="s">
        <v>76</v>
      </c>
      <c r="B20">
        <v>5</v>
      </c>
      <c r="C20">
        <v>0</v>
      </c>
      <c r="D20">
        <v>0</v>
      </c>
      <c r="E20">
        <v>0</v>
      </c>
      <c r="F20">
        <v>0</v>
      </c>
      <c r="G20">
        <v>7</v>
      </c>
      <c r="H20" s="12">
        <f>SUM(Table7[[#This Row],[To Do]:[Done]])</f>
        <v>12</v>
      </c>
    </row>
    <row r="21" spans="1:8">
      <c r="A21" t="s">
        <v>77</v>
      </c>
      <c r="B21">
        <v>15</v>
      </c>
      <c r="C21">
        <v>0</v>
      </c>
      <c r="D21">
        <v>1</v>
      </c>
      <c r="E21">
        <v>2</v>
      </c>
      <c r="F21">
        <v>0</v>
      </c>
      <c r="G21">
        <v>22</v>
      </c>
      <c r="H21" s="12">
        <f>SUM(Table7[[#This Row],[To Do]:[Done]])</f>
        <v>40</v>
      </c>
    </row>
    <row r="22" spans="1:8">
      <c r="A22" t="s">
        <v>81</v>
      </c>
      <c r="B22">
        <v>0</v>
      </c>
      <c r="C22">
        <v>0</v>
      </c>
      <c r="D22">
        <v>0</v>
      </c>
      <c r="E22">
        <v>0</v>
      </c>
      <c r="F22">
        <v>0</v>
      </c>
      <c r="G22">
        <v>3</v>
      </c>
      <c r="H22" s="12">
        <f>SUM(Table7[[#This Row],[To Do]:[Done]])</f>
        <v>3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H19"/>
  <sheetViews>
    <sheetView zoomScaleNormal="100" workbookViewId="0">
      <selection activeCell="B2" sqref="B2:H19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7" width="20.109375" customWidth="1"/>
    <col min="8" max="8" width="14.21875" customWidth="1"/>
  </cols>
  <sheetData>
    <row r="1" spans="1:8" ht="21" thickBot="1">
      <c r="A1" s="6" t="s">
        <v>39</v>
      </c>
      <c r="B1" s="7" t="s">
        <v>40</v>
      </c>
      <c r="C1" s="7" t="s">
        <v>44</v>
      </c>
      <c r="D1" s="7" t="s">
        <v>65</v>
      </c>
      <c r="E1" s="7" t="s">
        <v>42</v>
      </c>
      <c r="F1" s="7" t="s">
        <v>41</v>
      </c>
      <c r="G1" s="8" t="s">
        <v>43</v>
      </c>
      <c r="H1" s="9" t="s">
        <v>7</v>
      </c>
    </row>
    <row r="2" spans="1:8" ht="18" thickBot="1">
      <c r="A2" s="4" t="s">
        <v>53</v>
      </c>
      <c r="B2" s="5">
        <v>0</v>
      </c>
      <c r="C2" s="5">
        <v>0</v>
      </c>
      <c r="D2" s="5">
        <v>0</v>
      </c>
      <c r="E2" s="5">
        <v>0</v>
      </c>
      <c r="F2" s="5">
        <v>20</v>
      </c>
      <c r="G2" s="5">
        <v>3</v>
      </c>
      <c r="H2" s="5">
        <v>23</v>
      </c>
    </row>
    <row r="3" spans="1:8" ht="18" thickBot="1">
      <c r="A3" s="4" t="s">
        <v>54</v>
      </c>
      <c r="B3" s="5">
        <v>0</v>
      </c>
      <c r="C3" s="5">
        <v>0</v>
      </c>
      <c r="D3" s="5">
        <v>0</v>
      </c>
      <c r="E3" s="5">
        <v>0</v>
      </c>
      <c r="F3" s="5">
        <v>20</v>
      </c>
      <c r="G3" s="5">
        <v>2</v>
      </c>
      <c r="H3" s="5">
        <v>22</v>
      </c>
    </row>
    <row r="4" spans="1:8" ht="18" thickBot="1">
      <c r="A4" s="4" t="s">
        <v>55</v>
      </c>
      <c r="B4" s="5">
        <v>0</v>
      </c>
      <c r="C4" s="5">
        <v>0</v>
      </c>
      <c r="D4" s="5">
        <v>0</v>
      </c>
      <c r="E4" s="5">
        <v>0</v>
      </c>
      <c r="F4" s="5">
        <v>16</v>
      </c>
      <c r="G4" s="5">
        <v>2</v>
      </c>
      <c r="H4" s="5">
        <v>18</v>
      </c>
    </row>
    <row r="5" spans="1:8" ht="18" thickBot="1">
      <c r="A5" s="4" t="s">
        <v>56</v>
      </c>
      <c r="B5" s="5">
        <v>0</v>
      </c>
      <c r="C5" s="5">
        <v>0</v>
      </c>
      <c r="D5" s="5">
        <v>0</v>
      </c>
      <c r="E5" s="5">
        <v>0</v>
      </c>
      <c r="F5" s="5">
        <v>16</v>
      </c>
      <c r="G5" s="5">
        <v>2</v>
      </c>
      <c r="H5" s="5">
        <v>18</v>
      </c>
    </row>
    <row r="6" spans="1:8" ht="18" thickBot="1">
      <c r="A6" s="4" t="s">
        <v>57</v>
      </c>
      <c r="B6" s="5">
        <v>0</v>
      </c>
      <c r="C6" s="5">
        <v>0</v>
      </c>
      <c r="D6" s="5">
        <v>0</v>
      </c>
      <c r="E6" s="5">
        <v>0</v>
      </c>
      <c r="F6" s="5">
        <v>55</v>
      </c>
      <c r="G6" s="5">
        <v>4</v>
      </c>
      <c r="H6" s="5">
        <v>59</v>
      </c>
    </row>
    <row r="7" spans="1:8" ht="18" thickBot="1">
      <c r="A7" s="4" t="s">
        <v>58</v>
      </c>
      <c r="B7" s="5">
        <v>0</v>
      </c>
      <c r="C7" s="5">
        <v>0</v>
      </c>
      <c r="D7" s="5">
        <v>0</v>
      </c>
      <c r="E7" s="5">
        <v>0</v>
      </c>
      <c r="F7" s="5">
        <v>35</v>
      </c>
      <c r="G7" s="5">
        <v>4</v>
      </c>
      <c r="H7" s="5">
        <v>39</v>
      </c>
    </row>
    <row r="8" spans="1:8" ht="18" thickBot="1">
      <c r="A8" s="4" t="s">
        <v>45</v>
      </c>
      <c r="B8" s="5">
        <v>0</v>
      </c>
      <c r="C8" s="5">
        <v>1</v>
      </c>
      <c r="D8" s="5">
        <v>0</v>
      </c>
      <c r="E8" s="5">
        <v>0</v>
      </c>
      <c r="F8" s="5">
        <v>39</v>
      </c>
      <c r="G8" s="5">
        <v>2</v>
      </c>
      <c r="H8" s="5">
        <v>42</v>
      </c>
    </row>
    <row r="9" spans="1:8" ht="18" thickBot="1">
      <c r="A9" s="4" t="s">
        <v>46</v>
      </c>
      <c r="B9" s="5">
        <v>0</v>
      </c>
      <c r="C9" s="5">
        <v>1</v>
      </c>
      <c r="D9" s="5">
        <v>0</v>
      </c>
      <c r="E9" s="5">
        <v>0</v>
      </c>
      <c r="F9" s="5">
        <v>39</v>
      </c>
      <c r="G9" s="5">
        <v>6</v>
      </c>
      <c r="H9" s="5">
        <v>46</v>
      </c>
    </row>
    <row r="10" spans="1:8" ht="18" thickBot="1">
      <c r="A10" s="4" t="s">
        <v>47</v>
      </c>
      <c r="B10" s="5">
        <v>0</v>
      </c>
      <c r="C10" s="5">
        <v>1</v>
      </c>
      <c r="D10" s="5">
        <v>0</v>
      </c>
      <c r="E10" s="5">
        <v>0</v>
      </c>
      <c r="F10" s="5">
        <v>45</v>
      </c>
      <c r="G10" s="5">
        <v>7</v>
      </c>
      <c r="H10" s="5">
        <v>53</v>
      </c>
    </row>
    <row r="11" spans="1:8" ht="18" thickBot="1">
      <c r="A11" s="4" t="s">
        <v>48</v>
      </c>
      <c r="B11" s="5">
        <v>0</v>
      </c>
      <c r="C11" s="5">
        <v>1</v>
      </c>
      <c r="D11" s="5">
        <v>0</v>
      </c>
      <c r="E11" s="5">
        <v>1</v>
      </c>
      <c r="F11" s="5">
        <v>17</v>
      </c>
      <c r="G11" s="5">
        <v>1</v>
      </c>
      <c r="H11" s="5">
        <v>20</v>
      </c>
    </row>
    <row r="12" spans="1:8" ht="18" thickBot="1">
      <c r="A12" s="4" t="s">
        <v>49</v>
      </c>
      <c r="B12" s="5">
        <v>2</v>
      </c>
      <c r="C12" s="5">
        <v>1</v>
      </c>
      <c r="D12" s="5">
        <v>0</v>
      </c>
      <c r="E12" s="5">
        <v>0</v>
      </c>
      <c r="F12" s="5">
        <v>25</v>
      </c>
      <c r="G12" s="5">
        <v>4</v>
      </c>
      <c r="H12" s="5">
        <v>32</v>
      </c>
    </row>
    <row r="13" spans="1:8" ht="18" thickBot="1">
      <c r="A13" s="4" t="s">
        <v>51</v>
      </c>
      <c r="B13" s="5">
        <v>3</v>
      </c>
      <c r="C13" s="5">
        <v>0</v>
      </c>
      <c r="D13" s="5">
        <v>0</v>
      </c>
      <c r="E13" s="5">
        <v>0</v>
      </c>
      <c r="F13" s="5">
        <v>45</v>
      </c>
      <c r="G13" s="5">
        <v>5</v>
      </c>
      <c r="H13" s="5">
        <v>53</v>
      </c>
    </row>
    <row r="14" spans="1:8" ht="18" thickBot="1">
      <c r="A14" s="4" t="s">
        <v>52</v>
      </c>
      <c r="B14" s="5">
        <v>0</v>
      </c>
      <c r="C14" s="5">
        <v>0</v>
      </c>
      <c r="D14" s="5">
        <v>0</v>
      </c>
      <c r="E14" s="5">
        <v>0</v>
      </c>
      <c r="F14" s="5">
        <v>24</v>
      </c>
      <c r="G14" s="5">
        <v>1</v>
      </c>
      <c r="H14" s="5">
        <v>25</v>
      </c>
    </row>
    <row r="15" spans="1:8" ht="18" thickBot="1">
      <c r="A15" s="4" t="s">
        <v>66</v>
      </c>
      <c r="B15" s="5">
        <v>1</v>
      </c>
      <c r="C15" s="5">
        <v>0</v>
      </c>
      <c r="D15" s="5">
        <v>0</v>
      </c>
      <c r="E15" s="5">
        <v>0</v>
      </c>
      <c r="F15" s="5">
        <v>42</v>
      </c>
      <c r="G15" s="5">
        <v>0</v>
      </c>
      <c r="H15" s="5">
        <v>43</v>
      </c>
    </row>
    <row r="16" spans="1:8" ht="18" thickBot="1">
      <c r="A16" s="4" t="s">
        <v>72</v>
      </c>
      <c r="B16" s="5">
        <v>1</v>
      </c>
      <c r="C16" s="5">
        <v>0</v>
      </c>
      <c r="D16" s="5">
        <v>0</v>
      </c>
      <c r="E16" s="5">
        <v>0</v>
      </c>
      <c r="F16" s="5">
        <v>34</v>
      </c>
      <c r="G16" s="5">
        <v>0</v>
      </c>
      <c r="H16" s="5">
        <v>35</v>
      </c>
    </row>
    <row r="17" spans="1:8" ht="18" thickBot="1">
      <c r="A17" s="4" t="s">
        <v>74</v>
      </c>
      <c r="B17" s="5">
        <v>1</v>
      </c>
      <c r="C17" s="5">
        <v>0</v>
      </c>
      <c r="D17" s="5">
        <v>0</v>
      </c>
      <c r="E17" s="5">
        <v>3</v>
      </c>
      <c r="F17" s="5">
        <v>25</v>
      </c>
      <c r="G17" s="5">
        <v>0</v>
      </c>
      <c r="H17" s="5">
        <v>29</v>
      </c>
    </row>
    <row r="18" spans="1:8" ht="18" thickBot="1">
      <c r="A18" s="4" t="s">
        <v>79</v>
      </c>
      <c r="B18" s="5">
        <v>21</v>
      </c>
      <c r="C18" s="5">
        <v>0</v>
      </c>
      <c r="D18" s="5">
        <v>0</v>
      </c>
      <c r="E18" s="5">
        <v>14</v>
      </c>
      <c r="F18" s="5">
        <v>3</v>
      </c>
      <c r="G18" s="5">
        <v>1</v>
      </c>
      <c r="H18" s="5">
        <v>39</v>
      </c>
    </row>
    <row r="19" spans="1:8" ht="18" thickBot="1">
      <c r="A19" s="4" t="s">
        <v>83</v>
      </c>
      <c r="B19" s="5">
        <v>2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2</v>
      </c>
    </row>
  </sheetData>
  <phoneticPr fontId="1" type="noConversion"/>
  <hyperlinks>
    <hyperlink ref="B3" r:id="rId1" display="https://xrspace.atlassian.net/issues/?jql=created+%3E%3D+2025-01-01+AND+created+%3C%3D+2025-12-31+AND+type+%3D+Bug+AND+project+%3D+SOVA+AND+Sprint+%3D+1466+AND+status+%3D+%22To+Do+%280%25%29%22" xr:uid="{F70AD85A-5280-4871-A226-3E6282A59EE5}"/>
    <hyperlink ref="D3" r:id="rId2" display="https://xrspace.atlassian.net/issues/?jql=created+%3E%3D+2025-01-01+AND+created+%3C%3D+2025-12-31+AND+type+%3D+Bug+AND+project+%3D+SOVA+AND+Sprint+%3D+1466+AND+status+%3D+%22In+Progress+%2850+%7E+70%25%29%22" xr:uid="{F2024990-6FDC-45E8-B7EE-77A8D249AF96}"/>
    <hyperlink ref="F3" r:id="rId3" display="https://xrspace.atlassian.net/issues/?jql=created+%3E%3D+2025-01-01+AND+created+%3C%3D+2025-12-31+AND+type+%3D+Bug+AND+project+%3D+SOVA+AND+Sprint+%3D+1466+AND+status+%3D+%22Done+%28100%25%29%22" xr:uid="{A9975C8D-5727-4DBC-BD68-3C2A3D8C74DA}"/>
    <hyperlink ref="E3" r:id="rId4" display="https://xrspace.atlassian.net/issues/?jql=created+%3E%3D+2025-01-01+AND+created+%3C%3D+2025-12-31+AND+type+%3D+Bug+AND+project+%3D+SOVA+AND+Sprint+%3D+1466+AND+status+%3D+%22IN+REVIEW+%2880%25%29%22" xr:uid="{D771B85E-55B8-490D-9620-47EFDBDAC2DD}"/>
    <hyperlink ref="G3" r:id="rId5" display="https://xrspace.atlassian.net/issues/?jql=created+%3E%3D+2025-01-01+AND+created+%3C%3D+2025-12-31+AND+type+%3D+Bug+AND+project+%3D+SOVA+AND+Sprint+%3D+1466+AND+status+%3D+%22WON%27T+DO+%28100%25%29%22" xr:uid="{E11A7742-9ABE-4BB5-90DC-27B9F64AB250}"/>
    <hyperlink ref="C3" r:id="rId6" display="https://xrspace.atlassian.net/issues/?jql=created+%3E%3D+2025-01-01+AND+created+%3C%3D+2025-12-31+AND+type+%3D+Bug+AND+project+%3D+SOVA+AND+Sprint+%3D+1466+AND+status+%3D+%22STARTING+%2810+%7E+40%25%29%22" xr:uid="{FC2AF808-4111-4A85-A7EA-2E769945CE73}"/>
    <hyperlink ref="H3" r:id="rId7" display="https://xrspace.atlassian.net/issues/?jql=created+%3E%3D+2025-01-01+AND+created+%3C%3D+2025-12-31+AND+type+%3D+Bug+AND+project+%3D+SOVA+AND+Sprint+%3D+1466" xr:uid="{3272E4A4-5254-4B04-931F-9CA103110246}"/>
    <hyperlink ref="B4" r:id="rId8" display="https://xrspace.atlassian.net/issues/?jql=created+%3E%3D+2025-01-01+AND+created+%3C%3D+2025-12-31+AND+type+%3D+Bug+AND+project+%3D+SOVA+AND+Sprint+%3D+1496+AND+status+%3D+%22To+Do+%280%25%29%22" xr:uid="{91E2CEA2-BCD5-4F65-9C5E-05A8B812EC4C}"/>
    <hyperlink ref="D4" r:id="rId9" display="https://xrspace.atlassian.net/issues/?jql=created+%3E%3D+2025-01-01+AND+created+%3C%3D+2025-12-31+AND+type+%3D+Bug+AND+project+%3D+SOVA+AND+Sprint+%3D+1496+AND+status+%3D+%22In+Progress+%2850+%7E+70%25%29%22" xr:uid="{0EB40C2C-3EF5-4B44-94B4-6C9D61E430E3}"/>
    <hyperlink ref="F4" r:id="rId10" display="https://xrspace.atlassian.net/issues/?jql=created+%3E%3D+2025-01-01+AND+created+%3C%3D+2025-12-31+AND+type+%3D+Bug+AND+project+%3D+SOVA+AND+Sprint+%3D+1496+AND+status+%3D+%22Done+%28100%25%29%22" xr:uid="{B484375B-0DE9-42C7-B2FD-C847E76E8864}"/>
    <hyperlink ref="E4" r:id="rId11" display="https://xrspace.atlassian.net/issues/?jql=created+%3E%3D+2025-01-01+AND+created+%3C%3D+2025-12-31+AND+type+%3D+Bug+AND+project+%3D+SOVA+AND+Sprint+%3D+1496+AND+status+%3D+%22IN+REVIEW+%2880%25%29%22" xr:uid="{7D1FF0A0-E140-4A83-8CEE-461DD96ED4B4}"/>
    <hyperlink ref="G4" r:id="rId12" display="https://xrspace.atlassian.net/issues/?jql=created+%3E%3D+2025-01-01+AND+created+%3C%3D+2025-12-31+AND+type+%3D+Bug+AND+project+%3D+SOVA+AND+Sprint+%3D+1496+AND+status+%3D+%22WON%27T+DO+%28100%25%29%22" xr:uid="{C04C82E6-7E2D-4088-B8D9-427EAFCF6B26}"/>
    <hyperlink ref="C4" r:id="rId13" display="https://xrspace.atlassian.net/issues/?jql=created+%3E%3D+2025-01-01+AND+created+%3C%3D+2025-12-31+AND+type+%3D+Bug+AND+project+%3D+SOVA+AND+Sprint+%3D+1496+AND+status+%3D+%22STARTING+%2810+%7E+40%25%29%22" xr:uid="{48913CE5-0331-45BD-9082-D4DC77273675}"/>
    <hyperlink ref="H4" r:id="rId14" display="https://xrspace.atlassian.net/issues/?jql=created+%3E%3D+2025-01-01+AND+created+%3C%3D+2025-12-31+AND+type+%3D+Bug+AND+project+%3D+SOVA+AND+Sprint+%3D+1496" xr:uid="{C70EE454-760A-4C1D-B1F7-D2271F71F2E1}"/>
    <hyperlink ref="B5" r:id="rId15" display="https://xrspace.atlassian.net/issues/?jql=created+%3E%3D+2025-01-01+AND+created+%3C%3D+2025-12-31+AND+type+%3D+Bug+AND+project+%3D+SOVA+AND+Sprint+%3D+1497+AND+status+%3D+%22To+Do+%280%25%29%22" xr:uid="{B3547D6B-C7B0-47D2-A039-EE4ED5268CC0}"/>
    <hyperlink ref="D5" r:id="rId16" display="https://xrspace.atlassian.net/issues/?jql=created+%3E%3D+2025-01-01+AND+created+%3C%3D+2025-12-31+AND+type+%3D+Bug+AND+project+%3D+SOVA+AND+Sprint+%3D+1497+AND+status+%3D+%22In+Progress+%2850+%7E+70%25%29%22" xr:uid="{B7C3CF9D-C9FB-4CC1-83D0-CDB9626D0B0A}"/>
    <hyperlink ref="F5" r:id="rId17" display="https://xrspace.atlassian.net/issues/?jql=created+%3E%3D+2025-01-01+AND+created+%3C%3D+2025-12-31+AND+type+%3D+Bug+AND+project+%3D+SOVA+AND+Sprint+%3D+1497+AND+status+%3D+%22Done+%28100%25%29%22" xr:uid="{AFF7F4E9-7050-4752-B22D-46875E235A24}"/>
    <hyperlink ref="E5" r:id="rId18" display="https://xrspace.atlassian.net/issues/?jql=created+%3E%3D+2025-01-01+AND+created+%3C%3D+2025-12-31+AND+type+%3D+Bug+AND+project+%3D+SOVA+AND+Sprint+%3D+1497+AND+status+%3D+%22IN+REVIEW+%2880%25%29%22" xr:uid="{6A5FCB17-6973-4B44-82C4-4ED7731E4F17}"/>
    <hyperlink ref="G5" r:id="rId19" display="https://xrspace.atlassian.net/issues/?jql=created+%3E%3D+2025-01-01+AND+created+%3C%3D+2025-12-31+AND+type+%3D+Bug+AND+project+%3D+SOVA+AND+Sprint+%3D+1497+AND+status+%3D+%22WON%27T+DO+%28100%25%29%22" xr:uid="{CC6BC5EA-7F2F-404D-8529-A5BEBF0F3B70}"/>
    <hyperlink ref="C5" r:id="rId20" display="https://xrspace.atlassian.net/issues/?jql=created+%3E%3D+2025-01-01+AND+created+%3C%3D+2025-12-31+AND+type+%3D+Bug+AND+project+%3D+SOVA+AND+Sprint+%3D+1497+AND+status+%3D+%22STARTING+%2810+%7E+40%25%29%22" xr:uid="{AA98E473-B499-4A3D-98EC-FC8405345A08}"/>
    <hyperlink ref="H5" r:id="rId21" display="https://xrspace.atlassian.net/issues/?jql=created+%3E%3D+2025-01-01+AND+created+%3C%3D+2025-12-31+AND+type+%3D+Bug+AND+project+%3D+SOVA+AND+Sprint+%3D+1497" xr:uid="{A2B7F0A1-8E95-4F52-A2D2-CB303BA8059D}"/>
    <hyperlink ref="B6" r:id="rId22" display="https://xrspace.atlassian.net/issues/?jql=created+%3E%3D+2025-01-01+AND+created+%3C%3D+2025-12-31+AND+type+%3D+Bug+AND+project+%3D+SOVA+AND+Sprint+%3D+1498+AND+status+%3D+%22To+Do+%280%25%29%22" xr:uid="{5443F234-0245-4EC7-9984-80A17DF34ACA}"/>
    <hyperlink ref="D6" r:id="rId23" display="https://xrspace.atlassian.net/issues/?jql=created+%3E%3D+2025-01-01+AND+created+%3C%3D+2025-12-31+AND+type+%3D+Bug+AND+project+%3D+SOVA+AND+Sprint+%3D+1498+AND+status+%3D+%22In+Progress+%2850+%7E+70%25%29%22" xr:uid="{D519C2BD-70C2-44EC-913A-CC49722AEA04}"/>
    <hyperlink ref="F6" r:id="rId24" display="https://xrspace.atlassian.net/issues/?jql=created+%3E%3D+2025-01-01+AND+created+%3C%3D+2025-12-31+AND+type+%3D+Bug+AND+project+%3D+SOVA+AND+Sprint+%3D+1498+AND+status+%3D+%22Done+%28100%25%29%22" xr:uid="{2CD4ACC5-471F-4383-A4A1-291CB005726D}"/>
    <hyperlink ref="E6" r:id="rId25" display="https://xrspace.atlassian.net/issues/?jql=created+%3E%3D+2025-01-01+AND+created+%3C%3D+2025-12-31+AND+type+%3D+Bug+AND+project+%3D+SOVA+AND+Sprint+%3D+1498+AND+status+%3D+%22IN+REVIEW+%2880%25%29%22" xr:uid="{F1BCB9F3-D562-4A58-BAA0-86FE1AFC9603}"/>
    <hyperlink ref="G6" r:id="rId26" display="https://xrspace.atlassian.net/issues/?jql=created+%3E%3D+2025-01-01+AND+created+%3C%3D+2025-12-31+AND+type+%3D+Bug+AND+project+%3D+SOVA+AND+Sprint+%3D+1498+AND+status+%3D+%22WON%27T+DO+%28100%25%29%22" xr:uid="{2BF2AB4B-CF83-4D3D-9656-8A0AE1B8624D}"/>
    <hyperlink ref="C6" r:id="rId27" display="https://xrspace.atlassian.net/issues/?jql=created+%3E%3D+2025-01-01+AND+created+%3C%3D+2025-12-31+AND+type+%3D+Bug+AND+project+%3D+SOVA+AND+Sprint+%3D+1498+AND+status+%3D+%22STARTING+%2810+%7E+40%25%29%22" xr:uid="{A5E79C68-7F80-480F-B167-EC1A13C31754}"/>
    <hyperlink ref="H6" r:id="rId28" display="https://xrspace.atlassian.net/issues/?jql=created+%3E%3D+2025-01-01+AND+created+%3C%3D+2025-12-31+AND+type+%3D+Bug+AND+project+%3D+SOVA+AND+Sprint+%3D+1498" xr:uid="{84C8DB70-3697-426D-A420-4E35A554F885}"/>
    <hyperlink ref="B7" r:id="rId29" display="https://xrspace.atlassian.net/issues/?jql=created+%3E%3D+2025-01-01+AND+created+%3C%3D+2025-12-31+AND+type+%3D+Bug+AND+project+%3D+SOVA+AND+Sprint+%3D+1499+AND+status+%3D+%22To+Do+%280%25%29%22" xr:uid="{8D0B3645-FD47-45E8-88CB-781FFC7F5795}"/>
    <hyperlink ref="D7" r:id="rId30" display="https://xrspace.atlassian.net/issues/?jql=created+%3E%3D+2025-01-01+AND+created+%3C%3D+2025-12-31+AND+type+%3D+Bug+AND+project+%3D+SOVA+AND+Sprint+%3D+1499+AND+status+%3D+%22In+Progress+%2850+%7E+70%25%29%22" xr:uid="{ACC96D66-9790-48F2-BB7C-9D8E70F87FD6}"/>
    <hyperlink ref="F7" r:id="rId31" display="https://xrspace.atlassian.net/issues/?jql=created+%3E%3D+2025-01-01+AND+created+%3C%3D+2025-12-31+AND+type+%3D+Bug+AND+project+%3D+SOVA+AND+Sprint+%3D+1499+AND+status+%3D+%22Done+%28100%25%29%22" xr:uid="{2044B62E-9AF3-4631-BB0E-BDB2C5C3041D}"/>
    <hyperlink ref="E7" r:id="rId32" display="https://xrspace.atlassian.net/issues/?jql=created+%3E%3D+2025-01-01+AND+created+%3C%3D+2025-12-31+AND+type+%3D+Bug+AND+project+%3D+SOVA+AND+Sprint+%3D+1499+AND+status+%3D+%22IN+REVIEW+%2880%25%29%22" xr:uid="{21A26CDB-E546-41D0-8EA6-76A784D2ABD0}"/>
    <hyperlink ref="G7" r:id="rId33" display="https://xrspace.atlassian.net/issues/?jql=created+%3E%3D+2025-01-01+AND+created+%3C%3D+2025-12-31+AND+type+%3D+Bug+AND+project+%3D+SOVA+AND+Sprint+%3D+1499+AND+status+%3D+%22WON%27T+DO+%28100%25%29%22" xr:uid="{23842D8E-B7AB-4E40-8465-D3FD7FC62E34}"/>
    <hyperlink ref="C7" r:id="rId34" display="https://xrspace.atlassian.net/issues/?jql=created+%3E%3D+2025-01-01+AND+created+%3C%3D+2025-12-31+AND+type+%3D+Bug+AND+project+%3D+SOVA+AND+Sprint+%3D+1499+AND+status+%3D+%22STARTING+%2810+%7E+40%25%29%22" xr:uid="{1784EAFB-6386-4092-B551-28A83BEB0C32}"/>
    <hyperlink ref="H7" r:id="rId35" display="https://xrspace.atlassian.net/issues/?jql=created+%3E%3D+2025-01-01+AND+created+%3C%3D+2025-12-31+AND+type+%3D+Bug+AND+project+%3D+SOVA+AND+Sprint+%3D+1499" xr:uid="{1B735EB8-E741-4121-92D3-23B89D1EA148}"/>
    <hyperlink ref="B8" r:id="rId36" display="https://xrspace.atlassian.net/issues/?jql=created+%3E%3D+2025-01-01+AND+created+%3C%3D+2025-12-31+AND+type+%3D+Bug+AND+project+%3D+SOVA+AND+Sprint+%3D+2156+AND+status+%3D+%22To+Do+%280%25%29%22" xr:uid="{3A023E10-35AB-45A8-8F85-D157B1516166}"/>
    <hyperlink ref="D8" r:id="rId37" display="https://xrspace.atlassian.net/issues/?jql=created+%3E%3D+2025-01-01+AND+created+%3C%3D+2025-12-31+AND+type+%3D+Bug+AND+project+%3D+SOVA+AND+Sprint+%3D+2156+AND+status+%3D+%22In+Progress+%2850+%7E+70%25%29%22" xr:uid="{0710C623-CCA3-4208-97F7-F880E4F7B8C4}"/>
    <hyperlink ref="F8" r:id="rId38" display="https://xrspace.atlassian.net/issues/?jql=created+%3E%3D+2025-01-01+AND+created+%3C%3D+2025-12-31+AND+type+%3D+Bug+AND+project+%3D+SOVA+AND+Sprint+%3D+2156+AND+status+%3D+%22Done+%28100%25%29%22" xr:uid="{FDE08297-4AB1-4C07-B5DF-7905B2EC1979}"/>
    <hyperlink ref="E8" r:id="rId39" display="https://xrspace.atlassian.net/issues/?jql=created+%3E%3D+2025-01-01+AND+created+%3C%3D+2025-12-31+AND+type+%3D+Bug+AND+project+%3D+SOVA+AND+Sprint+%3D+2156+AND+status+%3D+%22IN+REVIEW+%2880%25%29%22" xr:uid="{120DAFDA-9D53-468A-A2B2-494FEC6EAA8D}"/>
    <hyperlink ref="G8" r:id="rId40" display="https://xrspace.atlassian.net/issues/?jql=created+%3E%3D+2025-01-01+AND+created+%3C%3D+2025-12-31+AND+type+%3D+Bug+AND+project+%3D+SOVA+AND+Sprint+%3D+2156+AND+status+%3D+%22WON%27T+DO+%28100%25%29%22" xr:uid="{63D9D7CE-375E-4D9B-9A52-0787CB189E4F}"/>
    <hyperlink ref="C8" r:id="rId41" display="https://xrspace.atlassian.net/issues/?jql=created+%3E%3D+2025-01-01+AND+created+%3C%3D+2025-12-31+AND+type+%3D+Bug+AND+project+%3D+SOVA+AND+Sprint+%3D+2156+AND+status+%3D+%22STARTING+%2810+%7E+40%25%29%22" xr:uid="{D2847B01-2997-41CC-8776-C10C17C8B869}"/>
    <hyperlink ref="H8" r:id="rId42" display="https://xrspace.atlassian.net/issues/?jql=created+%3E%3D+2025-01-01+AND+created+%3C%3D+2025-12-31+AND+type+%3D+Bug+AND+project+%3D+SOVA+AND+Sprint+%3D+2156" xr:uid="{FB67FDAE-C3BE-4A08-A5E2-AE018188DE14}"/>
    <hyperlink ref="B9" r:id="rId43" display="https://xrspace.atlassian.net/issues/?jql=created+%3E%3D+2025-01-01+AND+created+%3C%3D+2025-12-31+AND+type+%3D+Bug+AND+project+%3D+SOVA+AND+Sprint+%3D+2157+AND+status+%3D+%22To+Do+%280%25%29%22" xr:uid="{C337F765-7897-4ADB-9828-3522E7922EF4}"/>
    <hyperlink ref="D9" r:id="rId44" display="https://xrspace.atlassian.net/issues/?jql=created+%3E%3D+2025-01-01+AND+created+%3C%3D+2025-12-31+AND+type+%3D+Bug+AND+project+%3D+SOVA+AND+Sprint+%3D+2157+AND+status+%3D+%22In+Progress+%2850+%7E+70%25%29%22" xr:uid="{2B7DAF5C-9C5B-464F-8D50-9FFCAD86FEF7}"/>
    <hyperlink ref="F9" r:id="rId45" display="https://xrspace.atlassian.net/issues/?jql=created+%3E%3D+2025-01-01+AND+created+%3C%3D+2025-12-31+AND+type+%3D+Bug+AND+project+%3D+SOVA+AND+Sprint+%3D+2157+AND+status+%3D+%22Done+%28100%25%29%22" xr:uid="{536B5056-F79A-4B11-BFC9-53F43DB2DBAE}"/>
    <hyperlink ref="E9" r:id="rId46" display="https://xrspace.atlassian.net/issues/?jql=created+%3E%3D+2025-01-01+AND+created+%3C%3D+2025-12-31+AND+type+%3D+Bug+AND+project+%3D+SOVA+AND+Sprint+%3D+2157+AND+status+%3D+%22IN+REVIEW+%2880%25%29%22" xr:uid="{17F1D212-C058-4DAB-86C0-E9201FB607B3}"/>
    <hyperlink ref="G9" r:id="rId47" display="https://xrspace.atlassian.net/issues/?jql=created+%3E%3D+2025-01-01+AND+created+%3C%3D+2025-12-31+AND+type+%3D+Bug+AND+project+%3D+SOVA+AND+Sprint+%3D+2157+AND+status+%3D+%22WON%27T+DO+%28100%25%29%22" xr:uid="{63C57A5D-EB74-44EB-ADD8-10BE08FCA2F5}"/>
    <hyperlink ref="C9" r:id="rId48" display="https://xrspace.atlassian.net/issues/?jql=created+%3E%3D+2025-01-01+AND+created+%3C%3D+2025-12-31+AND+type+%3D+Bug+AND+project+%3D+SOVA+AND+Sprint+%3D+2157+AND+status+%3D+%22STARTING+%2810+%7E+40%25%29%22" xr:uid="{DDE1A287-EAC1-4419-B410-F317B4949C12}"/>
    <hyperlink ref="H9" r:id="rId49" display="https://xrspace.atlassian.net/issues/?jql=created+%3E%3D+2025-01-01+AND+created+%3C%3D+2025-12-31+AND+type+%3D+Bug+AND+project+%3D+SOVA+AND+Sprint+%3D+2157" xr:uid="{D5474119-F865-4DE6-AF1B-23513C1B1CBE}"/>
    <hyperlink ref="B10" r:id="rId50" display="https://xrspace.atlassian.net/issues/?jql=created+%3E%3D+2025-01-01+AND+created+%3C%3D+2025-12-31+AND+type+%3D+Bug+AND+project+%3D+SOVA+AND+Sprint+%3D+2618+AND+status+%3D+%22To+Do+%280%25%29%22" xr:uid="{9E846F32-4DFE-4EBE-AA65-C4990CFBDF65}"/>
    <hyperlink ref="D10" r:id="rId51" display="https://xrspace.atlassian.net/issues/?jql=created+%3E%3D+2025-01-01+AND+created+%3C%3D+2025-12-31+AND+type+%3D+Bug+AND+project+%3D+SOVA+AND+Sprint+%3D+2618+AND+status+%3D+%22In+Progress+%2850+%7E+70%25%29%22" xr:uid="{560D3E94-685B-4A35-ACB7-BCD1FECCA76D}"/>
    <hyperlink ref="F10" r:id="rId52" display="https://xrspace.atlassian.net/issues/?jql=created+%3E%3D+2025-01-01+AND+created+%3C%3D+2025-12-31+AND+type+%3D+Bug+AND+project+%3D+SOVA+AND+Sprint+%3D+2618+AND+status+%3D+%22Done+%28100%25%29%22" xr:uid="{D82F41C9-2D0E-458E-B948-32FE346D86E4}"/>
    <hyperlink ref="E10" r:id="rId53" display="https://xrspace.atlassian.net/issues/?jql=created+%3E%3D+2025-01-01+AND+created+%3C%3D+2025-12-31+AND+type+%3D+Bug+AND+project+%3D+SOVA+AND+Sprint+%3D+2618+AND+status+%3D+%22IN+REVIEW+%2880%25%29%22" xr:uid="{0F07357F-D9E1-4F78-8415-D67507632E00}"/>
    <hyperlink ref="G10" r:id="rId54" display="https://xrspace.atlassian.net/issues/?jql=created+%3E%3D+2025-01-01+AND+created+%3C%3D+2025-12-31+AND+type+%3D+Bug+AND+project+%3D+SOVA+AND+Sprint+%3D+2618+AND+status+%3D+%22WON%27T+DO+%28100%25%29%22" xr:uid="{C8C87333-6BA5-45C1-87F4-2B4A35D0A148}"/>
    <hyperlink ref="C10" r:id="rId55" display="https://xrspace.atlassian.net/issues/?jql=created+%3E%3D+2025-01-01+AND+created+%3C%3D+2025-12-31+AND+type+%3D+Bug+AND+project+%3D+SOVA+AND+Sprint+%3D+2618+AND+status+%3D+%22STARTING+%2810+%7E+40%25%29%22" xr:uid="{C6D0210A-1D59-417E-8E78-3F3758FF971B}"/>
    <hyperlink ref="H10" r:id="rId56" display="https://xrspace.atlassian.net/issues/?jql=created+%3E%3D+2025-01-01+AND+created+%3C%3D+2025-12-31+AND+type+%3D+Bug+AND+project+%3D+SOVA+AND+Sprint+%3D+2618" xr:uid="{02B5C27C-AC7D-43DF-BEC3-08EF3253126F}"/>
    <hyperlink ref="B11" r:id="rId57" display="https://xrspace.atlassian.net/issues/?jql=created+%3E%3D+2025-01-01+AND+created+%3C%3D+2025-12-31+AND+type+%3D+Bug+AND+project+%3D+SOVA+AND+Sprint+%3D+2619+AND+status+%3D+%22To+Do+%280%25%29%22" xr:uid="{C6BAAB63-1A65-40AE-B7EC-E4EC395688F3}"/>
    <hyperlink ref="D11" r:id="rId58" display="https://xrspace.atlassian.net/issues/?jql=created+%3E%3D+2025-01-01+AND+created+%3C%3D+2025-12-31+AND+type+%3D+Bug+AND+project+%3D+SOVA+AND+Sprint+%3D+2619+AND+status+%3D+%22In+Progress+%2850+%7E+70%25%29%22" xr:uid="{684F1C2C-16AC-4A88-8D1F-07D000E16782}"/>
    <hyperlink ref="F11" r:id="rId59" display="https://xrspace.atlassian.net/issues/?jql=created+%3E%3D+2025-01-01+AND+created+%3C%3D+2025-12-31+AND+type+%3D+Bug+AND+project+%3D+SOVA+AND+Sprint+%3D+2619+AND+status+%3D+%22Done+%28100%25%29%22" xr:uid="{EBEBEEF3-8451-4835-B729-5C563CF2001B}"/>
    <hyperlink ref="E11" r:id="rId60" display="https://xrspace.atlassian.net/issues/?jql=created+%3E%3D+2025-01-01+AND+created+%3C%3D+2025-12-31+AND+type+%3D+Bug+AND+project+%3D+SOVA+AND+Sprint+%3D+2619+AND+status+%3D+%22IN+REVIEW+%2880%25%29%22" xr:uid="{2745EA85-94BE-4A10-A52A-A2427F08B602}"/>
    <hyperlink ref="G11" r:id="rId61" display="https://xrspace.atlassian.net/issues/?jql=created+%3E%3D+2025-01-01+AND+created+%3C%3D+2025-12-31+AND+type+%3D+Bug+AND+project+%3D+SOVA+AND+Sprint+%3D+2619+AND+status+%3D+%22WON%27T+DO+%28100%25%29%22" xr:uid="{85FA7772-5ABF-48A0-A0BC-D9EEF9FF7F2E}"/>
    <hyperlink ref="C11" r:id="rId62" display="https://xrspace.atlassian.net/issues/?jql=created+%3E%3D+2025-01-01+AND+created+%3C%3D+2025-12-31+AND+type+%3D+Bug+AND+project+%3D+SOVA+AND+Sprint+%3D+2619+AND+status+%3D+%22STARTING+%2810+%7E+40%25%29%22" xr:uid="{60BAC796-AC37-43AE-B521-2A4DE49EFA00}"/>
    <hyperlink ref="H11" r:id="rId63" display="https://xrspace.atlassian.net/issues/?jql=created+%3E%3D+2025-01-01+AND+created+%3C%3D+2025-12-31+AND+type+%3D+Bug+AND+project+%3D+SOVA+AND+Sprint+%3D+2619" xr:uid="{46B0F249-46F7-4642-823C-467DE277E087}"/>
    <hyperlink ref="B12" r:id="rId64" display="https://xrspace.atlassian.net/issues/?jql=created+%3E%3D+2025-01-01+AND+created+%3C%3D+2025-12-31+AND+type+%3D+Bug+AND+project+%3D+SOVA+AND+Sprint+%3D+2882+AND+status+%3D+%22To+Do+%280%25%29%22" xr:uid="{0F664D44-02E7-4711-8EAD-825333E19C5C}"/>
    <hyperlink ref="D12" r:id="rId65" display="https://xrspace.atlassian.net/issues/?jql=created+%3E%3D+2025-01-01+AND+created+%3C%3D+2025-12-31+AND+type+%3D+Bug+AND+project+%3D+SOVA+AND+Sprint+%3D+2882+AND+status+%3D+%22In+Progress+%2850+%7E+70%25%29%22" xr:uid="{1F4E9D40-0294-4A95-AB26-6E14BCAFB768}"/>
    <hyperlink ref="F12" r:id="rId66" display="https://xrspace.atlassian.net/issues/?jql=created+%3E%3D+2025-01-01+AND+created+%3C%3D+2025-12-31+AND+type+%3D+Bug+AND+project+%3D+SOVA+AND+Sprint+%3D+2882+AND+status+%3D+%22Done+%28100%25%29%22" xr:uid="{16861CCD-89F0-4453-8371-649B5E69D3D0}"/>
    <hyperlink ref="E12" r:id="rId67" display="https://xrspace.atlassian.net/issues/?jql=created+%3E%3D+2025-01-01+AND+created+%3C%3D+2025-12-31+AND+type+%3D+Bug+AND+project+%3D+SOVA+AND+Sprint+%3D+2882+AND+status+%3D+%22IN+REVIEW+%2880%25%29%22" xr:uid="{F83ECA91-E7FA-4B13-AE97-71F053CE644B}"/>
    <hyperlink ref="G12" r:id="rId68" display="https://xrspace.atlassian.net/issues/?jql=created+%3E%3D+2025-01-01+AND+created+%3C%3D+2025-12-31+AND+type+%3D+Bug+AND+project+%3D+SOVA+AND+Sprint+%3D+2882+AND+status+%3D+%22WON%27T+DO+%28100%25%29%22" xr:uid="{B52C716E-AD96-4D2E-A60B-214D4D355A80}"/>
    <hyperlink ref="C12" r:id="rId69" display="https://xrspace.atlassian.net/issues/?jql=created+%3E%3D+2025-01-01+AND+created+%3C%3D+2025-12-31+AND+type+%3D+Bug+AND+project+%3D+SOVA+AND+Sprint+%3D+2882+AND+status+%3D+%22STARTING+%2810+%7E+40%25%29%22" xr:uid="{C9C4B7A3-DF26-4415-8E0E-F7195AA9ADF6}"/>
    <hyperlink ref="H12" r:id="rId70" display="https://xrspace.atlassian.net/issues/?jql=created+%3E%3D+2025-01-01+AND+created+%3C%3D+2025-12-31+AND+type+%3D+Bug+AND+project+%3D+SOVA+AND+Sprint+%3D+2882" xr:uid="{8EEF0810-7E7D-4F0F-8A67-70EA98150D47}"/>
    <hyperlink ref="B13" r:id="rId71" display="https://xrspace.atlassian.net/issues/?jql=created+%3E%3D+2025-01-01+AND+created+%3C%3D+2025-12-31+AND+type+%3D+Bug+AND+project+%3D+SOVA+AND+Sprint+%3D+3213+AND+status+%3D+%22To+Do+%280%25%29%22" xr:uid="{6ABB0EC8-2681-4992-8A6A-83053C464E87}"/>
    <hyperlink ref="D13" r:id="rId72" display="https://xrspace.atlassian.net/issues/?jql=created+%3E%3D+2025-01-01+AND+created+%3C%3D+2025-12-31+AND+type+%3D+Bug+AND+project+%3D+SOVA+AND+Sprint+%3D+3213+AND+status+%3D+%22In+Progress+%2850+%7E+70%25%29%22" xr:uid="{EED651AE-E4AC-4934-A197-B71EAA1FCB02}"/>
    <hyperlink ref="F13" r:id="rId73" display="https://xrspace.atlassian.net/issues/?jql=created+%3E%3D+2025-01-01+AND+created+%3C%3D+2025-12-31+AND+type+%3D+Bug+AND+project+%3D+SOVA+AND+Sprint+%3D+3213+AND+status+%3D+%22Done+%28100%25%29%22" xr:uid="{B2AF7551-6409-42DB-A5F8-D995135DA766}"/>
    <hyperlink ref="E13" r:id="rId74" display="https://xrspace.atlassian.net/issues/?jql=created+%3E%3D+2025-01-01+AND+created+%3C%3D+2025-12-31+AND+type+%3D+Bug+AND+project+%3D+SOVA+AND+Sprint+%3D+3213+AND+status+%3D+%22IN+REVIEW+%2880%25%29%22" xr:uid="{14F9A70E-19E2-4252-B7C5-0A8F80F3C732}"/>
    <hyperlink ref="G13" r:id="rId75" display="https://xrspace.atlassian.net/issues/?jql=created+%3E%3D+2025-01-01+AND+created+%3C%3D+2025-12-31+AND+type+%3D+Bug+AND+project+%3D+SOVA+AND+Sprint+%3D+3213+AND+status+%3D+%22WON%27T+DO+%28100%25%29%22" xr:uid="{9142B388-6CB7-4773-925A-2AA3457125CB}"/>
    <hyperlink ref="C13" r:id="rId76" display="https://xrspace.atlassian.net/issues/?jql=created+%3E%3D+2025-01-01+AND+created+%3C%3D+2025-12-31+AND+type+%3D+Bug+AND+project+%3D+SOVA+AND+Sprint+%3D+3213+AND+status+%3D+%22STARTING+%2810+%7E+40%25%29%22" xr:uid="{78785A96-9F4E-4C35-B4F7-B55C7387BBAF}"/>
    <hyperlink ref="H13" r:id="rId77" display="https://xrspace.atlassian.net/issues/?jql=created+%3E%3D+2025-01-01+AND+created+%3C%3D+2025-12-31+AND+type+%3D+Bug+AND+project+%3D+SOVA+AND+Sprint+%3D+3213" xr:uid="{4CBA935F-6A20-4487-9177-25CF20F3BB82}"/>
    <hyperlink ref="B14" r:id="rId78" display="https://xrspace.atlassian.net/issues/?jql=created+%3E%3D+2025-01-01+AND+created+%3C%3D+2025-12-31+AND+type+%3D+Bug+AND+project+%3D+SOVA+AND+Sprint+%3D+3245+AND+status+%3D+%22To+Do+%280%25%29%22" xr:uid="{A638A5CC-66EA-4797-A1D8-072FC2D9CA25}"/>
    <hyperlink ref="D14" r:id="rId79" display="https://xrspace.atlassian.net/issues/?jql=created+%3E%3D+2025-01-01+AND+created+%3C%3D+2025-12-31+AND+type+%3D+Bug+AND+project+%3D+SOVA+AND+Sprint+%3D+3245+AND+status+%3D+%22In+Progress+%2850+%7E+70%25%29%22" xr:uid="{498359ED-52C2-437B-886C-C99200768498}"/>
    <hyperlink ref="F14" r:id="rId80" display="https://xrspace.atlassian.net/issues/?jql=created+%3E%3D+2025-01-01+AND+created+%3C%3D+2025-12-31+AND+type+%3D+Bug+AND+project+%3D+SOVA+AND+Sprint+%3D+3245+AND+status+%3D+%22Done+%28100%25%29%22" xr:uid="{FA67748F-20F4-4EE3-A870-4281E4CA7977}"/>
    <hyperlink ref="E14" r:id="rId81" display="https://xrspace.atlassian.net/issues/?jql=created+%3E%3D+2025-01-01+AND+created+%3C%3D+2025-12-31+AND+type+%3D+Bug+AND+project+%3D+SOVA+AND+Sprint+%3D+3245+AND+status+%3D+%22IN+REVIEW+%2880%25%29%22" xr:uid="{D670C260-8270-4A86-8492-5A129F62EBF4}"/>
    <hyperlink ref="G14" r:id="rId82" display="https://xrspace.atlassian.net/issues/?jql=created+%3E%3D+2025-01-01+AND+created+%3C%3D+2025-12-31+AND+type+%3D+Bug+AND+project+%3D+SOVA+AND+Sprint+%3D+3245+AND+status+%3D+%22WON%27T+DO+%28100%25%29%22" xr:uid="{0977C1B9-BE16-4600-A22C-A5F00338F43C}"/>
    <hyperlink ref="C14" r:id="rId83" display="https://xrspace.atlassian.net/issues/?jql=created+%3E%3D+2025-01-01+AND+created+%3C%3D+2025-12-31+AND+type+%3D+Bug+AND+project+%3D+SOVA+AND+Sprint+%3D+3245+AND+status+%3D+%22STARTING+%2810+%7E+40%25%29%22" xr:uid="{7A014517-63F0-42C4-B7A7-BA9604111677}"/>
    <hyperlink ref="H14" r:id="rId84" display="https://xrspace.atlassian.net/issues/?jql=created+%3E%3D+2025-01-01+AND+created+%3C%3D+2025-12-31+AND+type+%3D+Bug+AND+project+%3D+SOVA+AND+Sprint+%3D+3245" xr:uid="{57A5EF43-4DC3-48D0-BAB0-7BDFCEFB3596}"/>
    <hyperlink ref="B15" r:id="rId85" display="https://xrspace.atlassian.net/issues/?jql=created+%3E%3D+2025-01-01+AND+created+%3C%3D+2025-12-31+AND+type+%3D+Bug+AND+project+%3D+SOVA+AND+Sprint+%3D+3246+AND+status+%3D+%22To+Do+%280%25%29%22" xr:uid="{1B32AD33-A2A7-40AA-A52F-099C878B045E}"/>
    <hyperlink ref="D15" r:id="rId86" display="https://xrspace.atlassian.net/issues/?jql=created+%3E%3D+2025-01-01+AND+created+%3C%3D+2025-12-31+AND+type+%3D+Bug+AND+project+%3D+SOVA+AND+Sprint+%3D+3246+AND+status+%3D+%22In+Progress+%2850+%7E+70%25%29%22" xr:uid="{28F4A94F-8DF1-490C-BE70-148B33EF2182}"/>
    <hyperlink ref="F15" r:id="rId87" display="https://xrspace.atlassian.net/issues/?jql=created+%3E%3D+2025-01-01+AND+created+%3C%3D+2025-12-31+AND+type+%3D+Bug+AND+project+%3D+SOVA+AND+Sprint+%3D+3246+AND+status+%3D+%22Done+%28100%25%29%22" xr:uid="{866B433C-3ED8-4615-B96B-59A2000F7693}"/>
    <hyperlink ref="E15" r:id="rId88" display="https://xrspace.atlassian.net/issues/?jql=created+%3E%3D+2025-01-01+AND+created+%3C%3D+2025-12-31+AND+type+%3D+Bug+AND+project+%3D+SOVA+AND+Sprint+%3D+3246+AND+status+%3D+%22IN+REVIEW+%2880%25%29%22" xr:uid="{B079C531-988D-4125-BE0B-FF24B2E40339}"/>
    <hyperlink ref="G15" r:id="rId89" display="https://xrspace.atlassian.net/issues/?jql=created+%3E%3D+2025-01-01+AND+created+%3C%3D+2025-12-31+AND+type+%3D+Bug+AND+project+%3D+SOVA+AND+Sprint+%3D+3246+AND+status+%3D+%22WON%27T+DO+%28100%25%29%22" xr:uid="{DE9491CA-E037-4502-8CE7-D9E0508AEF33}"/>
    <hyperlink ref="C15" r:id="rId90" display="https://xrspace.atlassian.net/issues/?jql=created+%3E%3D+2025-01-01+AND+created+%3C%3D+2025-12-31+AND+type+%3D+Bug+AND+project+%3D+SOVA+AND+Sprint+%3D+3246+AND+status+%3D+%22STARTING+%2810+%7E+40%25%29%22" xr:uid="{20CBB17A-89F0-4676-B610-8C4970783D22}"/>
    <hyperlink ref="H15" r:id="rId91" display="https://xrspace.atlassian.net/issues/?jql=created+%3E%3D+2025-01-01+AND+created+%3C%3D+2025-12-31+AND+type+%3D+Bug+AND+project+%3D+SOVA+AND+Sprint+%3D+3246" xr:uid="{C471D81A-9DD8-449D-A04A-12BAC8EBD333}"/>
    <hyperlink ref="B16" r:id="rId92" display="https://xrspace.atlassian.net/issues/?jql=created+%3E%3D+2025-01-01+AND+created+%3C%3D+2025-12-31+AND+type+%3D+Bug+AND+project+%3D+SOVA+AND+Sprint+%3D+3575+AND+status+%3D+%22To+Do+%280%25%29%22" xr:uid="{24389093-059C-4750-91DB-43E2E7E9E042}"/>
    <hyperlink ref="D16" r:id="rId93" display="https://xrspace.atlassian.net/issues/?jql=created+%3E%3D+2025-01-01+AND+created+%3C%3D+2025-12-31+AND+type+%3D+Bug+AND+project+%3D+SOVA+AND+Sprint+%3D+3575+AND+status+%3D+%22In+Progress+%2850+%7E+70%25%29%22" xr:uid="{A98304B2-17F1-4501-A6F0-0793F2417142}"/>
    <hyperlink ref="F16" r:id="rId94" display="https://xrspace.atlassian.net/issues/?jql=created+%3E%3D+2025-01-01+AND+created+%3C%3D+2025-12-31+AND+type+%3D+Bug+AND+project+%3D+SOVA+AND+Sprint+%3D+3575+AND+status+%3D+%22Done+%28100%25%29%22" xr:uid="{F2478C98-5B2C-428A-9D9E-695B97BE0B8B}"/>
    <hyperlink ref="E16" r:id="rId95" display="https://xrspace.atlassian.net/issues/?jql=created+%3E%3D+2025-01-01+AND+created+%3C%3D+2025-12-31+AND+type+%3D+Bug+AND+project+%3D+SOVA+AND+Sprint+%3D+3575+AND+status+%3D+%22IN+REVIEW+%2880%25%29%22" xr:uid="{DC67B20E-BE3B-4D5D-8220-1D2E0996A1AC}"/>
    <hyperlink ref="G16" r:id="rId96" display="https://xrspace.atlassian.net/issues/?jql=created+%3E%3D+2025-01-01+AND+created+%3C%3D+2025-12-31+AND+type+%3D+Bug+AND+project+%3D+SOVA+AND+Sprint+%3D+3575+AND+status+%3D+%22WON%27T+DO+%28100%25%29%22" xr:uid="{948990F6-7B5B-49BC-A896-99A6E0DB5844}"/>
    <hyperlink ref="C16" r:id="rId97" display="https://xrspace.atlassian.net/issues/?jql=created+%3E%3D+2025-01-01+AND+created+%3C%3D+2025-12-31+AND+type+%3D+Bug+AND+project+%3D+SOVA+AND+Sprint+%3D+3575+AND+status+%3D+%22STARTING+%2810+%7E+40%25%29%22" xr:uid="{406651A1-B2B7-49C1-87F4-A07174790374}"/>
    <hyperlink ref="H16" r:id="rId98" display="https://xrspace.atlassian.net/issues/?jql=created+%3E%3D+2025-01-01+AND+created+%3C%3D+2025-12-31+AND+type+%3D+Bug+AND+project+%3D+SOVA+AND+Sprint+%3D+3575" xr:uid="{F0FC177A-364E-485E-A7E6-8BBBF2893CD1}"/>
    <hyperlink ref="B17" r:id="rId99" display="https://xrspace.atlassian.net/issues/?jql=created+%3E%3D+2025-01-01+AND+created+%3C%3D+2025-12-31+AND+type+%3D+Bug+AND+project+%3D+SOVA+AND+Sprint+%3D+3608+AND+status+%3D+%22To+Do+%280%25%29%22" xr:uid="{C5F21C0E-CDA4-4311-B7E6-39687510FDA7}"/>
    <hyperlink ref="D17" r:id="rId100" display="https://xrspace.atlassian.net/issues/?jql=created+%3E%3D+2025-01-01+AND+created+%3C%3D+2025-12-31+AND+type+%3D+Bug+AND+project+%3D+SOVA+AND+Sprint+%3D+3608+AND+status+%3D+%22In+Progress+%2850+%7E+70%25%29%22" xr:uid="{35C44B73-B559-4755-8209-6DA613CEB178}"/>
    <hyperlink ref="F17" r:id="rId101" display="https://xrspace.atlassian.net/issues/?jql=created+%3E%3D+2025-01-01+AND+created+%3C%3D+2025-12-31+AND+type+%3D+Bug+AND+project+%3D+SOVA+AND+Sprint+%3D+3608+AND+status+%3D+%22Done+%28100%25%29%22" xr:uid="{F9DDB4A7-4592-405D-B576-20C3257B8E57}"/>
    <hyperlink ref="E17" r:id="rId102" display="https://xrspace.atlassian.net/issues/?jql=created+%3E%3D+2025-01-01+AND+created+%3C%3D+2025-12-31+AND+type+%3D+Bug+AND+project+%3D+SOVA+AND+Sprint+%3D+3608+AND+status+%3D+%22IN+REVIEW+%2880%25%29%22" xr:uid="{46FA6D85-00DC-41EF-A64B-6D9F8ABB5350}"/>
    <hyperlink ref="G17" r:id="rId103" display="https://xrspace.atlassian.net/issues/?jql=created+%3E%3D+2025-01-01+AND+created+%3C%3D+2025-12-31+AND+type+%3D+Bug+AND+project+%3D+SOVA+AND+Sprint+%3D+3608+AND+status+%3D+%22WON%27T+DO+%28100%25%29%22" xr:uid="{03A29772-9827-4355-AA15-918F5EC65750}"/>
    <hyperlink ref="C17" r:id="rId104" display="https://xrspace.atlassian.net/issues/?jql=created+%3E%3D+2025-01-01+AND+created+%3C%3D+2025-12-31+AND+type+%3D+Bug+AND+project+%3D+SOVA+AND+Sprint+%3D+3608+AND+status+%3D+%22STARTING+%2810+%7E+40%25%29%22" xr:uid="{DEBE776A-9546-4166-A553-ADFD17848265}"/>
    <hyperlink ref="H17" r:id="rId105" display="https://xrspace.atlassian.net/issues/?jql=created+%3E%3D+2025-01-01+AND+created+%3C%3D+2025-12-31+AND+type+%3D+Bug+AND+project+%3D+SOVA+AND+Sprint+%3D+3608" xr:uid="{A11B8280-9A36-4400-A01D-96E06F6AEA2D}"/>
    <hyperlink ref="B18" r:id="rId106" display="https://xrspace.atlassian.net/issues/?jql=created+%3E%3D+2025-01-01+AND+created+%3C%3D+2025-12-31+AND+type+%3D+Bug+AND+project+%3D+SOVA+AND+Sprint+%3D+3872+AND+status+%3D+%22To+Do+%280%25%29%22" xr:uid="{8E7FAD3B-EA7A-4CDB-8218-C8FE2206C0FA}"/>
    <hyperlink ref="D18" r:id="rId107" display="https://xrspace.atlassian.net/issues/?jql=created+%3E%3D+2025-01-01+AND+created+%3C%3D+2025-12-31+AND+type+%3D+Bug+AND+project+%3D+SOVA+AND+Sprint+%3D+3872+AND+status+%3D+%22In+Progress+%2850+%7E+70%25%29%22" xr:uid="{3E1B4B81-960C-4207-BD73-44E6CE0D62C6}"/>
    <hyperlink ref="F18" r:id="rId108" display="https://xrspace.atlassian.net/issues/?jql=created+%3E%3D+2025-01-01+AND+created+%3C%3D+2025-12-31+AND+type+%3D+Bug+AND+project+%3D+SOVA+AND+Sprint+%3D+3872+AND+status+%3D+%22Done+%28100%25%29%22" xr:uid="{0ABB0E88-D7DD-4149-A0D2-6AA6CC2510F3}"/>
    <hyperlink ref="E18" r:id="rId109" display="https://xrspace.atlassian.net/issues/?jql=created+%3E%3D+2025-01-01+AND+created+%3C%3D+2025-12-31+AND+type+%3D+Bug+AND+project+%3D+SOVA+AND+Sprint+%3D+3872+AND+status+%3D+%22IN+REVIEW+%2880%25%29%22" xr:uid="{A2AE7307-DE88-499E-82FD-0BB73CAF72A0}"/>
    <hyperlink ref="G18" r:id="rId110" display="https://xrspace.atlassian.net/issues/?jql=created+%3E%3D+2025-01-01+AND+created+%3C%3D+2025-12-31+AND+type+%3D+Bug+AND+project+%3D+SOVA+AND+Sprint+%3D+3872+AND+status+%3D+%22WON%27T+DO+%28100%25%29%22" xr:uid="{E4D3A810-0A4B-49C9-92F3-053A7A19AE11}"/>
    <hyperlink ref="C18" r:id="rId111" display="https://xrspace.atlassian.net/issues/?jql=created+%3E%3D+2025-01-01+AND+created+%3C%3D+2025-12-31+AND+type+%3D+Bug+AND+project+%3D+SOVA+AND+Sprint+%3D+3872+AND+status+%3D+%22STARTING+%2810+%7E+40%25%29%22" xr:uid="{FF1607EF-91DE-4CD1-9E12-34CF3664CA08}"/>
    <hyperlink ref="H18" r:id="rId112" display="https://xrspace.atlassian.net/issues/?jql=created+%3E%3D+2025-01-01+AND+created+%3C%3D+2025-12-31+AND+type+%3D+Bug+AND+project+%3D+SOVA+AND+Sprint+%3D+3872" xr:uid="{5DDDD4A5-F5D1-421A-9E49-1456CA7D5DE3}"/>
    <hyperlink ref="B19" r:id="rId113" display="https://xrspace.atlassian.net/issues/?jql=created+%3E%3D+2025-01-01+AND+created+%3C%3D+2025-12-31+AND+type+%3D+Bug+AND+project+%3D+SOVA+AND+Sprint+%3D+3873+AND+status+%3D+%22To+Do+%280%25%29%22" xr:uid="{CBA860DD-5403-4237-A9A3-EFDBEC575C5D}"/>
    <hyperlink ref="D19" r:id="rId114" display="https://xrspace.atlassian.net/issues/?jql=created+%3E%3D+2025-01-01+AND+created+%3C%3D+2025-12-31+AND+type+%3D+Bug+AND+project+%3D+SOVA+AND+Sprint+%3D+3873+AND+status+%3D+%22In+Progress+%2850+%7E+70%25%29%22" xr:uid="{31E55EB3-17F2-47F1-9D69-82660FB37849}"/>
    <hyperlink ref="F19" r:id="rId115" display="https://xrspace.atlassian.net/issues/?jql=created+%3E%3D+2025-01-01+AND+created+%3C%3D+2025-12-31+AND+type+%3D+Bug+AND+project+%3D+SOVA+AND+Sprint+%3D+3873+AND+status+%3D+%22Done+%28100%25%29%22" xr:uid="{1DCCA252-C160-4A65-9C5B-4BC8B1512B46}"/>
    <hyperlink ref="E19" r:id="rId116" display="https://xrspace.atlassian.net/issues/?jql=created+%3E%3D+2025-01-01+AND+created+%3C%3D+2025-12-31+AND+type+%3D+Bug+AND+project+%3D+SOVA+AND+Sprint+%3D+3873+AND+status+%3D+%22IN+REVIEW+%2880%25%29%22" xr:uid="{205BD759-143D-4B0B-9098-22B9C0969166}"/>
    <hyperlink ref="G19" r:id="rId117" display="https://xrspace.atlassian.net/issues/?jql=created+%3E%3D+2025-01-01+AND+created+%3C%3D+2025-12-31+AND+type+%3D+Bug+AND+project+%3D+SOVA+AND+Sprint+%3D+3873+AND+status+%3D+%22WON%27T+DO+%28100%25%29%22" xr:uid="{D13F1BB5-684A-414B-92D3-268215DFEAB5}"/>
    <hyperlink ref="C19" r:id="rId118" display="https://xrspace.atlassian.net/issues/?jql=created+%3E%3D+2025-01-01+AND+created+%3C%3D+2025-12-31+AND+type+%3D+Bug+AND+project+%3D+SOVA+AND+Sprint+%3D+3873+AND+status+%3D+%22STARTING+%2810+%7E+40%25%29%22" xr:uid="{F094CEDB-4419-44FD-8522-9FB7CECB9C38}"/>
    <hyperlink ref="H19" r:id="rId119" display="https://xrspace.atlassian.net/issues/?jql=created+%3E%3D+2025-01-01+AND+created+%3C%3D+2025-12-31+AND+type+%3D+Bug+AND+project+%3D+SOVA+AND+Sprint+%3D+3873" xr:uid="{92A05607-14FA-420A-B214-7E6EEE8720AF}"/>
    <hyperlink ref="H2" r:id="rId120" display="https://xrspace.atlassian.net/issues/?jql=created+%3E%3D+2025-01-01+AND+created+%3C%3D+2025-12-31+AND+type+%3D+Bug+AND+project+%3D+SOVA+AND+Sprint+%3D+1463" xr:uid="{AAF8CAFD-3A95-43F1-8D6B-B5745F8A660D}"/>
    <hyperlink ref="C2" r:id="rId121" display="https://xrspace.atlassian.net/issues/?jql=created+%3E%3D+2025-01-01+AND+created+%3C%3D+2025-12-31+AND+type+%3D+Bug+AND+project+%3D+SOVA+AND+Sprint+%3D+1463+AND+status+%3D+%22STARTING+%2810+%7E+40%25%29%22" xr:uid="{EE76C221-F869-492B-AD1E-CCA8066FA43F}"/>
    <hyperlink ref="G2" r:id="rId122" display="https://xrspace.atlassian.net/issues/?jql=created+%3E%3D+2025-01-01+AND+created+%3C%3D+2025-12-31+AND+type+%3D+Bug+AND+project+%3D+SOVA+AND+Sprint+%3D+1463+AND+status+%3D+%22WON%27T+DO+%28100%25%29%22" xr:uid="{743E6F46-C651-4A2B-87D7-4E00A238AE05}"/>
    <hyperlink ref="E2" r:id="rId123" display="https://xrspace.atlassian.net/issues/?jql=created+%3E%3D+2025-01-01+AND+created+%3C%3D+2025-12-31+AND+type+%3D+Bug+AND+project+%3D+SOVA+AND+Sprint+%3D+1463+AND+status+%3D+%22IN+REVIEW+%2880%25%29%22" xr:uid="{8DE17AEA-7830-4547-B783-DA81569E64EE}"/>
    <hyperlink ref="F2" r:id="rId124" display="https://xrspace.atlassian.net/issues/?jql=created+%3E%3D+2025-01-01+AND+created+%3C%3D+2025-12-31+AND+type+%3D+Bug+AND+project+%3D+SOVA+AND+Sprint+%3D+1463+AND+status+%3D+%22Done+%28100%25%29%22" xr:uid="{85AFE470-618C-4FB5-91A7-F03D2F107B82}"/>
    <hyperlink ref="D2" r:id="rId125" display="https://xrspace.atlassian.net/issues/?jql=created+%3E%3D+2025-01-01+AND+created+%3C%3D+2025-12-31+AND+type+%3D+Bug+AND+project+%3D+SOVA+AND+Sprint+%3D+1463+AND+status+%3D+%22In+Progress+%2850+%7E+70%25%29%22" xr:uid="{1AFF8BE8-31AD-43AE-914C-CF349C11D628}"/>
    <hyperlink ref="B2" r:id="rId126" display="https://xrspace.atlassian.net/issues/?jql=created+%3E%3D+2025-01-01+AND+created+%3C%3D+2025-12-31+AND+type+%3D+Bug+AND+project+%3D+SOVA+AND+Sprint+%3D+1463+AND+status+%3D+%22To+Do+%280%25%29%22" xr:uid="{86954AE9-8E61-4E9B-B67C-FC5376BAD677}"/>
  </hyperlinks>
  <pageMargins left="0.7" right="0.7" top="0.75" bottom="0.75" header="0.3" footer="0.3"/>
  <pageSetup orientation="portrait" r:id="rId127"/>
  <drawing r:id="rId128"/>
  <tableParts count="1">
    <tablePart r:id="rId12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9"/>
  <sheetViews>
    <sheetView workbookViewId="0">
      <selection activeCell="E14" sqref="E14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60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s="2" t="s">
        <v>69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70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73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75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78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80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82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  <row r="9" spans="1:5" ht="20.100000000000001" customHeight="1">
      <c r="A9" s="3" t="s">
        <v>84</v>
      </c>
      <c r="B9" s="15">
        <v>6</v>
      </c>
      <c r="C9" s="15">
        <v>1</v>
      </c>
      <c r="D9" s="15">
        <v>76</v>
      </c>
      <c r="E9" s="15">
        <f>SUM(Table25[[#This Row],[Done]:[TODO (P1)]])</f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2025-11-27T23:38:23Z</dcterms:modified>
</cp:coreProperties>
</file>