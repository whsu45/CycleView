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6B79CA17-A71E-46CA-B55B-949EFCBB968D}" xr6:coauthVersionLast="47" xr6:coauthVersionMax="47" xr10:uidLastSave="{00000000-0000-0000-0000-000000000000}"/>
  <bookViews>
    <workbookView xWindow="-120" yWindow="-120" windowWidth="29040" windowHeight="15720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" i="6" l="1"/>
  <c r="E27" i="1"/>
  <c r="H31" i="2"/>
  <c r="E26" i="1"/>
  <c r="H1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20" i="6"/>
  <c r="E18" i="6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E28" i="1"/>
  <c r="E25" i="1"/>
  <c r="H32" i="2"/>
  <c r="E17" i="6"/>
  <c r="H29" i="2"/>
  <c r="E24" i="1"/>
  <c r="E16" i="6"/>
  <c r="H28" i="2"/>
  <c r="H27" i="2"/>
  <c r="E23" i="1"/>
  <c r="E15" i="6"/>
  <c r="E22" i="1"/>
  <c r="E14" i="6"/>
  <c r="E13" i="6"/>
  <c r="H25" i="2"/>
  <c r="E21" i="1"/>
  <c r="E12" i="6"/>
  <c r="E20" i="1"/>
  <c r="E19" i="1"/>
  <c r="H24" i="2"/>
  <c r="H23" i="2"/>
  <c r="E18" i="1"/>
  <c r="E10" i="6"/>
  <c r="E17" i="1"/>
  <c r="H26" i="2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E2" i="1"/>
  <c r="E3" i="1"/>
  <c r="E4" i="1"/>
  <c r="E5" i="1"/>
  <c r="E6" i="1"/>
  <c r="E7" i="1"/>
  <c r="E8" i="1"/>
  <c r="E9" i="1"/>
  <c r="E10" i="1"/>
  <c r="E11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<sst xmlns="http://schemas.openxmlformats.org/spreadsheetml/2006/main" count="183" uniqueCount="104">
  <si>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</si>
  <si>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</si>
  <si>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</si>
  <si>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</si>
  <si>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</si>
  <si>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</si>
  <si>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</si>
  <si>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</si>
  <si>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</si>
  <si>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</si>
  <si>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</si>
  <si>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</si>
  <si>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</si>
  <si>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</si>
  <si>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</si>
  <si>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</si>
  <si>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</si>
  <si>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</si>
  <si>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</si>
  <si>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</si>
  <si>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</si>
  <si>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</si>
  <si>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</si>
  <si>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</si>
  <si>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</si>
  <si>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</si>
  <si>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</si>
  <si>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</si>
  <si>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</si>
  <si>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</si>
  <si>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</si>
  <si>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</si>
  <si>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</si>
  <si>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</si>
  <si>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</si>
  <si>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</si>
  <si>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</si>
  <si>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</si>
  <si>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</si>
  <si>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</si>
  <si>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</si>
  <si>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</si>
  <si>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</si>
  <si>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</si>
  <si>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</si>
  <si>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</si>
  <si>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</si>
  <si>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</si>
  <si>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</si>
  <si>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</si>
  <si>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</si>
  <si>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</si>
  <si>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</si>
  <si>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</si>
  <si>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</si>
  <si>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</si>
  <si>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</si>
  <si>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</si>
  <si>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</si>
  <si>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</si>
  <si>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</si>
  <si>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</si>
  <si>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y26w2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</si>
  <si>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</si>
  <si>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</si>
  <si>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</si>
  <si>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</si>
  <si>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</si>
  <si>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</si>
  <si>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</si>
  <si>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</si>
  <si>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</si>
  <si>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</si>
  <si>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</si>
  <si>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</si>
  <si>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</si>
  <si>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</si>
  <si>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</si>
  <si>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</si>
  <si>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</si>
  <si>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</si>
  <si>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</si>
  <si>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</si>
  <si>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</si>
  <si>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</si>
  <si>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</si>
  <si>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</si>
  <si>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</si>
  <si>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</si>
  <si>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</si>
  <si>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</si>
  <si>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y26w4</t>
  </si>
  <si>
    <t>y26w6</t>
  </si>
  <si>
    <t>26W03</t>
  </si>
  <si>
    <t>26W04</t>
  </si>
  <si>
    <t>26W05</t>
  </si>
  <si>
    <t>v1.38</t>
  </si>
  <si>
    <t>v1.39</t>
  </si>
  <si>
    <t>y26w8</t>
  </si>
  <si>
    <t>y26w10</t>
  </si>
  <si>
    <t>None</t>
  </si>
  <si>
    <t>Candidate</t>
  </si>
  <si>
    <t>26W06</t>
  </si>
  <si>
    <t>26W07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</si>
</sst>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TestAutomationProgress!$A$2:$A$28</c:f>
              <c:strCache>
                <c:ptCount val="27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</c:strCache>
            </c:strRef>
          </c:cat>
          <c:val>
            <c:numRef>
              <c:f>TestAutomationProgress!$B$2:$B$28</c:f>
              <c:numCache>
                <c:formatCode>General</c:formatCode>
                <c:ptCount val="27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31</c:v>
                </c:pt>
                <c:pt idx="2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TestAutomationProgress!$A$2:$A$28</c:f>
              <c:strCache>
                <c:ptCount val="27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</c:strCache>
            </c:strRef>
          </c:cat>
          <c:val>
            <c:numRef>
              <c:f>TestAutomationProgress!$C$2:$C$28</c:f>
              <c:numCache>
                <c:formatCode>General</c:formatCode>
                <c:ptCount val="27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TestAutomationProgress!$A$2:$A$28</c:f>
              <c:strCache>
                <c:ptCount val="27"/>
                <c:pt idx="0">
                  <c:v>25W32</c:v>
                </c:pt>
                <c:pt idx="1">
                  <c:v>25W33</c:v>
                </c:pt>
                <c:pt idx="2">
                  <c:v>25W34</c:v>
                </c:pt>
                <c:pt idx="3">
                  <c:v>25W35</c:v>
                </c:pt>
                <c:pt idx="4">
                  <c:v>25W36</c:v>
                </c:pt>
                <c:pt idx="5">
                  <c:v>25W37</c:v>
                </c:pt>
                <c:pt idx="6">
                  <c:v>25W38</c:v>
                </c:pt>
                <c:pt idx="7">
                  <c:v>25W39</c:v>
                </c:pt>
                <c:pt idx="8">
                  <c:v>25W40</c:v>
                </c:pt>
                <c:pt idx="9">
                  <c:v>25W41</c:v>
                </c:pt>
                <c:pt idx="10">
                  <c:v>25W42</c:v>
                </c:pt>
                <c:pt idx="11">
                  <c:v>25W43</c:v>
                </c:pt>
                <c:pt idx="12">
                  <c:v>25W44</c:v>
                </c:pt>
                <c:pt idx="13">
                  <c:v>25W45</c:v>
                </c:pt>
                <c:pt idx="14">
                  <c:v>25W46</c:v>
                </c:pt>
                <c:pt idx="15">
                  <c:v>25W47</c:v>
                </c:pt>
                <c:pt idx="16">
                  <c:v>25W49</c:v>
                </c:pt>
                <c:pt idx="17">
                  <c:v>25W50</c:v>
                </c:pt>
                <c:pt idx="18">
                  <c:v>25W51</c:v>
                </c:pt>
                <c:pt idx="19">
                  <c:v>25W52</c:v>
                </c:pt>
                <c:pt idx="20">
                  <c:v>26W01</c:v>
                </c:pt>
                <c:pt idx="21">
                  <c:v>26W02</c:v>
                </c:pt>
                <c:pt idx="22">
                  <c:v>26W03</c:v>
                </c:pt>
                <c:pt idx="23">
                  <c:v>26W04</c:v>
                </c:pt>
                <c:pt idx="24">
                  <c:v>26W05</c:v>
                </c:pt>
                <c:pt idx="25">
                  <c:v>26W06</c:v>
                </c:pt>
                <c:pt idx="26">
                  <c:v>26W07</c:v>
                </c:pt>
              </c:strCache>
            </c:strRef>
          </c:cat>
          <c:val>
            <c:numRef>
              <c:f>TestAutomationProgress!$D$2:$D$28</c:f>
              <c:numCache>
                <c:formatCode>General</c:formatCode>
                <c:ptCount val="27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  <c:pt idx="20">
                  <c:v>162</c:v>
                </c:pt>
                <c:pt idx="21">
                  <c:v>162</c:v>
                </c:pt>
                <c:pt idx="22">
                  <c:v>162</c:v>
                </c:pt>
                <c:pt idx="23">
                  <c:v>162</c:v>
                </c:pt>
                <c:pt idx="24">
                  <c:v>161</c:v>
                </c:pt>
                <c:pt idx="25">
                  <c:v>161</c:v>
                </c:pt>
                <c:pt idx="26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'Humi-TestResult'!$B$2:$B$18</c:f>
              <c:numCache>
                <c:formatCode>General</c:formatCode>
                <c:ptCount val="17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'Humi-TestResult'!$C$2:$C$18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'Humi-TestResult'!$D$2:$D$18</c:f>
              <c:numCache>
                <c:formatCode>General</c:formatCode>
                <c:ptCount val="17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'Humi-TestResult'!$E$2:$E$18</c:f>
              <c:numCache>
                <c:formatCode>General</c:formatCode>
                <c:ptCount val="17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'Humi-TestResult'!$F$2:$F$18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'Humi-TestResult'!$G$2:$G$18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'Humi-TestResult'!$A$2:$A$18</c:f>
              <c:strCache>
                <c:ptCount val="17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</c:strCache>
            </c:strRef>
          </c:cat>
          <c:val>
            <c:numRef>
              <c:f>'Humi-TestResult'!$H$2:$H$18</c:f>
              <c:numCache>
                <c:formatCode>General</c:formatCode>
                <c:ptCount val="17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'SOVA-TestResult'!$B$2:$B$32</c:f>
              <c:numCache>
                <c:formatCode>General</c:formatCode>
                <c:ptCount val="31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'SOVA-TestResult'!$C$2:$C$32</c:f>
              <c:numCache>
                <c:formatCode>General</c:formatCode>
                <c:ptCount val="31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'SOVA-TestResult'!$D$2:$D$32</c:f>
              <c:numCache>
                <c:formatCode>General</c:formatCode>
                <c:ptCount val="31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'SOVA-TestResult'!$E$2:$E$32</c:f>
              <c:numCache>
                <c:formatCode>General</c:formatCode>
                <c:ptCount val="31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'SOVA-TestResult'!$F$2:$F$32</c:f>
              <c:numCache>
                <c:formatCode>General</c:formatCode>
                <c:ptCount val="31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'SOVA-TestResult'!$G$2:$G$32</c:f>
              <c:numCache>
                <c:formatCode>General</c:formatCode>
                <c:ptCount val="31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'SOVA-TestResult'!$A$2:$A$32</c:f>
              <c:strCache>
                <c:ptCount val="3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</c:strCache>
            </c:strRef>
          </c:cat>
          <c:val>
            <c:numRef>
              <c:f>'SOVA-TestResult'!$H$2:$H$32</c:f>
              <c:numCache>
                <c:formatCode>General</c:formatCode>
                <c:ptCount val="31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'Humi-BugTrend'!$B$2:$B$21</c:f>
              <c:numCache>
                <c:formatCode>General</c:formatCode>
                <c:ptCount val="20"/>
                <c:pt idx="0">
                  <c:v>15</c:v>
                </c:pt>
                <c:pt idx="1">
                  <c:v>7</c:v>
                </c:pt>
                <c:pt idx="2">
                  <c:v>18</c:v>
                </c:pt>
                <c:pt idx="3">
                  <c:v>17</c:v>
                </c:pt>
                <c:pt idx="4">
                  <c:v>26</c:v>
                </c:pt>
                <c:pt idx="5">
                  <c:v>14</c:v>
                </c:pt>
                <c:pt idx="6">
                  <c:v>10</c:v>
                </c:pt>
                <c:pt idx="7">
                  <c:v>6</c:v>
                </c:pt>
                <c:pt idx="8">
                  <c:v>11</c:v>
                </c:pt>
                <c:pt idx="9">
                  <c:v>2</c:v>
                </c:pt>
                <c:pt idx="10">
                  <c:v>13</c:v>
                </c:pt>
                <c:pt idx="11">
                  <c:v>1</c:v>
                </c:pt>
                <c:pt idx="12">
                  <c:v>4</c:v>
                </c:pt>
                <c:pt idx="13">
                  <c:v>16</c:v>
                </c:pt>
                <c:pt idx="14">
                  <c:v>5</c:v>
                </c:pt>
                <c:pt idx="15">
                  <c:v>7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'Humi-BugTrend'!$D$2:$D$21</c:f>
              <c:numCache>
                <c:formatCode>General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'Humi-BugTrend'!$E$2:$E$21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'Humi-BugTrend'!$F$2:$F$21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'Humi-BugTrend'!$G$2:$G$21</c:f>
              <c:numCache>
                <c:formatCode>General</c:formatCode>
                <c:ptCount val="20"/>
                <c:pt idx="0">
                  <c:v>61</c:v>
                </c:pt>
                <c:pt idx="1">
                  <c:v>46</c:v>
                </c:pt>
                <c:pt idx="2">
                  <c:v>43</c:v>
                </c:pt>
                <c:pt idx="3">
                  <c:v>33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38</c:v>
                </c:pt>
                <c:pt idx="14">
                  <c:v>37</c:v>
                </c:pt>
                <c:pt idx="15">
                  <c:v>35</c:v>
                </c:pt>
                <c:pt idx="16">
                  <c:v>18</c:v>
                </c:pt>
                <c:pt idx="17">
                  <c:v>10</c:v>
                </c:pt>
                <c:pt idx="18">
                  <c:v>8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'Humi-BugTrend'!$A$2:$A$21</c:f>
              <c:strCache>
                <c:ptCount val="20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</c:strCache>
            </c:strRef>
          </c:cat>
          <c:val>
            <c:numRef>
              <c:f>'Humi-BugTrend'!$H$2:$H$21</c:f>
              <c:numCache>
                <c:formatCode>General</c:formatCode>
                <c:ptCount val="20"/>
                <c:pt idx="0">
                  <c:v>77</c:v>
                </c:pt>
                <c:pt idx="1">
                  <c:v>53</c:v>
                </c:pt>
                <c:pt idx="2">
                  <c:v>63</c:v>
                </c:pt>
                <c:pt idx="3">
                  <c:v>51</c:v>
                </c:pt>
                <c:pt idx="4">
                  <c:v>51</c:v>
                </c:pt>
                <c:pt idx="5">
                  <c:v>70</c:v>
                </c:pt>
                <c:pt idx="6">
                  <c:v>50</c:v>
                </c:pt>
                <c:pt idx="7">
                  <c:v>39</c:v>
                </c:pt>
                <c:pt idx="8">
                  <c:v>41</c:v>
                </c:pt>
                <c:pt idx="9">
                  <c:v>3</c:v>
                </c:pt>
                <c:pt idx="10">
                  <c:v>22</c:v>
                </c:pt>
                <c:pt idx="11">
                  <c:v>13</c:v>
                </c:pt>
                <c:pt idx="12">
                  <c:v>13</c:v>
                </c:pt>
                <c:pt idx="13">
                  <c:v>54</c:v>
                </c:pt>
                <c:pt idx="14">
                  <c:v>42</c:v>
                </c:pt>
                <c:pt idx="15">
                  <c:v>43</c:v>
                </c:pt>
                <c:pt idx="16">
                  <c:v>24</c:v>
                </c:pt>
                <c:pt idx="17">
                  <c:v>14</c:v>
                </c:pt>
                <c:pt idx="18">
                  <c:v>9</c:v>
                </c:pt>
                <c:pt idx="1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'SOVA-BugTrend'!$B$2:$B$27</c:f>
              <c:numCache>
                <c:formatCode>General</c:formatCode>
                <c:ptCount val="26"/>
                <c:pt idx="0">
                  <c:v>162</c:v>
                </c:pt>
                <c:pt idx="1">
                  <c:v>26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</c:v>
                </c:pt>
                <c:pt idx="19">
                  <c:v>4</c:v>
                </c:pt>
                <c:pt idx="20">
                  <c:v>7</c:v>
                </c:pt>
                <c:pt idx="21">
                  <c:v>2</c:v>
                </c:pt>
                <c:pt idx="22">
                  <c:v>2</c:v>
                </c:pt>
                <c:pt idx="23">
                  <c:v>8</c:v>
                </c:pt>
                <c:pt idx="24">
                  <c:v>10</c:v>
                </c:pt>
                <c:pt idx="2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'SOVA-BugTrend'!$D$2:$D$27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'SOVA-BugTrend'!$E$2:$E$27</c:f>
              <c:numCache>
                <c:formatCode>General</c:formatCode>
                <c:ptCount val="2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'SOVA-BugTrend'!$F$2:$F$27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'SOVA-BugTrend'!$G$2:$G$27</c:f>
              <c:numCache>
                <c:formatCode>General</c:formatCode>
                <c:ptCount val="26"/>
                <c:pt idx="0">
                  <c:v>125</c:v>
                </c:pt>
                <c:pt idx="1">
                  <c:v>2</c:v>
                </c:pt>
                <c:pt idx="2">
                  <c:v>20</c:v>
                </c:pt>
                <c:pt idx="3">
                  <c:v>20</c:v>
                </c:pt>
                <c:pt idx="4">
                  <c:v>16</c:v>
                </c:pt>
                <c:pt idx="5">
                  <c:v>16</c:v>
                </c:pt>
                <c:pt idx="6">
                  <c:v>55</c:v>
                </c:pt>
                <c:pt idx="7">
                  <c:v>35</c:v>
                </c:pt>
                <c:pt idx="8">
                  <c:v>39</c:v>
                </c:pt>
                <c:pt idx="9">
                  <c:v>39</c:v>
                </c:pt>
                <c:pt idx="10">
                  <c:v>45</c:v>
                </c:pt>
                <c:pt idx="11">
                  <c:v>18</c:v>
                </c:pt>
                <c:pt idx="12">
                  <c:v>25</c:v>
                </c:pt>
                <c:pt idx="13">
                  <c:v>45</c:v>
                </c:pt>
                <c:pt idx="14">
                  <c:v>24</c:v>
                </c:pt>
                <c:pt idx="15">
                  <c:v>43</c:v>
                </c:pt>
                <c:pt idx="16">
                  <c:v>35</c:v>
                </c:pt>
                <c:pt idx="17">
                  <c:v>29</c:v>
                </c:pt>
                <c:pt idx="18">
                  <c:v>39</c:v>
                </c:pt>
                <c:pt idx="19">
                  <c:v>31</c:v>
                </c:pt>
                <c:pt idx="20">
                  <c:v>29</c:v>
                </c:pt>
                <c:pt idx="21">
                  <c:v>29</c:v>
                </c:pt>
                <c:pt idx="22">
                  <c:v>31</c:v>
                </c:pt>
                <c:pt idx="23">
                  <c:v>19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'SOVA-BugTrend'!$H$2:$H$27</c:f>
              <c:numCache>
                <c:formatCode>General</c:formatCode>
                <c:ptCount val="26"/>
                <c:pt idx="0">
                  <c:v>76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6</c:v>
                </c:pt>
                <c:pt idx="10">
                  <c:v>7</c:v>
                </c:pt>
                <c:pt idx="11">
                  <c:v>1</c:v>
                </c:pt>
                <c:pt idx="12">
                  <c:v>4</c:v>
                </c:pt>
                <c:pt idx="13">
                  <c:v>5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3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'SOVA-BugTrend'!$A$2:$A$27</c:f>
              <c:strCache>
                <c:ptCount val="26"/>
                <c:pt idx="0">
                  <c:v>None</c:v>
                </c:pt>
                <c:pt idx="1">
                  <c:v>Candidate</c:v>
                </c:pt>
                <c:pt idx="2">
                  <c:v>y25w16</c:v>
                </c:pt>
                <c:pt idx="3">
                  <c:v>y25w18</c:v>
                </c:pt>
                <c:pt idx="4">
                  <c:v>y25w20</c:v>
                </c:pt>
                <c:pt idx="5">
                  <c:v>y25w22</c:v>
                </c:pt>
                <c:pt idx="6">
                  <c:v>y25w24</c:v>
                </c:pt>
                <c:pt idx="7">
                  <c:v>y25w26</c:v>
                </c:pt>
                <c:pt idx="8">
                  <c:v>y25w28</c:v>
                </c:pt>
                <c:pt idx="9">
                  <c:v>y25w30</c:v>
                </c:pt>
                <c:pt idx="10">
                  <c:v>y25w32</c:v>
                </c:pt>
                <c:pt idx="11">
                  <c:v>y25w34</c:v>
                </c:pt>
                <c:pt idx="12">
                  <c:v>y25w36</c:v>
                </c:pt>
                <c:pt idx="13">
                  <c:v>y25w38</c:v>
                </c:pt>
                <c:pt idx="14">
                  <c:v>y25w40</c:v>
                </c:pt>
                <c:pt idx="15">
                  <c:v>y25w42</c:v>
                </c:pt>
                <c:pt idx="16">
                  <c:v>y25w44</c:v>
                </c:pt>
                <c:pt idx="17">
                  <c:v>y25w46</c:v>
                </c:pt>
                <c:pt idx="18">
                  <c:v>y25w48</c:v>
                </c:pt>
                <c:pt idx="19">
                  <c:v>y25w50</c:v>
                </c:pt>
                <c:pt idx="20">
                  <c:v>y25w52</c:v>
                </c:pt>
                <c:pt idx="21">
                  <c:v>y26w2</c:v>
                </c:pt>
                <c:pt idx="22">
                  <c:v>y26w4</c:v>
                </c:pt>
                <c:pt idx="23">
                  <c:v>y26w6</c:v>
                </c:pt>
                <c:pt idx="24">
                  <c:v>y26w8</c:v>
                </c:pt>
                <c:pt idx="25">
                  <c:v>y26w10</c:v>
                </c:pt>
              </c:strCache>
            </c:strRef>
          </c:cat>
          <c:val>
            <c:numRef>
              <c:f>'SOVA-BugTrend'!$I$2:$I$27</c:f>
              <c:numCache>
                <c:formatCode>General</c:formatCode>
                <c:ptCount val="26"/>
                <c:pt idx="0">
                  <c:v>369</c:v>
                </c:pt>
                <c:pt idx="1">
                  <c:v>31</c:v>
                </c:pt>
                <c:pt idx="2">
                  <c:v>23</c:v>
                </c:pt>
                <c:pt idx="3">
                  <c:v>22</c:v>
                </c:pt>
                <c:pt idx="4">
                  <c:v>18</c:v>
                </c:pt>
                <c:pt idx="5">
                  <c:v>18</c:v>
                </c:pt>
                <c:pt idx="6">
                  <c:v>59</c:v>
                </c:pt>
                <c:pt idx="7">
                  <c:v>39</c:v>
                </c:pt>
                <c:pt idx="8">
                  <c:v>42</c:v>
                </c:pt>
                <c:pt idx="9">
                  <c:v>46</c:v>
                </c:pt>
                <c:pt idx="10">
                  <c:v>53</c:v>
                </c:pt>
                <c:pt idx="11">
                  <c:v>20</c:v>
                </c:pt>
                <c:pt idx="12">
                  <c:v>32</c:v>
                </c:pt>
                <c:pt idx="13">
                  <c:v>53</c:v>
                </c:pt>
                <c:pt idx="14">
                  <c:v>25</c:v>
                </c:pt>
                <c:pt idx="15">
                  <c:v>43</c:v>
                </c:pt>
                <c:pt idx="16">
                  <c:v>35</c:v>
                </c:pt>
                <c:pt idx="17">
                  <c:v>29</c:v>
                </c:pt>
                <c:pt idx="18">
                  <c:v>44</c:v>
                </c:pt>
                <c:pt idx="19">
                  <c:v>36</c:v>
                </c:pt>
                <c:pt idx="20">
                  <c:v>37</c:v>
                </c:pt>
                <c:pt idx="21">
                  <c:v>31</c:v>
                </c:pt>
                <c:pt idx="22">
                  <c:v>36</c:v>
                </c:pt>
                <c:pt idx="23">
                  <c:v>36</c:v>
                </c:pt>
                <c:pt idx="24">
                  <c:v>12</c:v>
                </c:pt>
                <c:pt idx="2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30</xdr:row>
      <xdr:rowOff>171448</xdr:rowOff>
    </xdr:from>
    <xdr:to>
      <xdr:col>8</xdr:col>
      <xdr:colOff>95250</xdr:colOff>
      <xdr:row>59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22</xdr:row>
      <xdr:rowOff>28575</xdr:rowOff>
    </xdr:from>
    <xdr:to>
      <xdr:col>6</xdr:col>
      <xdr:colOff>1057275</xdr:colOff>
      <xdr:row>50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35</xdr:row>
      <xdr:rowOff>69662</xdr:rowOff>
    </xdr:from>
    <xdr:to>
      <xdr:col>6</xdr:col>
      <xdr:colOff>1057275</xdr:colOff>
      <xdr:row>64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22</xdr:row>
      <xdr:rowOff>142875</xdr:rowOff>
    </xdr:from>
    <xdr:to>
      <xdr:col>8</xdr:col>
      <xdr:colOff>428625</xdr:colOff>
      <xdr:row>51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31</xdr:row>
      <xdr:rowOff>12700</xdr:rowOff>
    </xdr:from>
    <xdr:to>
      <xdr:col>8</xdr:col>
      <xdr:colOff>219075</xdr:colOff>
      <xdr:row>60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8" totalsRowShown="0" headerRowDxfId="35">
  <autoFilter ref="A1:E28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8" totalsRowShown="0" headerRowDxfId="33">
  <autoFilter ref="A1:H18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32" totalsRowShown="0" headerRowDxfId="31">
  <autoFilter ref="A1:H32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1" totalsRowShown="0" headerRowDxfId="29">
  <autoFilter ref="A1:H21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7" totalsRowShown="0" headerRowDxfId="20" dataDxfId="18" headerRowBorderDxfId="19" tableBorderDxfId="17" totalsRowBorderDxfId="16" dataCellStyle="Hyperlink">
  <autoFilter ref="A1:I27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9" xr3:uid="{51D22AE3-424C-4604-9869-D672DED4301F}" name="READY FOR TESTING (9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4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20" totalsRowShown="0" headerRowDxfId="13" dataDxfId="12">
  <autoFilter ref="A1:E20" xr:uid="{2C55E946-0086-4A42-AEAE-DA5ED4E8BB10}"/>
  <tableColumns count="5">
    <tableColumn id="1" xr3:uid="{7070D9F2-0ED1-4F39-8D72-28B37C8E98F2}" name="Week" dataDxfId="11"/>
    <tableColumn id="2" xr3:uid="{1173F443-CC27-4C6E-A432-BF66DB2A740E}" name="Done" dataDxfId="10"/>
    <tableColumn id="3" xr3:uid="{2EE10CB5-1AF1-4B50-9456-B3A666DD5338}" name="In Review/Progress" dataDxfId="9"/>
    <tableColumn id="4" xr3:uid="{328D0A00-85F0-4BFF-81FE-C023998A3701}" name="TODO (P1)" dataDxfId="8"/>
    <tableColumn id="5" xr3:uid="{E385808E-1FCD-451C-9807-DAF18A42B704}" name="Total" dataDxfId="7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1466+AND+status+%3D+%22READY+FOR+TESTING+%289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1498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159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170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1463+AND+status+%3D+%22IN+REVIEW+%288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1497+AND+status+%3D+%22IN+REVIEW+%288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EMPTY+AND+status+%3D+%22WON%27T+DO+%2810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60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81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1496+AND+status+%3D+%22To+Do+%28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1499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71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1463+AND+status+%3D+%22WON%27T+DO+%2810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1497+AND+status+%3D+%22WON%27T+DO+%2810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161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82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EMPTY+AND+status+%3D+%22STARTING+%2810+%7E+4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1496+AND+status+%3D+%22In+Progress+%2850+%7E+7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1499+AND+status+%3D+%22In+Progress+%2850+%7E+7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72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1463+AND+status+%3D+%22STARTING+%2810+%7E+4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1466+AND+status+%3D+%22IN+REVIEW+%288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1498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1497+AND+status+%3D+%22STARTING+%2810+%7E+4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167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EMPTY+AND+status+%3D+%22READY+FOR+TESTING+%289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162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83" Type="http://schemas.openxmlformats.org/officeDocument/2006/relationships/printerSettings" Target="../printerSettings/printerSettings3.bin"/><Relationship Id="rId2" Type="http://schemas.openxmlformats.org/officeDocument/2006/relationships/hyperlink" Target="https://xrspace.atlassian.net/issues/?jql=created+%3E%3D+2025-02-01+AND+created+%3C%3D+2026-12-31+AND+type+%3D+Bug+AND+project+%3D+SOVA+AND+Sprint+%3D+EMPTY+AND+status+%3D+%22In+Progress+%2850+%7E+7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1497+AND+status+%3D+%22To+Do+%28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1496+AND+status+%3D+%22Done+%2810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1498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1499+AND+status+%3D+%22Done+%2810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157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78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73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1466+AND+status+%3D+%22WON%27T+DO+%2810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1463+AND+status+%3D+%22READY+FOR+TESTING+%289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1497+AND+status+%3D+%22In+Progress+%2850+%7E+7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1497+AND+status+%3D+%22READY+FOR+TESTING+%289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68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1463+AND+status+%3D+%22To+Do+%28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63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84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2-01+AND+created+%3C%3D+2026-12-31+AND+type+%3D+Bug+AND+project+%3D+SOVA+AND+Sprint+%3D+EMPTY+AND+status+%3D+%22Done+%2810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1496+AND+status+%3D+%22IN+REVIEW+%28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1499+AND+status+%3D+%22IN+REVIEW+%288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158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1466+AND+status+%3D+%22STARTING+%2810+%7E+4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1498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74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79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1466+AND+status+%3D+%22To+Do+%2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1498+AND+status+%3D+%22To+Do+%28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1463+AND+status+%3D+%22Done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1497+AND+status+%3D+%22Done+%2810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64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69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85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2-01+AND+created+%3C%3D+2026-12-31+AND+type+%3D+Bug+AND+project+%3D+SOVA+AND+Sprint+%3D+EMPTY+AND+status+%3D+%22IN+REVIEW+%288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1463+AND+status+%3D+%22In+Progress+%2850+%7E+70%25%29%22" TargetMode="External"/><Relationship Id="rId180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1496+AND+status+%3D+%22WON%27T+DO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1499+AND+status+%3D+%22WON%27T+DO+%2810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175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1466+AND+status+%3D+%22In+Progress+%2850+%7E+7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1498+AND+status+%3D+%22In+Progress+%2850+%7E+7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165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1496+AND+status+%3D+%22STARTING+%2810+%7E+4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1499+AND+status+%3D+%22STARTING+%2810+%7E+4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155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176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1466+AND+status+%3D+%22Done+%2810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1498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66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EMPTY+AND+status+%3D+%22To+Do+%28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1496+AND+status+%3D+%22READY+FOR+TESTING+%289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1499+AND+status+%3D+%22READY+FOR+TESTING+%289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156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177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8"/>
  <sheetViews>
    <sheetView topLeftCell="A7" zoomScaleNormal="100" workbookViewId="0">
      <selection activeCell="A29" sqref="A29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1.95" customHeight="1">
      <c r="A3" t="s">
        <v>78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1.95" customHeight="1">
      <c r="A4" t="s">
        <v>79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1.95" customHeight="1">
      <c r="A5" t="s">
        <v>80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1.95" customHeight="1">
      <c r="A6" t="s">
        <v>81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1.95" customHeight="1">
      <c r="A7" t="s">
        <v>82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1.95" customHeight="1">
      <c r="A8" t="s">
        <v>83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1.95" customHeight="1">
      <c r="A9" t="s">
        <v>84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1.95" customHeight="1">
      <c r="A10" t="s">
        <v>85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1.95" customHeight="1">
      <c r="A11" t="s">
        <v>64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1.95" customHeight="1">
      <c r="A12" t="s">
        <v>65</v>
      </c>
      <c r="B12">
        <v>13</v>
      </c>
      <c r="C12">
        <v>11</v>
      </c>
      <c r="D12">
        <v>172</v>
      </c>
      <c r="E12" s="12">
        <f>SUM(Table2[[#This Row],[Done]:[TODO (P1)]])</f>
        <v>196</v>
      </c>
    </row>
    <row r="13" spans="1:5" ht="21.95" customHeight="1">
      <c r="A13" t="s">
        <v>66</v>
      </c>
      <c r="B13">
        <v>15</v>
      </c>
      <c r="C13">
        <v>12</v>
      </c>
      <c r="D13">
        <v>168</v>
      </c>
      <c r="E13" s="12">
        <f>SUM(Table2[[#This Row],[Done]:[TODO (P1)]])</f>
        <v>195</v>
      </c>
    </row>
    <row r="14" spans="1:5" ht="21.95" customHeight="1">
      <c r="A14" t="s">
        <v>67</v>
      </c>
      <c r="B14">
        <v>18</v>
      </c>
      <c r="C14">
        <v>11</v>
      </c>
      <c r="D14">
        <v>166</v>
      </c>
      <c r="E14" s="12">
        <f>SUM(Table2[[#This Row],[Done]:[TODO (P1)]])</f>
        <v>195</v>
      </c>
    </row>
    <row r="15" spans="1:5" ht="21.95" customHeight="1">
      <c r="A15" t="s">
        <v>68</v>
      </c>
      <c r="B15">
        <v>21</v>
      </c>
      <c r="C15">
        <v>14</v>
      </c>
      <c r="D15">
        <v>160</v>
      </c>
      <c r="E15" s="12">
        <f>SUM(Table2[[#This Row],[Done]:[TODO (P1)]])</f>
        <v>195</v>
      </c>
    </row>
    <row r="16" spans="1:5" ht="21.95" customHeight="1">
      <c r="A16" t="s">
        <v>69</v>
      </c>
      <c r="B16">
        <v>22</v>
      </c>
      <c r="C16">
        <v>14</v>
      </c>
      <c r="D16">
        <v>160</v>
      </c>
      <c r="E16" s="12">
        <f>SUM(Table2[[#This Row],[Done]:[TODO (P1)]])</f>
        <v>196</v>
      </c>
    </row>
    <row r="17" spans="1:5" ht="21.95" customHeight="1">
      <c r="A17" t="s">
        <v>70</v>
      </c>
      <c r="B17">
        <v>25</v>
      </c>
      <c r="C17">
        <v>10</v>
      </c>
      <c r="D17">
        <v>161</v>
      </c>
      <c r="E17" s="12">
        <f>SUM(Table2[[#This Row],[Done]:[TODO (P1)]])</f>
        <v>196</v>
      </c>
    </row>
    <row r="18" spans="1:5" ht="21.95" customHeight="1">
      <c r="A18" t="s">
        <v>72</v>
      </c>
      <c r="B18">
        <v>28</v>
      </c>
      <c r="C18">
        <v>8</v>
      </c>
      <c r="D18">
        <v>160</v>
      </c>
      <c r="E18" s="12">
        <f>SUM(Table2[[#This Row],[Done]:[TODO (P1)]])</f>
        <v>196</v>
      </c>
    </row>
    <row r="19" spans="1:5" ht="21.95" customHeight="1">
      <c r="A19" t="s">
        <v>73</v>
      </c>
      <c r="B19">
        <v>30</v>
      </c>
      <c r="C19">
        <v>6</v>
      </c>
      <c r="D19">
        <v>160</v>
      </c>
      <c r="E19" s="12">
        <f>SUM(Table2[[#This Row],[Done]:[TODO (P1)]])</f>
        <v>196</v>
      </c>
    </row>
    <row r="20" spans="1:5" ht="21.95" customHeight="1">
      <c r="A20" t="s">
        <v>74</v>
      </c>
      <c r="B20">
        <v>32</v>
      </c>
      <c r="C20">
        <v>5</v>
      </c>
      <c r="D20">
        <v>160</v>
      </c>
      <c r="E20" s="12">
        <f>SUM(Table2[[#This Row],[Done]:[TODO (P1)]])</f>
        <v>197</v>
      </c>
    </row>
    <row r="21" spans="1:5" ht="21.95" customHeight="1">
      <c r="A21" t="s">
        <v>75</v>
      </c>
      <c r="B21">
        <v>32</v>
      </c>
      <c r="C21">
        <v>5</v>
      </c>
      <c r="D21">
        <v>160</v>
      </c>
      <c r="E21" s="12">
        <f>SUM(Table2[[#This Row],[Done]:[TODO (P1)]])</f>
        <v>197</v>
      </c>
    </row>
    <row r="22" spans="1:5" ht="21.95" customHeight="1">
      <c r="A22" t="s">
        <v>63</v>
      </c>
      <c r="B22">
        <v>32</v>
      </c>
      <c r="C22">
        <v>3</v>
      </c>
      <c r="D22">
        <v>162</v>
      </c>
      <c r="E22" s="12">
        <f>SUM(Table2[[#This Row],[Done]:[TODO (P1)]])</f>
        <v>197</v>
      </c>
    </row>
    <row r="23" spans="1:5" ht="21.95" customHeight="1">
      <c r="A23" t="s">
        <v>76</v>
      </c>
      <c r="B23">
        <v>32</v>
      </c>
      <c r="C23">
        <v>3</v>
      </c>
      <c r="D23">
        <v>162</v>
      </c>
      <c r="E23" s="12">
        <f>SUM(Table2[[#This Row],[Done]:[TODO (P1)]])</f>
        <v>197</v>
      </c>
    </row>
    <row r="24" spans="1:5" ht="21.95" customHeight="1">
      <c r="A24" t="s">
        <v>93</v>
      </c>
      <c r="B24">
        <v>32</v>
      </c>
      <c r="C24">
        <v>3</v>
      </c>
      <c r="D24">
        <v>162</v>
      </c>
      <c r="E24" s="12">
        <f>SUM(Table2[[#This Row],[Done]:[TODO (P1)]])</f>
        <v>197</v>
      </c>
    </row>
    <row r="25" spans="1:5" ht="21.95" customHeight="1">
      <c r="A25" t="s">
        <v>94</v>
      </c>
      <c r="B25">
        <v>32</v>
      </c>
      <c r="C25">
        <v>1</v>
      </c>
      <c r="D25">
        <v>162</v>
      </c>
      <c r="E25" s="12">
        <f>SUM(Table2[[#This Row],[Done]:[TODO (P1)]])</f>
        <v>195</v>
      </c>
    </row>
    <row r="26" spans="1:5" ht="21.95" customHeight="1">
      <c r="A26" t="s">
        <v>95</v>
      </c>
      <c r="B26">
        <v>32</v>
      </c>
      <c r="C26">
        <v>2</v>
      </c>
      <c r="D26">
        <v>161</v>
      </c>
      <c r="E26" s="12">
        <f>SUM(Table2[[#This Row],[Done]:[TODO (P1)]])</f>
        <v>195</v>
      </c>
    </row>
    <row r="27" spans="1:5" ht="21.95" customHeight="1">
      <c r="A27" t="s">
        <v>102</v>
      </c>
      <c r="B27">
        <v>31</v>
      </c>
      <c r="C27">
        <v>3</v>
      </c>
      <c r="D27">
        <v>161</v>
      </c>
      <c r="E27" s="12">
        <f>SUM(Table2[[#This Row],[Done]:[TODO (P1)]])</f>
        <v>195</v>
      </c>
    </row>
    <row r="28" spans="1:5" ht="21.95" customHeight="1">
      <c r="A28" t="s">
        <v>103</v>
      </c>
      <c r="B28">
        <v>31</v>
      </c>
      <c r="C28">
        <v>3</v>
      </c>
      <c r="D28">
        <v>161</v>
      </c>
      <c r="E28" s="12">
        <f>SUM(Table2[[#This Row],[Done]:[TODO (P1)]])</f>
        <v>195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8"/>
  <sheetViews>
    <sheetView zoomScaleNormal="100" workbookViewId="0">
      <selection activeCell="G19" sqref="G19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44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49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50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53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54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56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59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60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90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97</v>
      </c>
      <c r="B18">
        <v>614</v>
      </c>
      <c r="C18">
        <v>0</v>
      </c>
      <c r="D18">
        <v>0</v>
      </c>
      <c r="E18">
        <v>4</v>
      </c>
      <c r="F18">
        <v>0</v>
      </c>
      <c r="G18">
        <v>196</v>
      </c>
      <c r="H18">
        <f>SUM(Table1[[#This Row],[Passed]:[Untested]])</f>
        <v>814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32"/>
  <sheetViews>
    <sheetView topLeftCell="A10" zoomScaleNormal="100" workbookViewId="0">
      <selection activeCell="G33" sqref="G33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33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86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87</v>
      </c>
    </row>
    <row r="4" spans="1:8" ht="20.100000000000001" customHeight="1">
      <c r="A4" s="3" t="s">
        <v>88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89</v>
      </c>
    </row>
    <row r="6" spans="1:8" ht="20.100000000000001" customHeight="1">
      <c r="A6" s="3" t="s">
        <v>77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78</v>
      </c>
    </row>
    <row r="8" spans="1:8" ht="20.100000000000001" customHeight="1">
      <c r="A8" s="3" t="s">
        <v>79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80</v>
      </c>
    </row>
    <row r="10" spans="1:8" ht="20.100000000000001" customHeight="1">
      <c r="A10" s="3" t="s">
        <v>81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82</v>
      </c>
    </row>
    <row r="12" spans="1:8" ht="20.100000000000001" customHeight="1">
      <c r="A12" s="3" t="s">
        <v>83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84</v>
      </c>
    </row>
    <row r="14" spans="1:8" ht="20.100000000000001" customHeight="1">
      <c r="A14" s="3" t="s">
        <v>85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64</v>
      </c>
      <c r="H15" s="12"/>
    </row>
    <row r="16" spans="1:8" ht="20.100000000000001" customHeight="1">
      <c r="A16" s="3" t="s">
        <v>65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66</v>
      </c>
      <c r="H17" s="12"/>
    </row>
    <row r="18" spans="1:8" ht="20.100000000000001" customHeight="1">
      <c r="A18" s="3" t="s">
        <v>67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68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69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70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71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72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73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74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75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63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76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93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94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102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103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1"/>
  <sheetViews>
    <sheetView zoomScaleNormal="100" workbookViewId="0">
      <selection activeCell="G21" sqref="B2:G21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42</v>
      </c>
      <c r="D1" s="3" t="s">
        <v>17</v>
      </c>
      <c r="E1" s="3" t="s">
        <v>45</v>
      </c>
      <c r="F1" s="3" t="s">
        <v>46</v>
      </c>
      <c r="G1" s="3" t="s">
        <v>1</v>
      </c>
      <c r="H1" s="3" t="s">
        <v>3</v>
      </c>
    </row>
    <row r="2" spans="1:8">
      <c r="A2" s="3" t="s">
        <v>19</v>
      </c>
      <c r="B2">
        <v>15</v>
      </c>
      <c r="C2">
        <v>0</v>
      </c>
      <c r="D2">
        <v>1</v>
      </c>
      <c r="E2">
        <v>0</v>
      </c>
      <c r="F2">
        <v>0</v>
      </c>
      <c r="G2">
        <v>61</v>
      </c>
      <c r="H2">
        <f>SUM(Table7[[#This Row],[To Do]:[Done]])</f>
        <v>77</v>
      </c>
    </row>
    <row r="3" spans="1:8">
      <c r="A3" s="3" t="s">
        <v>20</v>
      </c>
      <c r="B3">
        <v>7</v>
      </c>
      <c r="C3">
        <v>0</v>
      </c>
      <c r="D3">
        <v>0</v>
      </c>
      <c r="E3">
        <v>0</v>
      </c>
      <c r="F3">
        <v>0</v>
      </c>
      <c r="G3">
        <v>46</v>
      </c>
      <c r="H3">
        <f>SUM(Table7[[#This Row],[To Do]:[Done]])</f>
        <v>53</v>
      </c>
    </row>
    <row r="4" spans="1:8">
      <c r="A4" s="3" t="s">
        <v>4</v>
      </c>
      <c r="B4">
        <v>18</v>
      </c>
      <c r="C4">
        <v>0</v>
      </c>
      <c r="D4">
        <v>2</v>
      </c>
      <c r="E4">
        <v>0</v>
      </c>
      <c r="F4">
        <v>0</v>
      </c>
      <c r="G4">
        <v>43</v>
      </c>
      <c r="H4">
        <f>SUM(Table7[[#This Row],[To Do]:[Done]])</f>
        <v>63</v>
      </c>
    </row>
    <row r="5" spans="1:8">
      <c r="A5" s="3" t="s">
        <v>5</v>
      </c>
      <c r="B5">
        <v>17</v>
      </c>
      <c r="C5">
        <v>0</v>
      </c>
      <c r="D5">
        <v>1</v>
      </c>
      <c r="E5">
        <v>0</v>
      </c>
      <c r="F5">
        <v>0</v>
      </c>
      <c r="G5">
        <v>33</v>
      </c>
      <c r="H5">
        <f>SUM(Table7[[#This Row],[To Do]:[Done]])</f>
        <v>51</v>
      </c>
    </row>
    <row r="6" spans="1:8">
      <c r="A6" s="3" t="s">
        <v>6</v>
      </c>
      <c r="B6">
        <v>26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51</v>
      </c>
    </row>
    <row r="7" spans="1:8">
      <c r="A7" s="3" t="s">
        <v>7</v>
      </c>
      <c r="B7">
        <v>14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70</v>
      </c>
    </row>
    <row r="8" spans="1:8">
      <c r="A8" s="3" t="s">
        <v>8</v>
      </c>
      <c r="B8">
        <v>10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50</v>
      </c>
    </row>
    <row r="9" spans="1:8">
      <c r="A9" s="3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s="3" t="s">
        <v>10</v>
      </c>
      <c r="B10">
        <v>11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41</v>
      </c>
    </row>
    <row r="11" spans="1:8">
      <c r="A11" s="3" t="s">
        <v>44</v>
      </c>
      <c r="B11">
        <v>2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3</v>
      </c>
    </row>
    <row r="12" spans="1:8">
      <c r="A12" s="3" t="s">
        <v>49</v>
      </c>
      <c r="B12">
        <v>13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22</v>
      </c>
    </row>
    <row r="13" spans="1:8">
      <c r="A13" s="3" t="s">
        <v>50</v>
      </c>
      <c r="B13">
        <v>1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13</v>
      </c>
    </row>
    <row r="14" spans="1:8">
      <c r="A14" s="3" t="s">
        <v>53</v>
      </c>
      <c r="B14">
        <v>4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13</v>
      </c>
    </row>
    <row r="15" spans="1:8">
      <c r="A15" s="3" t="s">
        <v>54</v>
      </c>
      <c r="B15">
        <v>16</v>
      </c>
      <c r="C15">
        <v>0</v>
      </c>
      <c r="D15">
        <v>0</v>
      </c>
      <c r="E15">
        <v>0</v>
      </c>
      <c r="F15">
        <v>0</v>
      </c>
      <c r="G15">
        <v>38</v>
      </c>
      <c r="H15">
        <f>SUM(Table7[[#This Row],[To Do]:[Done]])</f>
        <v>54</v>
      </c>
    </row>
    <row r="16" spans="1:8">
      <c r="A16" s="3" t="s">
        <v>56</v>
      </c>
      <c r="B16">
        <v>5</v>
      </c>
      <c r="C16">
        <v>0</v>
      </c>
      <c r="D16">
        <v>0</v>
      </c>
      <c r="E16">
        <v>0</v>
      </c>
      <c r="F16">
        <v>0</v>
      </c>
      <c r="G16">
        <v>37</v>
      </c>
      <c r="H16">
        <f>SUM(Table7[[#This Row],[To Do]:[Done]])</f>
        <v>42</v>
      </c>
    </row>
    <row r="17" spans="1:8">
      <c r="A17" s="3" t="s">
        <v>59</v>
      </c>
      <c r="B17">
        <v>7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43</v>
      </c>
    </row>
    <row r="18" spans="1:8">
      <c r="A18" s="3" t="s">
        <v>60</v>
      </c>
      <c r="B18">
        <v>6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24</v>
      </c>
    </row>
    <row r="19" spans="1:8">
      <c r="A19" s="3" t="s">
        <v>90</v>
      </c>
      <c r="B19">
        <v>2</v>
      </c>
      <c r="C19">
        <v>1</v>
      </c>
      <c r="D19">
        <v>0</v>
      </c>
      <c r="E19">
        <v>1</v>
      </c>
      <c r="F19">
        <v>0</v>
      </c>
      <c r="G19">
        <v>10</v>
      </c>
      <c r="H19">
        <f>SUM(Table7[[#This Row],[To Do]:[Done]])</f>
        <v>14</v>
      </c>
    </row>
    <row r="20" spans="1:8">
      <c r="A20" s="3" t="s">
        <v>96</v>
      </c>
      <c r="B20">
        <v>0</v>
      </c>
      <c r="C20">
        <v>0</v>
      </c>
      <c r="D20">
        <v>0</v>
      </c>
      <c r="E20">
        <v>1</v>
      </c>
      <c r="F20">
        <v>0</v>
      </c>
      <c r="G20">
        <v>8</v>
      </c>
      <c r="H20">
        <f>SUM(Table7[[#This Row],[To Do]:[Done]])</f>
        <v>9</v>
      </c>
    </row>
    <row r="21" spans="1:8">
      <c r="A21" s="3" t="s">
        <v>97</v>
      </c>
      <c r="B21">
        <v>4</v>
      </c>
      <c r="C21">
        <v>0</v>
      </c>
      <c r="D21">
        <v>0</v>
      </c>
      <c r="E21">
        <v>0</v>
      </c>
      <c r="F21">
        <v>0</v>
      </c>
      <c r="G21">
        <v>1</v>
      </c>
      <c r="H21">
        <f>SUM(Table7[[#This Row],[To Do]:[Done]])</f>
        <v>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7"/>
  <sheetViews>
    <sheetView zoomScaleNormal="100" workbookViewId="0">
      <selection activeCell="K26" sqref="K25:K26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47</v>
      </c>
      <c r="E1" s="7" t="s">
        <v>25</v>
      </c>
      <c r="F1" s="7" t="s">
        <v>61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100</v>
      </c>
      <c r="B2" s="5">
        <v>162</v>
      </c>
      <c r="C2" s="5">
        <v>0</v>
      </c>
      <c r="D2" s="5">
        <v>1</v>
      </c>
      <c r="E2" s="5">
        <v>4</v>
      </c>
      <c r="F2" s="5">
        <v>1</v>
      </c>
      <c r="G2" s="5">
        <v>125</v>
      </c>
      <c r="H2" s="5">
        <v>76</v>
      </c>
      <c r="I2" s="15">
        <f>SUM(Table5[[#This Row],[To Do (0%)]:[WON''T DO (100%)]])</f>
        <v>369</v>
      </c>
    </row>
    <row r="3" spans="1:9" ht="18" thickBot="1">
      <c r="A3" s="4" t="s">
        <v>101</v>
      </c>
      <c r="B3" s="5">
        <v>26</v>
      </c>
      <c r="C3" s="5">
        <v>0</v>
      </c>
      <c r="D3" s="5">
        <v>0</v>
      </c>
      <c r="E3" s="5">
        <v>0</v>
      </c>
      <c r="F3" s="5">
        <v>0</v>
      </c>
      <c r="G3" s="5">
        <v>2</v>
      </c>
      <c r="H3" s="5">
        <v>3</v>
      </c>
      <c r="I3" s="5">
        <f>SUM(Table5[[#This Row],[To Do (0%)]:[WON''T DO (100%)]])</f>
        <v>31</v>
      </c>
    </row>
    <row r="4" spans="1:9" ht="18" thickBot="1">
      <c r="A4" s="4" t="s">
        <v>36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20</v>
      </c>
      <c r="H4" s="5">
        <v>3</v>
      </c>
      <c r="I4" s="5">
        <f>SUM(Table5[[#This Row],[To Do (0%)]:[WON''T DO (100%)]])</f>
        <v>23</v>
      </c>
    </row>
    <row r="5" spans="1:9" ht="18" thickBot="1">
      <c r="A5" s="4" t="s">
        <v>37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20</v>
      </c>
      <c r="H5" s="5">
        <v>2</v>
      </c>
      <c r="I5" s="5">
        <f>SUM(Table5[[#This Row],[To Do (0%)]:[WON''T DO (100%)]])</f>
        <v>22</v>
      </c>
    </row>
    <row r="6" spans="1:9" ht="18" thickBot="1">
      <c r="A6" s="4" t="s">
        <v>38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16</v>
      </c>
      <c r="H6" s="5">
        <v>2</v>
      </c>
      <c r="I6" s="5">
        <f>SUM(Table5[[#This Row],[To Do (0%)]:[WON''T DO (100%)]])</f>
        <v>18</v>
      </c>
    </row>
    <row r="7" spans="1:9" ht="18" thickBot="1">
      <c r="A7" s="4" t="s">
        <v>39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16</v>
      </c>
      <c r="H7" s="5">
        <v>2</v>
      </c>
      <c r="I7" s="5">
        <f>SUM(Table5[[#This Row],[To Do (0%)]:[WON''T DO (100%)]])</f>
        <v>18</v>
      </c>
    </row>
    <row r="8" spans="1:9" ht="18" thickBot="1">
      <c r="A8" s="4" t="s">
        <v>40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55</v>
      </c>
      <c r="H8" s="5">
        <v>4</v>
      </c>
      <c r="I8" s="5">
        <f>SUM(Table5[[#This Row],[To Do (0%)]:[WON''T DO (100%)]])</f>
        <v>59</v>
      </c>
    </row>
    <row r="9" spans="1:9" ht="18" thickBot="1">
      <c r="A9" s="4" t="s">
        <v>41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35</v>
      </c>
      <c r="H9" s="5">
        <v>4</v>
      </c>
      <c r="I9" s="5">
        <f>SUM(Table5[[#This Row],[To Do (0%)]:[WON''T DO (100%)]])</f>
        <v>39</v>
      </c>
    </row>
    <row r="10" spans="1:9" ht="18" thickBot="1">
      <c r="A10" s="4" t="s">
        <v>28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39</v>
      </c>
      <c r="H10" s="5">
        <v>2</v>
      </c>
      <c r="I10" s="5">
        <f>SUM(Table5[[#This Row],[To Do (0%)]:[WON''T DO (100%)]])</f>
        <v>42</v>
      </c>
    </row>
    <row r="11" spans="1:9" ht="18" thickBot="1">
      <c r="A11" s="4" t="s">
        <v>29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39</v>
      </c>
      <c r="H11" s="5">
        <v>6</v>
      </c>
      <c r="I11" s="5">
        <f>SUM(Table5[[#This Row],[To Do (0%)]:[WON''T DO (100%)]])</f>
        <v>46</v>
      </c>
    </row>
    <row r="12" spans="1:9" ht="18" thickBot="1">
      <c r="A12" s="4" t="s">
        <v>30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45</v>
      </c>
      <c r="H12" s="5">
        <v>7</v>
      </c>
      <c r="I12" s="5">
        <f>SUM(Table5[[#This Row],[To Do (0%)]:[WON''T DO (100%)]])</f>
        <v>53</v>
      </c>
    </row>
    <row r="13" spans="1:9" ht="18" thickBot="1">
      <c r="A13" s="4" t="s">
        <v>31</v>
      </c>
      <c r="B13" s="5">
        <v>1</v>
      </c>
      <c r="C13" s="5">
        <v>0</v>
      </c>
      <c r="D13" s="5">
        <v>0</v>
      </c>
      <c r="E13" s="5">
        <v>0</v>
      </c>
      <c r="F13" s="5">
        <v>0</v>
      </c>
      <c r="G13" s="5">
        <v>18</v>
      </c>
      <c r="H13" s="5">
        <v>1</v>
      </c>
      <c r="I13" s="5">
        <f>SUM(Table5[[#This Row],[To Do (0%)]:[WON''T DO (100%)]])</f>
        <v>20</v>
      </c>
    </row>
    <row r="14" spans="1:9" ht="18" thickBot="1">
      <c r="A14" s="4" t="s">
        <v>32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25</v>
      </c>
      <c r="H14" s="5">
        <v>4</v>
      </c>
      <c r="I14" s="5">
        <f>SUM(Table5[[#This Row],[To Do (0%)]:[WON''T DO (100%)]])</f>
        <v>32</v>
      </c>
    </row>
    <row r="15" spans="1:9" ht="18" thickBot="1">
      <c r="A15" s="4" t="s">
        <v>34</v>
      </c>
      <c r="B15" s="5">
        <v>3</v>
      </c>
      <c r="C15" s="5">
        <v>0</v>
      </c>
      <c r="D15" s="5">
        <v>0</v>
      </c>
      <c r="E15" s="5">
        <v>0</v>
      </c>
      <c r="F15" s="5">
        <v>0</v>
      </c>
      <c r="G15" s="5">
        <v>45</v>
      </c>
      <c r="H15" s="5">
        <v>5</v>
      </c>
      <c r="I15" s="5">
        <f>SUM(Table5[[#This Row],[To Do (0%)]:[WON''T DO (100%)]])</f>
        <v>53</v>
      </c>
    </row>
    <row r="16" spans="1:9" ht="18" thickBot="1">
      <c r="A16" s="4" t="s">
        <v>35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24</v>
      </c>
      <c r="H16" s="5">
        <v>1</v>
      </c>
      <c r="I16" s="5">
        <f>SUM(Table5[[#This Row],[To Do (0%)]:[WON''T DO (100%)]])</f>
        <v>25</v>
      </c>
    </row>
    <row r="17" spans="1:9" ht="18" thickBot="1">
      <c r="A17" s="4" t="s">
        <v>48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43</v>
      </c>
      <c r="H17" s="5">
        <v>0</v>
      </c>
      <c r="I17" s="5">
        <f>SUM(Table5[[#This Row],[To Do (0%)]:[WON''T DO (100%)]])</f>
        <v>43</v>
      </c>
    </row>
    <row r="18" spans="1:9" ht="18" thickBot="1">
      <c r="A18" s="4" t="s">
        <v>51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35</v>
      </c>
      <c r="H18" s="5">
        <v>0</v>
      </c>
      <c r="I18" s="5">
        <f>SUM(Table5[[#This Row],[To Do (0%)]:[WON''T DO (100%)]])</f>
        <v>35</v>
      </c>
    </row>
    <row r="19" spans="1:9" ht="18" thickBot="1">
      <c r="A19" s="4" t="s">
        <v>52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29</v>
      </c>
      <c r="H19" s="5">
        <v>0</v>
      </c>
      <c r="I19" s="5">
        <f>SUM(Table5[[#This Row],[To Do (0%)]:[WON''T DO (100%)]])</f>
        <v>29</v>
      </c>
    </row>
    <row r="20" spans="1:9" ht="18" thickBot="1">
      <c r="A20" s="4" t="s">
        <v>55</v>
      </c>
      <c r="B20" s="5">
        <v>4</v>
      </c>
      <c r="C20" s="5">
        <v>0</v>
      </c>
      <c r="D20" s="5">
        <v>0</v>
      </c>
      <c r="E20" s="5">
        <v>0</v>
      </c>
      <c r="F20" s="5">
        <v>0</v>
      </c>
      <c r="G20" s="5">
        <v>39</v>
      </c>
      <c r="H20" s="5">
        <v>1</v>
      </c>
      <c r="I20" s="5">
        <f>SUM(Table5[[#This Row],[To Do (0%)]:[WON''T DO (100%)]])</f>
        <v>44</v>
      </c>
    </row>
    <row r="21" spans="1:9" ht="18" thickBot="1">
      <c r="A21" s="4" t="s">
        <v>57</v>
      </c>
      <c r="B21" s="5">
        <v>4</v>
      </c>
      <c r="C21" s="5">
        <v>0</v>
      </c>
      <c r="D21" s="5">
        <v>0</v>
      </c>
      <c r="E21" s="5">
        <v>0</v>
      </c>
      <c r="F21" s="5">
        <v>0</v>
      </c>
      <c r="G21" s="5">
        <v>31</v>
      </c>
      <c r="H21" s="5">
        <v>1</v>
      </c>
      <c r="I21" s="5">
        <f>SUM(Table5[[#This Row],[To Do (0%)]:[WON''T DO (100%)]])</f>
        <v>36</v>
      </c>
    </row>
    <row r="22" spans="1:9" ht="18" thickBot="1">
      <c r="A22" s="4" t="s">
        <v>58</v>
      </c>
      <c r="B22" s="5">
        <v>7</v>
      </c>
      <c r="C22" s="5">
        <v>0</v>
      </c>
      <c r="D22" s="5">
        <v>0</v>
      </c>
      <c r="E22" s="5">
        <v>0</v>
      </c>
      <c r="F22" s="5">
        <v>0</v>
      </c>
      <c r="G22" s="5">
        <v>29</v>
      </c>
      <c r="H22" s="5">
        <v>1</v>
      </c>
      <c r="I22" s="15">
        <f>SUM(Table5[[#This Row],[To Do (0%)]:[WON''T DO (100%)]])</f>
        <v>37</v>
      </c>
    </row>
    <row r="23" spans="1:9" ht="18" thickBot="1">
      <c r="A23" s="4" t="s">
        <v>62</v>
      </c>
      <c r="B23" s="5">
        <v>2</v>
      </c>
      <c r="C23" s="5">
        <v>0</v>
      </c>
      <c r="D23" s="5">
        <v>0</v>
      </c>
      <c r="E23" s="5">
        <v>0</v>
      </c>
      <c r="F23" s="5">
        <v>0</v>
      </c>
      <c r="G23" s="5">
        <v>29</v>
      </c>
      <c r="H23" s="5">
        <v>0</v>
      </c>
      <c r="I23" s="5">
        <f>SUM(Table5[[#This Row],[To Do (0%)]:[WON''T DO (100%)]])</f>
        <v>31</v>
      </c>
    </row>
    <row r="24" spans="1:9" ht="18" thickBot="1">
      <c r="A24" s="4" t="s">
        <v>91</v>
      </c>
      <c r="B24" s="5">
        <v>2</v>
      </c>
      <c r="C24" s="5">
        <v>0</v>
      </c>
      <c r="D24" s="5">
        <v>0</v>
      </c>
      <c r="E24" s="5">
        <v>0</v>
      </c>
      <c r="F24" s="5">
        <v>1</v>
      </c>
      <c r="G24" s="5">
        <v>31</v>
      </c>
      <c r="H24" s="5">
        <v>2</v>
      </c>
      <c r="I24" s="15">
        <f>SUM(Table5[[#This Row],[To Do (0%)]:[WON''T DO (100%)]])</f>
        <v>36</v>
      </c>
    </row>
    <row r="25" spans="1:9" ht="18" thickBot="1">
      <c r="A25" s="4" t="s">
        <v>92</v>
      </c>
      <c r="B25" s="5">
        <v>8</v>
      </c>
      <c r="C25" s="5">
        <v>1</v>
      </c>
      <c r="D25" s="5">
        <v>1</v>
      </c>
      <c r="E25" s="5">
        <v>3</v>
      </c>
      <c r="F25" s="5">
        <v>1</v>
      </c>
      <c r="G25" s="5">
        <v>19</v>
      </c>
      <c r="H25" s="5">
        <v>3</v>
      </c>
      <c r="I25" s="15">
        <f>SUM(Table5[[#This Row],[To Do (0%)]:[WON''T DO (100%)]])</f>
        <v>36</v>
      </c>
    </row>
    <row r="26" spans="1:9" ht="18" thickBot="1">
      <c r="A26" s="4" t="s">
        <v>98</v>
      </c>
      <c r="B26" s="5">
        <v>10</v>
      </c>
      <c r="C26" s="5">
        <v>1</v>
      </c>
      <c r="D26" s="5">
        <v>0</v>
      </c>
      <c r="E26" s="5">
        <v>1</v>
      </c>
      <c r="F26" s="5">
        <v>0</v>
      </c>
      <c r="G26" s="5">
        <v>0</v>
      </c>
      <c r="H26" s="5">
        <v>0</v>
      </c>
      <c r="I26" s="15">
        <f>SUM(Table5[[#This Row],[To Do (0%)]:[WON''T DO (100%)]])</f>
        <v>12</v>
      </c>
    </row>
    <row r="27" spans="1:9" ht="18" thickBot="1">
      <c r="A27" s="4" t="s">
        <v>99</v>
      </c>
      <c r="B27" s="5">
        <v>5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f>SUM(Table5[[#This Row],[To Do (0%)]:[WON''T DO (100%)]])</f>
        <v>5</v>
      </c>
    </row>
  </sheetData>
  <phoneticPr fontId="1" type="noConversion"/>
  <hyperlinks>
    <hyperlink ref="B2" r:id="rId1" display="https://xrspace.atlassian.net/issues/?jql=created+%3E%3D+2025-02-01+AND+created+%3C%3D+2026-12-31+AND+type+%3D+Bug+AND+project+%3D+SOVA+AND+Sprint+%3D+EMPTY+AND+status+%3D+%22To+Do+%280%25%29%22" xr:uid="{BF8CA9E5-2F44-49C5-9583-F43D0A229C79}"/>
    <hyperlink ref="D2" r:id="rId2" display="https://xrspace.atlassian.net/issues/?jql=created+%3E%3D+2025-02-01+AND+created+%3C%3D+2026-12-31+AND+type+%3D+Bug+AND+project+%3D+SOVA+AND+Sprint+%3D+EMPTY+AND+status+%3D+%22In+Progress+%2850+%7E+70%25%29%22" xr:uid="{CD39E288-4AFE-44C4-A645-D33F825377F5}"/>
    <hyperlink ref="G2" r:id="rId3" display="https://xrspace.atlassian.net/issues/?jql=created+%3E%3D+2025-02-01+AND+created+%3C%3D+2026-12-31+AND+type+%3D+Bug+AND+project+%3D+SOVA+AND+Sprint+%3D+EMPTY+AND+status+%3D+%22Done+%28100%25%29%22" xr:uid="{511EF0F3-1565-4207-81DE-83F4167B2D90}"/>
    <hyperlink ref="E2" r:id="rId4" display="https://xrspace.atlassian.net/issues/?jql=created+%3E%3D+2025-02-01+AND+created+%3C%3D+2026-12-31+AND+type+%3D+Bug+AND+project+%3D+SOVA+AND+Sprint+%3D+EMPTY+AND+status+%3D+%22IN+REVIEW+%2880%25%29%22" xr:uid="{64BEB31F-0420-4096-AFF0-832EE7ACBFC7}"/>
    <hyperlink ref="H2" r:id="rId5" display="https://xrspace.atlassian.net/issues/?jql=created+%3E%3D+2025-02-01+AND+created+%3C%3D+2026-12-31+AND+type+%3D+Bug+AND+project+%3D+SOVA+AND+Sprint+%3D+EMPTY+AND+status+%3D+%22WON%27T+DO+%28100%25%29%22" xr:uid="{4AB59AD4-9369-480C-A2CA-40A6B02A58A3}"/>
    <hyperlink ref="C2" r:id="rId6" display="https://xrspace.atlassian.net/issues/?jql=created+%3E%3D+2025-02-01+AND+created+%3C%3D+2026-12-31+AND+type+%3D+Bug+AND+project+%3D+SOVA+AND+Sprint+%3D+EMPTY+AND+status+%3D+%22STARTING+%2810+%7E+40%25%29%22" xr:uid="{163878DD-34F6-42C3-900C-C506AEC3C870}"/>
    <hyperlink ref="F2" r:id="rId7" display="https://xrspace.atlassian.net/issues/?jql=created+%3E%3D+2025-02-01+AND+created+%3C%3D+2026-12-31+AND+type+%3D+Bug+AND+project+%3D+SOVA+AND+Sprint+%3D+EMPTY+AND+status+%3D+%22READY+FOR+TESTING+%2890%25%29%22" xr:uid="{8D7893F5-BFFF-468E-A141-D3589461842F}"/>
    <hyperlink ref="B4" r:id="rId8" display="https://xrspace.atlassian.net/issues/?jql=created+%3E%3D+2025-02-01+AND+created+%3C%3D+2026-12-31+AND+type+%3D+Bug+AND+project+%3D+SOVA+AND+Sprint+%3D+1463+AND+status+%3D+%22To+Do+%280%25%29%22" xr:uid="{DCA6508D-6739-4E29-9D57-AFA23C32277E}"/>
    <hyperlink ref="D4" r:id="rId9" display="https://xrspace.atlassian.net/issues/?jql=created+%3E%3D+2025-02-01+AND+created+%3C%3D+2026-12-31+AND+type+%3D+Bug+AND+project+%3D+SOVA+AND+Sprint+%3D+1463+AND+status+%3D+%22In+Progress+%2850+%7E+70%25%29%22" xr:uid="{5D82EBDE-B1AF-42AB-813F-43F2DD00C5BC}"/>
    <hyperlink ref="G4" r:id="rId10" display="https://xrspace.atlassian.net/issues/?jql=created+%3E%3D+2025-02-01+AND+created+%3C%3D+2026-12-31+AND+type+%3D+Bug+AND+project+%3D+SOVA+AND+Sprint+%3D+1463+AND+status+%3D+%22Done+%28100%25%29%22" xr:uid="{33E8F0EC-4F01-450E-BAA7-EAB194046D08}"/>
    <hyperlink ref="E4" r:id="rId11" display="https://xrspace.atlassian.net/issues/?jql=created+%3E%3D+2025-02-01+AND+created+%3C%3D+2026-12-31+AND+type+%3D+Bug+AND+project+%3D+SOVA+AND+Sprint+%3D+1463+AND+status+%3D+%22IN+REVIEW+%2880%25%29%22" xr:uid="{5AEE9758-D700-49E4-9B01-C5551E98CA6A}"/>
    <hyperlink ref="H4" r:id="rId12" display="https://xrspace.atlassian.net/issues/?jql=created+%3E%3D+2025-02-01+AND+created+%3C%3D+2026-12-31+AND+type+%3D+Bug+AND+project+%3D+SOVA+AND+Sprint+%3D+1463+AND+status+%3D+%22WON%27T+DO+%28100%25%29%22" xr:uid="{0363EEDC-31A2-42E8-84CB-754B34501EC9}"/>
    <hyperlink ref="C4" r:id="rId13" display="https://xrspace.atlassian.net/issues/?jql=created+%3E%3D+2025-02-01+AND+created+%3C%3D+2026-12-31+AND+type+%3D+Bug+AND+project+%3D+SOVA+AND+Sprint+%3D+1463+AND+status+%3D+%22STARTING+%2810+%7E+40%25%29%22" xr:uid="{0FA7A97F-A3AD-4A6C-BEFE-146F0F61789F}"/>
    <hyperlink ref="F4" r:id="rId14" display="https://xrspace.atlassian.net/issues/?jql=created+%3E%3D+2025-02-01+AND+created+%3C%3D+2026-12-31+AND+type+%3D+Bug+AND+project+%3D+SOVA+AND+Sprint+%3D+1463+AND+status+%3D+%22READY+FOR+TESTING+%2890%25%29%22" xr:uid="{0878F59A-0484-4327-AB4E-2B7C5CA629A7}"/>
    <hyperlink ref="B5" r:id="rId15" display="https://xrspace.atlassian.net/issues/?jql=created+%3E%3D+2025-02-01+AND+created+%3C%3D+2026-12-31+AND+type+%3D+Bug+AND+project+%3D+SOVA+AND+Sprint+%3D+1466+AND+status+%3D+%22To+Do+%280%25%29%22" xr:uid="{1C4D5FC9-AE17-4590-9174-EB26D30C7268}"/>
    <hyperlink ref="D5" r:id="rId16" display="https://xrspace.atlassian.net/issues/?jql=created+%3E%3D+2025-02-01+AND+created+%3C%3D+2026-12-31+AND+type+%3D+Bug+AND+project+%3D+SOVA+AND+Sprint+%3D+1466+AND+status+%3D+%22In+Progress+%2850+%7E+70%25%29%22" xr:uid="{D3B78AFF-4A34-4C88-B8F7-58248254A05C}"/>
    <hyperlink ref="G5" r:id="rId17" display="https://xrspace.atlassian.net/issues/?jql=created+%3E%3D+2025-02-01+AND+created+%3C%3D+2026-12-31+AND+type+%3D+Bug+AND+project+%3D+SOVA+AND+Sprint+%3D+1466+AND+status+%3D+%22Done+%28100%25%29%22" xr:uid="{CDC92034-3199-4A14-A924-6ABB6CF8DDE8}"/>
    <hyperlink ref="E5" r:id="rId18" display="https://xrspace.atlassian.net/issues/?jql=created+%3E%3D+2025-02-01+AND+created+%3C%3D+2026-12-31+AND+type+%3D+Bug+AND+project+%3D+SOVA+AND+Sprint+%3D+1466+AND+status+%3D+%22IN+REVIEW+%2880%25%29%22" xr:uid="{E7AF27F5-E180-4F4E-8FCB-2452492DE5D0}"/>
    <hyperlink ref="H5" r:id="rId19" display="https://xrspace.atlassian.net/issues/?jql=created+%3E%3D+2025-02-01+AND+created+%3C%3D+2026-12-31+AND+type+%3D+Bug+AND+project+%3D+SOVA+AND+Sprint+%3D+1466+AND+status+%3D+%22WON%27T+DO+%28100%25%29%22" xr:uid="{10F4F01B-0D05-4DC7-B42C-B526B633EA2E}"/>
    <hyperlink ref="C5" r:id="rId20" display="https://xrspace.atlassian.net/issues/?jql=created+%3E%3D+2025-02-01+AND+created+%3C%3D+2026-12-31+AND+type+%3D+Bug+AND+project+%3D+SOVA+AND+Sprint+%3D+1466+AND+status+%3D+%22STARTING+%2810+%7E+40%25%29%22" xr:uid="{5CAD8FBC-408B-4D6F-B132-3146E2688EB6}"/>
    <hyperlink ref="F5" r:id="rId21" display="https://xrspace.atlassian.net/issues/?jql=created+%3E%3D+2025-02-01+AND+created+%3C%3D+2026-12-31+AND+type+%3D+Bug+AND+project+%3D+SOVA+AND+Sprint+%3D+1466+AND+status+%3D+%22READY+FOR+TESTING+%2890%25%29%22" xr:uid="{A6CF7003-F1CB-4B62-ACEB-CD28852C04DE}"/>
    <hyperlink ref="B6" r:id="rId22" display="https://xrspace.atlassian.net/issues/?jql=created+%3E%3D+2025-02-01+AND+created+%3C%3D+2026-12-31+AND+type+%3D+Bug+AND+project+%3D+SOVA+AND+Sprint+%3D+1496+AND+status+%3D+%22To+Do+%280%25%29%22" xr:uid="{41A0AC65-F21B-425F-A634-DD90E3DF5C5B}"/>
    <hyperlink ref="D6" r:id="rId23" display="https://xrspace.atlassian.net/issues/?jql=created+%3E%3D+2025-02-01+AND+created+%3C%3D+2026-12-31+AND+type+%3D+Bug+AND+project+%3D+SOVA+AND+Sprint+%3D+1496+AND+status+%3D+%22In+Progress+%2850+%7E+70%25%29%22" xr:uid="{1927087D-A714-4103-BCB1-B1240256748B}"/>
    <hyperlink ref="G6" r:id="rId24" display="https://xrspace.atlassian.net/issues/?jql=created+%3E%3D+2025-02-01+AND+created+%3C%3D+2026-12-31+AND+type+%3D+Bug+AND+project+%3D+SOVA+AND+Sprint+%3D+1496+AND+status+%3D+%22Done+%28100%25%29%22" xr:uid="{D70F7F81-375A-46B7-9340-A481AD621D16}"/>
    <hyperlink ref="E6" r:id="rId25" display="https://xrspace.atlassian.net/issues/?jql=created+%3E%3D+2025-02-01+AND+created+%3C%3D+2026-12-31+AND+type+%3D+Bug+AND+project+%3D+SOVA+AND+Sprint+%3D+1496+AND+status+%3D+%22IN+REVIEW+%2880%25%29%22" xr:uid="{E84C155C-6F5F-4586-86FF-91500882041F}"/>
    <hyperlink ref="H6" r:id="rId26" display="https://xrspace.atlassian.net/issues/?jql=created+%3E%3D+2025-02-01+AND+created+%3C%3D+2026-12-31+AND+type+%3D+Bug+AND+project+%3D+SOVA+AND+Sprint+%3D+1496+AND+status+%3D+%22WON%27T+DO+%28100%25%29%22" xr:uid="{50ED0615-C223-4A2C-8A2C-BAD8A64AE8C6}"/>
    <hyperlink ref="C6" r:id="rId27" display="https://xrspace.atlassian.net/issues/?jql=created+%3E%3D+2025-02-01+AND+created+%3C%3D+2026-12-31+AND+type+%3D+Bug+AND+project+%3D+SOVA+AND+Sprint+%3D+1496+AND+status+%3D+%22STARTING+%2810+%7E+40%25%29%22" xr:uid="{483B452B-AC9E-492B-BC87-00D8C10E6BD1}"/>
    <hyperlink ref="F6" r:id="rId28" display="https://xrspace.atlassian.net/issues/?jql=created+%3E%3D+2025-02-01+AND+created+%3C%3D+2026-12-31+AND+type+%3D+Bug+AND+project+%3D+SOVA+AND+Sprint+%3D+1496+AND+status+%3D+%22READY+FOR+TESTING+%2890%25%29%22" xr:uid="{013302C7-827D-427B-878B-E9E0C45B1741}"/>
    <hyperlink ref="B7" r:id="rId29" display="https://xrspace.atlassian.net/issues/?jql=created+%3E%3D+2025-02-01+AND+created+%3C%3D+2026-12-31+AND+type+%3D+Bug+AND+project+%3D+SOVA+AND+Sprint+%3D+1497+AND+status+%3D+%22To+Do+%280%25%29%22" xr:uid="{CCC11889-F26D-41B0-8F70-777F9D22F32A}"/>
    <hyperlink ref="D7" r:id="rId30" display="https://xrspace.atlassian.net/issues/?jql=created+%3E%3D+2025-02-01+AND+created+%3C%3D+2026-12-31+AND+type+%3D+Bug+AND+project+%3D+SOVA+AND+Sprint+%3D+1497+AND+status+%3D+%22In+Progress+%2850+%7E+70%25%29%22" xr:uid="{ADD121ED-122B-425E-9716-6A910BD0805A}"/>
    <hyperlink ref="G7" r:id="rId31" display="https://xrspace.atlassian.net/issues/?jql=created+%3E%3D+2025-02-01+AND+created+%3C%3D+2026-12-31+AND+type+%3D+Bug+AND+project+%3D+SOVA+AND+Sprint+%3D+1497+AND+status+%3D+%22Done+%28100%25%29%22" xr:uid="{D3BBA393-4036-44B9-8F1C-1C2CC6BCFCC2}"/>
    <hyperlink ref="E7" r:id="rId32" display="https://xrspace.atlassian.net/issues/?jql=created+%3E%3D+2025-02-01+AND+created+%3C%3D+2026-12-31+AND+type+%3D+Bug+AND+project+%3D+SOVA+AND+Sprint+%3D+1497+AND+status+%3D+%22IN+REVIEW+%2880%25%29%22" xr:uid="{D5548EB4-B02D-4482-A88D-EFA077DDA8FB}"/>
    <hyperlink ref="H7" r:id="rId33" display="https://xrspace.atlassian.net/issues/?jql=created+%3E%3D+2025-02-01+AND+created+%3C%3D+2026-12-31+AND+type+%3D+Bug+AND+project+%3D+SOVA+AND+Sprint+%3D+1497+AND+status+%3D+%22WON%27T+DO+%28100%25%29%22" xr:uid="{9CF99D08-FBF6-4517-ACDC-82DEBDBDB5DC}"/>
    <hyperlink ref="C7" r:id="rId34" display="https://xrspace.atlassian.net/issues/?jql=created+%3E%3D+2025-02-01+AND+created+%3C%3D+2026-12-31+AND+type+%3D+Bug+AND+project+%3D+SOVA+AND+Sprint+%3D+1497+AND+status+%3D+%22STARTING+%2810+%7E+40%25%29%22" xr:uid="{54905639-2036-48CD-9DA1-AC0E425353DE}"/>
    <hyperlink ref="F7" r:id="rId35" display="https://xrspace.atlassian.net/issues/?jql=created+%3E%3D+2025-02-01+AND+created+%3C%3D+2026-12-31+AND+type+%3D+Bug+AND+project+%3D+SOVA+AND+Sprint+%3D+1497+AND+status+%3D+%22READY+FOR+TESTING+%2890%25%29%22" xr:uid="{2F4F0C9E-7CB3-45C6-8068-A087534D7C7C}"/>
    <hyperlink ref="B8" r:id="rId36" display="https://xrspace.atlassian.net/issues/?jql=created+%3E%3D+2025-02-01+AND+created+%3C%3D+2026-12-31+AND+type+%3D+Bug+AND+project+%3D+SOVA+AND+Sprint+%3D+1498+AND+status+%3D+%22To+Do+%280%25%29%22" xr:uid="{1C570888-DC70-473A-BA6D-627728948921}"/>
    <hyperlink ref="D8" r:id="rId37" display="https://xrspace.atlassian.net/issues/?jql=created+%3E%3D+2025-02-01+AND+created+%3C%3D+2026-12-31+AND+type+%3D+Bug+AND+project+%3D+SOVA+AND+Sprint+%3D+1498+AND+status+%3D+%22In+Progress+%2850+%7E+70%25%29%22" xr:uid="{EEF9781C-FB9B-421F-9F78-111857DD24DE}"/>
    <hyperlink ref="G8" r:id="rId38" display="https://xrspace.atlassian.net/issues/?jql=created+%3E%3D+2025-02-01+AND+created+%3C%3D+2026-12-31+AND+type+%3D+Bug+AND+project+%3D+SOVA+AND+Sprint+%3D+1498+AND+status+%3D+%22Done+%28100%25%29%22" xr:uid="{E1690A74-9C37-4E90-ACE4-8BE7C9EBF7EC}"/>
    <hyperlink ref="E8" r:id="rId39" display="https://xrspace.atlassian.net/issues/?jql=created+%3E%3D+2025-02-01+AND+created+%3C%3D+2026-12-31+AND+type+%3D+Bug+AND+project+%3D+SOVA+AND+Sprint+%3D+1498+AND+status+%3D+%22IN+REVIEW+%2880%25%29%22" xr:uid="{F353AE61-4AD3-46B1-AD67-EE36EBEBF894}"/>
    <hyperlink ref="H8" r:id="rId40" display="https://xrspace.atlassian.net/issues/?jql=created+%3E%3D+2025-02-01+AND+created+%3C%3D+2026-12-31+AND+type+%3D+Bug+AND+project+%3D+SOVA+AND+Sprint+%3D+1498+AND+status+%3D+%22WON%27T+DO+%28100%25%29%22" xr:uid="{05F921BC-FAC3-4E29-8EEF-A46B42160B5C}"/>
    <hyperlink ref="C8" r:id="rId41" display="https://xrspace.atlassian.net/issues/?jql=created+%3E%3D+2025-02-01+AND+created+%3C%3D+2026-12-31+AND+type+%3D+Bug+AND+project+%3D+SOVA+AND+Sprint+%3D+1498+AND+status+%3D+%22STARTING+%2810+%7E+40%25%29%22" xr:uid="{4DE48923-BA03-49B0-9E2B-7AF300930E51}"/>
    <hyperlink ref="F8" r:id="rId42" display="https://xrspace.atlassian.net/issues/?jql=created+%3E%3D+2025-02-01+AND+created+%3C%3D+2026-12-31+AND+type+%3D+Bug+AND+project+%3D+SOVA+AND+Sprint+%3D+1498+AND+status+%3D+%22READY+FOR+TESTING+%2890%25%29%22" xr:uid="{41CCDFC2-90B2-4C3E-896D-CADB7BFF13D2}"/>
    <hyperlink ref="B9" r:id="rId43" display="https://xrspace.atlassian.net/issues/?jql=created+%3E%3D+2025-02-01+AND+created+%3C%3D+2026-12-31+AND+type+%3D+Bug+AND+project+%3D+SOVA+AND+Sprint+%3D+1499+AND+status+%3D+%22To+Do+%280%25%29%22" xr:uid="{2AA004AA-32A0-4AC2-878A-574A202C52AB}"/>
    <hyperlink ref="D9" r:id="rId44" display="https://xrspace.atlassian.net/issues/?jql=created+%3E%3D+2025-02-01+AND+created+%3C%3D+2026-12-31+AND+type+%3D+Bug+AND+project+%3D+SOVA+AND+Sprint+%3D+1499+AND+status+%3D+%22In+Progress+%2850+%7E+70%25%29%22" xr:uid="{2747391A-0739-466F-85DE-107B233D682F}"/>
    <hyperlink ref="G9" r:id="rId45" display="https://xrspace.atlassian.net/issues/?jql=created+%3E%3D+2025-02-01+AND+created+%3C%3D+2026-12-31+AND+type+%3D+Bug+AND+project+%3D+SOVA+AND+Sprint+%3D+1499+AND+status+%3D+%22Done+%28100%25%29%22" xr:uid="{335F8DF8-BCDF-461D-A9C3-474248AA98BD}"/>
    <hyperlink ref="E9" r:id="rId46" display="https://xrspace.atlassian.net/issues/?jql=created+%3E%3D+2025-02-01+AND+created+%3C%3D+2026-12-31+AND+type+%3D+Bug+AND+project+%3D+SOVA+AND+Sprint+%3D+1499+AND+status+%3D+%22IN+REVIEW+%2880%25%29%22" xr:uid="{9D9FBEB0-7377-4CB0-8A43-BBF1F0A45660}"/>
    <hyperlink ref="H9" r:id="rId47" display="https://xrspace.atlassian.net/issues/?jql=created+%3E%3D+2025-02-01+AND+created+%3C%3D+2026-12-31+AND+type+%3D+Bug+AND+project+%3D+SOVA+AND+Sprint+%3D+1499+AND+status+%3D+%22WON%27T+DO+%28100%25%29%22" xr:uid="{132A046C-6042-4955-98C0-E29ACF60266E}"/>
    <hyperlink ref="C9" r:id="rId48" display="https://xrspace.atlassian.net/issues/?jql=created+%3E%3D+2025-02-01+AND+created+%3C%3D+2026-12-31+AND+type+%3D+Bug+AND+project+%3D+SOVA+AND+Sprint+%3D+1499+AND+status+%3D+%22STARTING+%2810+%7E+40%25%29%22" xr:uid="{F87F936A-6148-488B-A91C-10CA53CE0F1B}"/>
    <hyperlink ref="F9" r:id="rId49" display="https://xrspace.atlassian.net/issues/?jql=created+%3E%3D+2025-02-01+AND+created+%3C%3D+2026-12-31+AND+type+%3D+Bug+AND+project+%3D+SOVA+AND+Sprint+%3D+1499+AND+status+%3D+%22READY+FOR+TESTING+%2890%25%29%22" xr:uid="{387BA32B-432A-49A3-BCAC-BE57C43293CC}"/>
    <hyperlink ref="B10" r:id="rId50" display="https://xrspace.atlassian.net/issues/?jql=created+%3E%3D+2025-02-01+AND+created+%3C%3D+2026-12-31+AND+type+%3D+Bug+AND+project+%3D+SOVA+AND+Sprint+%3D+2156+AND+status+%3D+%22To+Do+%280%25%29%22" xr:uid="{7D8890A4-B206-48D5-B06A-A35AC41899E2}"/>
    <hyperlink ref="D10" r:id="rId51" display="https://xrspace.atlassian.net/issues/?jql=created+%3E%3D+2025-02-01+AND+created+%3C%3D+2026-12-31+AND+type+%3D+Bug+AND+project+%3D+SOVA+AND+Sprint+%3D+2156+AND+status+%3D+%22In+Progress+%2850+%7E+70%25%29%22" xr:uid="{2DECEBB2-3486-4E7D-B15B-C0B1D99B22CD}"/>
    <hyperlink ref="G10" r:id="rId52" display="https://xrspace.atlassian.net/issues/?jql=created+%3E%3D+2025-02-01+AND+created+%3C%3D+2026-12-31+AND+type+%3D+Bug+AND+project+%3D+SOVA+AND+Sprint+%3D+2156+AND+status+%3D+%22Done+%28100%25%29%22" xr:uid="{942AD767-269A-4DF9-802E-21CA062D3A90}"/>
    <hyperlink ref="E10" r:id="rId53" display="https://xrspace.atlassian.net/issues/?jql=created+%3E%3D+2025-02-01+AND+created+%3C%3D+2026-12-31+AND+type+%3D+Bug+AND+project+%3D+SOVA+AND+Sprint+%3D+2156+AND+status+%3D+%22IN+REVIEW+%2880%25%29%22" xr:uid="{B5834AB4-D5E6-4B15-96E0-7C22DA172898}"/>
    <hyperlink ref="H10" r:id="rId54" display="https://xrspace.atlassian.net/issues/?jql=created+%3E%3D+2025-02-01+AND+created+%3C%3D+2026-12-31+AND+type+%3D+Bug+AND+project+%3D+SOVA+AND+Sprint+%3D+2156+AND+status+%3D+%22WON%27T+DO+%28100%25%29%22" xr:uid="{C7DD3757-049C-488F-BBB4-CC2C5158EB62}"/>
    <hyperlink ref="C10" r:id="rId55" display="https://xrspace.atlassian.net/issues/?jql=created+%3E%3D+2025-02-01+AND+created+%3C%3D+2026-12-31+AND+type+%3D+Bug+AND+project+%3D+SOVA+AND+Sprint+%3D+2156+AND+status+%3D+%22STARTING+%2810+%7E+40%25%29%22" xr:uid="{192D0568-12F8-49D6-ADDE-0CDF96EE068D}"/>
    <hyperlink ref="F10" r:id="rId56" display="https://xrspace.atlassian.net/issues/?jql=created+%3E%3D+2025-02-01+AND+created+%3C%3D+2026-12-31+AND+type+%3D+Bug+AND+project+%3D+SOVA+AND+Sprint+%3D+2156+AND+status+%3D+%22READY+FOR+TESTING+%2890%25%29%22" xr:uid="{490038C6-81F0-4E6F-82FA-7BEC049DC881}"/>
    <hyperlink ref="B11" r:id="rId57" display="https://xrspace.atlassian.net/issues/?jql=created+%3E%3D+2025-02-01+AND+created+%3C%3D+2026-12-31+AND+type+%3D+Bug+AND+project+%3D+SOVA+AND+Sprint+%3D+2157+AND+status+%3D+%22To+Do+%280%25%29%22" xr:uid="{675020C2-C08B-4982-A660-9A50F8D90B67}"/>
    <hyperlink ref="D11" r:id="rId58" display="https://xrspace.atlassian.net/issues/?jql=created+%3E%3D+2025-02-01+AND+created+%3C%3D+2026-12-31+AND+type+%3D+Bug+AND+project+%3D+SOVA+AND+Sprint+%3D+2157+AND+status+%3D+%22In+Progress+%2850+%7E+70%25%29%22" xr:uid="{67878041-2290-4A42-96A3-948F277A0925}"/>
    <hyperlink ref="G11" r:id="rId59" display="https://xrspace.atlassian.net/issues/?jql=created+%3E%3D+2025-02-01+AND+created+%3C%3D+2026-12-31+AND+type+%3D+Bug+AND+project+%3D+SOVA+AND+Sprint+%3D+2157+AND+status+%3D+%22Done+%28100%25%29%22" xr:uid="{C9FF9018-2F71-451C-AE25-63B0E3ABE2BF}"/>
    <hyperlink ref="E11" r:id="rId60" display="https://xrspace.atlassian.net/issues/?jql=created+%3E%3D+2025-02-01+AND+created+%3C%3D+2026-12-31+AND+type+%3D+Bug+AND+project+%3D+SOVA+AND+Sprint+%3D+2157+AND+status+%3D+%22IN+REVIEW+%2880%25%29%22" xr:uid="{D653A96C-2EE7-4E83-9EC3-07DCE5DCF5C1}"/>
    <hyperlink ref="H11" r:id="rId61" display="https://xrspace.atlassian.net/issues/?jql=created+%3E%3D+2025-02-01+AND+created+%3C%3D+2026-12-31+AND+type+%3D+Bug+AND+project+%3D+SOVA+AND+Sprint+%3D+2157+AND+status+%3D+%22WON%27T+DO+%28100%25%29%22" xr:uid="{86B73676-F611-4840-8EC6-ACE1F7A506C0}"/>
    <hyperlink ref="C11" r:id="rId62" display="https://xrspace.atlassian.net/issues/?jql=created+%3E%3D+2025-02-01+AND+created+%3C%3D+2026-12-31+AND+type+%3D+Bug+AND+project+%3D+SOVA+AND+Sprint+%3D+2157+AND+status+%3D+%22STARTING+%2810+%7E+40%25%29%22" xr:uid="{3810384C-0078-49B5-ABC7-8F2E2F76090C}"/>
    <hyperlink ref="F11" r:id="rId63" display="https://xrspace.atlassian.net/issues/?jql=created+%3E%3D+2025-02-01+AND+created+%3C%3D+2026-12-31+AND+type+%3D+Bug+AND+project+%3D+SOVA+AND+Sprint+%3D+2157+AND+status+%3D+%22READY+FOR+TESTING+%2890%25%29%22" xr:uid="{53968197-3A55-42A4-B942-96DB8D8D4B42}"/>
    <hyperlink ref="B12" r:id="rId64" display="https://xrspace.atlassian.net/issues/?jql=created+%3E%3D+2025-02-01+AND+created+%3C%3D+2026-12-31+AND+type+%3D+Bug+AND+project+%3D+SOVA+AND+Sprint+%3D+2618+AND+status+%3D+%22To+Do+%280%25%29%22" xr:uid="{A92B67E4-F2C6-4FFC-9870-C08A06C4808A}"/>
    <hyperlink ref="D12" r:id="rId65" display="https://xrspace.atlassian.net/issues/?jql=created+%3E%3D+2025-02-01+AND+created+%3C%3D+2026-12-31+AND+type+%3D+Bug+AND+project+%3D+SOVA+AND+Sprint+%3D+2618+AND+status+%3D+%22In+Progress+%2850+%7E+70%25%29%22" xr:uid="{4029CD5A-B6A5-4BE0-B1DC-19C61288FEE3}"/>
    <hyperlink ref="G12" r:id="rId66" display="https://xrspace.atlassian.net/issues/?jql=created+%3E%3D+2025-02-01+AND+created+%3C%3D+2026-12-31+AND+type+%3D+Bug+AND+project+%3D+SOVA+AND+Sprint+%3D+2618+AND+status+%3D+%22Done+%28100%25%29%22" xr:uid="{324378B0-3F46-47A0-B27C-B3137B72415B}"/>
    <hyperlink ref="E12" r:id="rId67" display="https://xrspace.atlassian.net/issues/?jql=created+%3E%3D+2025-02-01+AND+created+%3C%3D+2026-12-31+AND+type+%3D+Bug+AND+project+%3D+SOVA+AND+Sprint+%3D+2618+AND+status+%3D+%22IN+REVIEW+%2880%25%29%22" xr:uid="{D5FDA6B8-1D46-4B01-B4E5-EC39E9035850}"/>
    <hyperlink ref="H12" r:id="rId68" display="https://xrspace.atlassian.net/issues/?jql=created+%3E%3D+2025-02-01+AND+created+%3C%3D+2026-12-31+AND+type+%3D+Bug+AND+project+%3D+SOVA+AND+Sprint+%3D+2618+AND+status+%3D+%22WON%27T+DO+%28100%25%29%22" xr:uid="{4372200D-F98B-488F-AA84-D8837594290E}"/>
    <hyperlink ref="C12" r:id="rId69" display="https://xrspace.atlassian.net/issues/?jql=created+%3E%3D+2025-02-01+AND+created+%3C%3D+2026-12-31+AND+type+%3D+Bug+AND+project+%3D+SOVA+AND+Sprint+%3D+2618+AND+status+%3D+%22STARTING+%2810+%7E+40%25%29%22" xr:uid="{1EBCE976-7D1E-4C84-86B6-6AFEDBFC76DD}"/>
    <hyperlink ref="F12" r:id="rId70" display="https://xrspace.atlassian.net/issues/?jql=created+%3E%3D+2025-02-01+AND+created+%3C%3D+2026-12-31+AND+type+%3D+Bug+AND+project+%3D+SOVA+AND+Sprint+%3D+2618+AND+status+%3D+%22READY+FOR+TESTING+%2890%25%29%22" xr:uid="{3E7C6BEA-A2D4-415A-88AC-A54AAD0F2BD2}"/>
    <hyperlink ref="B13" r:id="rId71" display="https://xrspace.atlassian.net/issues/?jql=created+%3E%3D+2025-02-01+AND+created+%3C%3D+2026-12-31+AND+type+%3D+Bug+AND+project+%3D+SOVA+AND+Sprint+%3D+2619+AND+status+%3D+%22To+Do+%280%25%29%22" xr:uid="{D9B15A27-6974-4F2C-8572-427955E4773B}"/>
    <hyperlink ref="D13" r:id="rId72" display="https://xrspace.atlassian.net/issues/?jql=created+%3E%3D+2025-02-01+AND+created+%3C%3D+2026-12-31+AND+type+%3D+Bug+AND+project+%3D+SOVA+AND+Sprint+%3D+2619+AND+status+%3D+%22In+Progress+%2850+%7E+70%25%29%22" xr:uid="{785876D4-D317-476C-A524-5BEE03467976}"/>
    <hyperlink ref="G13" r:id="rId73" display="https://xrspace.atlassian.net/issues/?jql=created+%3E%3D+2025-02-01+AND+created+%3C%3D+2026-12-31+AND+type+%3D+Bug+AND+project+%3D+SOVA+AND+Sprint+%3D+2619+AND+status+%3D+%22Done+%28100%25%29%22" xr:uid="{3602973B-CFCA-4F06-AEE6-6C9CB66B5D41}"/>
    <hyperlink ref="E13" r:id="rId74" display="https://xrspace.atlassian.net/issues/?jql=created+%3E%3D+2025-02-01+AND+created+%3C%3D+2026-12-31+AND+type+%3D+Bug+AND+project+%3D+SOVA+AND+Sprint+%3D+2619+AND+status+%3D+%22IN+REVIEW+%2880%25%29%22" xr:uid="{B353D0B7-F376-4860-886A-BAD7C0AC7DBF}"/>
    <hyperlink ref="H13" r:id="rId75" display="https://xrspace.atlassian.net/issues/?jql=created+%3E%3D+2025-02-01+AND+created+%3C%3D+2026-12-31+AND+type+%3D+Bug+AND+project+%3D+SOVA+AND+Sprint+%3D+2619+AND+status+%3D+%22WON%27T+DO+%28100%25%29%22" xr:uid="{7A31078F-43FB-4908-9F8E-0E95B463CBC9}"/>
    <hyperlink ref="C13" r:id="rId76" display="https://xrspace.atlassian.net/issues/?jql=created+%3E%3D+2025-02-01+AND+created+%3C%3D+2026-12-31+AND+type+%3D+Bug+AND+project+%3D+SOVA+AND+Sprint+%3D+2619+AND+status+%3D+%22STARTING+%2810+%7E+40%25%29%22" xr:uid="{47D7338D-D8A1-489A-B8BB-2E01EAC730C5}"/>
    <hyperlink ref="F13" r:id="rId77" display="https://xrspace.atlassian.net/issues/?jql=created+%3E%3D+2025-02-01+AND+created+%3C%3D+2026-12-31+AND+type+%3D+Bug+AND+project+%3D+SOVA+AND+Sprint+%3D+2619+AND+status+%3D+%22READY+FOR+TESTING+%2890%25%29%22" xr:uid="{A77DD6C4-9C7D-4B27-B980-940906659B64}"/>
    <hyperlink ref="B14" r:id="rId78" display="https://xrspace.atlassian.net/issues/?jql=created+%3E%3D+2025-02-01+AND+created+%3C%3D+2026-12-31+AND+type+%3D+Bug+AND+project+%3D+SOVA+AND+Sprint+%3D+2882+AND+status+%3D+%22To+Do+%280%25%29%22" xr:uid="{25A41323-A06A-49CD-9088-FB939FFF37C7}"/>
    <hyperlink ref="D14" r:id="rId79" display="https://xrspace.atlassian.net/issues/?jql=created+%3E%3D+2025-02-01+AND+created+%3C%3D+2026-12-31+AND+type+%3D+Bug+AND+project+%3D+SOVA+AND+Sprint+%3D+2882+AND+status+%3D+%22In+Progress+%2850+%7E+70%25%29%22" xr:uid="{92A7FA35-800F-4303-A524-DC4931A5707C}"/>
    <hyperlink ref="G14" r:id="rId80" display="https://xrspace.atlassian.net/issues/?jql=created+%3E%3D+2025-02-01+AND+created+%3C%3D+2026-12-31+AND+type+%3D+Bug+AND+project+%3D+SOVA+AND+Sprint+%3D+2882+AND+status+%3D+%22Done+%28100%25%29%22" xr:uid="{71B1A2C8-8780-448A-92A7-4A80CF20E1E8}"/>
    <hyperlink ref="E14" r:id="rId81" display="https://xrspace.atlassian.net/issues/?jql=created+%3E%3D+2025-02-01+AND+created+%3C%3D+2026-12-31+AND+type+%3D+Bug+AND+project+%3D+SOVA+AND+Sprint+%3D+2882+AND+status+%3D+%22IN+REVIEW+%2880%25%29%22" xr:uid="{E5ADB792-3242-465C-8D85-7A0591BAAD7B}"/>
    <hyperlink ref="H14" r:id="rId82" display="https://xrspace.atlassian.net/issues/?jql=created+%3E%3D+2025-02-01+AND+created+%3C%3D+2026-12-31+AND+type+%3D+Bug+AND+project+%3D+SOVA+AND+Sprint+%3D+2882+AND+status+%3D+%22WON%27T+DO+%28100%25%29%22" xr:uid="{A0D970F1-F15E-41E5-8557-179053945D6C}"/>
    <hyperlink ref="C14" r:id="rId83" display="https://xrspace.atlassian.net/issues/?jql=created+%3E%3D+2025-02-01+AND+created+%3C%3D+2026-12-31+AND+type+%3D+Bug+AND+project+%3D+SOVA+AND+Sprint+%3D+2882+AND+status+%3D+%22STARTING+%2810+%7E+40%25%29%22" xr:uid="{AFBE1924-9C18-49D0-81D7-C0A91E1F4D3A}"/>
    <hyperlink ref="F14" r:id="rId84" display="https://xrspace.atlassian.net/issues/?jql=created+%3E%3D+2025-02-01+AND+created+%3C%3D+2026-12-31+AND+type+%3D+Bug+AND+project+%3D+SOVA+AND+Sprint+%3D+2882+AND+status+%3D+%22READY+FOR+TESTING+%2890%25%29%22" xr:uid="{52121796-C8A3-4A3D-ACFF-D950A7775719}"/>
    <hyperlink ref="B15" r:id="rId85" display="https://xrspace.atlassian.net/issues/?jql=created+%3E%3D+2025-02-01+AND+created+%3C%3D+2026-12-31+AND+type+%3D+Bug+AND+project+%3D+SOVA+AND+Sprint+%3D+3213+AND+status+%3D+%22To+Do+%280%25%29%22" xr:uid="{8874C70F-FFDA-406D-85FA-1F39BBA1D859}"/>
    <hyperlink ref="D15" r:id="rId86" display="https://xrspace.atlassian.net/issues/?jql=created+%3E%3D+2025-02-01+AND+created+%3C%3D+2026-12-31+AND+type+%3D+Bug+AND+project+%3D+SOVA+AND+Sprint+%3D+3213+AND+status+%3D+%22In+Progress+%2850+%7E+70%25%29%22" xr:uid="{AF13EDCD-5C38-4099-81E2-D812237DA7D7}"/>
    <hyperlink ref="G15" r:id="rId87" display="https://xrspace.atlassian.net/issues/?jql=created+%3E%3D+2025-02-01+AND+created+%3C%3D+2026-12-31+AND+type+%3D+Bug+AND+project+%3D+SOVA+AND+Sprint+%3D+3213+AND+status+%3D+%22Done+%28100%25%29%22" xr:uid="{10CEA241-FE66-4A46-944F-CC83B2040106}"/>
    <hyperlink ref="E15" r:id="rId88" display="https://xrspace.atlassian.net/issues/?jql=created+%3E%3D+2025-02-01+AND+created+%3C%3D+2026-12-31+AND+type+%3D+Bug+AND+project+%3D+SOVA+AND+Sprint+%3D+3213+AND+status+%3D+%22IN+REVIEW+%2880%25%29%22" xr:uid="{C1871489-0F59-44C8-99E4-E5624A6301F1}"/>
    <hyperlink ref="H15" r:id="rId89" display="https://xrspace.atlassian.net/issues/?jql=created+%3E%3D+2025-02-01+AND+created+%3C%3D+2026-12-31+AND+type+%3D+Bug+AND+project+%3D+SOVA+AND+Sprint+%3D+3213+AND+status+%3D+%22WON%27T+DO+%28100%25%29%22" xr:uid="{00F88501-E21A-4C6B-BEB3-BD9A9E208C14}"/>
    <hyperlink ref="C15" r:id="rId90" display="https://xrspace.atlassian.net/issues/?jql=created+%3E%3D+2025-02-01+AND+created+%3C%3D+2026-12-31+AND+type+%3D+Bug+AND+project+%3D+SOVA+AND+Sprint+%3D+3213+AND+status+%3D+%22STARTING+%2810+%7E+40%25%29%22" xr:uid="{45869C56-B0DC-42D2-965B-6DC4A42C17DE}"/>
    <hyperlink ref="F15" r:id="rId91" display="https://xrspace.atlassian.net/issues/?jql=created+%3E%3D+2025-02-01+AND+created+%3C%3D+2026-12-31+AND+type+%3D+Bug+AND+project+%3D+SOVA+AND+Sprint+%3D+3213+AND+status+%3D+%22READY+FOR+TESTING+%2890%25%29%22" xr:uid="{F52B478C-CB8B-42D7-BD75-F664CFF4CC39}"/>
    <hyperlink ref="B16" r:id="rId92" display="https://xrspace.atlassian.net/issues/?jql=created+%3E%3D+2025-02-01+AND+created+%3C%3D+2026-12-31+AND+type+%3D+Bug+AND+project+%3D+SOVA+AND+Sprint+%3D+3245+AND+status+%3D+%22To+Do+%280%25%29%22" xr:uid="{DA85980A-BD58-44C4-84E6-3B8C58EB8220}"/>
    <hyperlink ref="D16" r:id="rId93" display="https://xrspace.atlassian.net/issues/?jql=created+%3E%3D+2025-02-01+AND+created+%3C%3D+2026-12-31+AND+type+%3D+Bug+AND+project+%3D+SOVA+AND+Sprint+%3D+3245+AND+status+%3D+%22In+Progress+%2850+%7E+70%25%29%22" xr:uid="{CAF754CD-2398-4DDC-9540-551898340959}"/>
    <hyperlink ref="G16" r:id="rId94" display="https://xrspace.atlassian.net/issues/?jql=created+%3E%3D+2025-02-01+AND+created+%3C%3D+2026-12-31+AND+type+%3D+Bug+AND+project+%3D+SOVA+AND+Sprint+%3D+3245+AND+status+%3D+%22Done+%28100%25%29%22" xr:uid="{13A36FB3-A31E-4CB5-BC0E-8DA3811A3F25}"/>
    <hyperlink ref="E16" r:id="rId95" display="https://xrspace.atlassian.net/issues/?jql=created+%3E%3D+2025-02-01+AND+created+%3C%3D+2026-12-31+AND+type+%3D+Bug+AND+project+%3D+SOVA+AND+Sprint+%3D+3245+AND+status+%3D+%22IN+REVIEW+%2880%25%29%22" xr:uid="{8456322F-624D-4DCA-B30E-3391F342BDFA}"/>
    <hyperlink ref="H16" r:id="rId96" display="https://xrspace.atlassian.net/issues/?jql=created+%3E%3D+2025-02-01+AND+created+%3C%3D+2026-12-31+AND+type+%3D+Bug+AND+project+%3D+SOVA+AND+Sprint+%3D+3245+AND+status+%3D+%22WON%27T+DO+%28100%25%29%22" xr:uid="{07E83961-7899-43C9-9A0E-C07077E3841F}"/>
    <hyperlink ref="C16" r:id="rId97" display="https://xrspace.atlassian.net/issues/?jql=created+%3E%3D+2025-02-01+AND+created+%3C%3D+2026-12-31+AND+type+%3D+Bug+AND+project+%3D+SOVA+AND+Sprint+%3D+3245+AND+status+%3D+%22STARTING+%2810+%7E+40%25%29%22" xr:uid="{8B3AF250-90F2-4F89-9D4A-E2908A266FC7}"/>
    <hyperlink ref="F16" r:id="rId98" display="https://xrspace.atlassian.net/issues/?jql=created+%3E%3D+2025-02-01+AND+created+%3C%3D+2026-12-31+AND+type+%3D+Bug+AND+project+%3D+SOVA+AND+Sprint+%3D+3245+AND+status+%3D+%22READY+FOR+TESTING+%2890%25%29%22" xr:uid="{3288F97A-65EB-4E73-BF3E-5F1B0848661A}"/>
    <hyperlink ref="B17" r:id="rId99" display="https://xrspace.atlassian.net/issues/?jql=created+%3E%3D+2025-02-01+AND+created+%3C%3D+2026-12-31+AND+type+%3D+Bug+AND+project+%3D+SOVA+AND+Sprint+%3D+3246+AND+status+%3D+%22To+Do+%280%25%29%22" xr:uid="{D838ABC2-C56E-4013-9E2D-8B542D31A1E2}"/>
    <hyperlink ref="D17" r:id="rId100" display="https://xrspace.atlassian.net/issues/?jql=created+%3E%3D+2025-02-01+AND+created+%3C%3D+2026-12-31+AND+type+%3D+Bug+AND+project+%3D+SOVA+AND+Sprint+%3D+3246+AND+status+%3D+%22In+Progress+%2850+%7E+70%25%29%22" xr:uid="{03DBE390-77AC-4FBF-92E5-5F8DCF5FC91E}"/>
    <hyperlink ref="G17" r:id="rId101" display="https://xrspace.atlassian.net/issues/?jql=created+%3E%3D+2025-02-01+AND+created+%3C%3D+2026-12-31+AND+type+%3D+Bug+AND+project+%3D+SOVA+AND+Sprint+%3D+3246+AND+status+%3D+%22Done+%28100%25%29%22" xr:uid="{1E41047E-561C-4BC0-9633-74181E0DE5CE}"/>
    <hyperlink ref="E17" r:id="rId102" display="https://xrspace.atlassian.net/issues/?jql=created+%3E%3D+2025-02-01+AND+created+%3C%3D+2026-12-31+AND+type+%3D+Bug+AND+project+%3D+SOVA+AND+Sprint+%3D+3246+AND+status+%3D+%22IN+REVIEW+%2880%25%29%22" xr:uid="{450D8EE6-F7EF-4001-955C-033ACF1B5A07}"/>
    <hyperlink ref="H17" r:id="rId103" display="https://xrspace.atlassian.net/issues/?jql=created+%3E%3D+2025-02-01+AND+created+%3C%3D+2026-12-31+AND+type+%3D+Bug+AND+project+%3D+SOVA+AND+Sprint+%3D+3246+AND+status+%3D+%22WON%27T+DO+%28100%25%29%22" xr:uid="{5AFDAAE9-B537-4E8D-9333-B5DA24533176}"/>
    <hyperlink ref="C17" r:id="rId104" display="https://xrspace.atlassian.net/issues/?jql=created+%3E%3D+2025-02-01+AND+created+%3C%3D+2026-12-31+AND+type+%3D+Bug+AND+project+%3D+SOVA+AND+Sprint+%3D+3246+AND+status+%3D+%22STARTING+%2810+%7E+40%25%29%22" xr:uid="{4B789E57-13C9-4141-B49F-769BE170D372}"/>
    <hyperlink ref="F17" r:id="rId105" display="https://xrspace.atlassian.net/issues/?jql=created+%3E%3D+2025-02-01+AND+created+%3C%3D+2026-12-31+AND+type+%3D+Bug+AND+project+%3D+SOVA+AND+Sprint+%3D+3246+AND+status+%3D+%22READY+FOR+TESTING+%2890%25%29%22" xr:uid="{399ECE78-42DA-4304-BE2B-B560FC73A712}"/>
    <hyperlink ref="B18" r:id="rId106" display="https://xrspace.atlassian.net/issues/?jql=created+%3E%3D+2025-02-01+AND+created+%3C%3D+2026-12-31+AND+type+%3D+Bug+AND+project+%3D+SOVA+AND+Sprint+%3D+3575+AND+status+%3D+%22To+Do+%280%25%29%22" xr:uid="{A2ACD8B5-90FD-4AED-9CE3-75BAE12F299D}"/>
    <hyperlink ref="D18" r:id="rId107" display="https://xrspace.atlassian.net/issues/?jql=created+%3E%3D+2025-02-01+AND+created+%3C%3D+2026-12-31+AND+type+%3D+Bug+AND+project+%3D+SOVA+AND+Sprint+%3D+3575+AND+status+%3D+%22In+Progress+%2850+%7E+70%25%29%22" xr:uid="{647A8500-AA77-4CB4-92F3-FB863127DDA0}"/>
    <hyperlink ref="G18" r:id="rId108" display="https://xrspace.atlassian.net/issues/?jql=created+%3E%3D+2025-02-01+AND+created+%3C%3D+2026-12-31+AND+type+%3D+Bug+AND+project+%3D+SOVA+AND+Sprint+%3D+3575+AND+status+%3D+%22Done+%28100%25%29%22" xr:uid="{77888FCD-6B2E-44B7-B91A-955247D44A58}"/>
    <hyperlink ref="E18" r:id="rId109" display="https://xrspace.atlassian.net/issues/?jql=created+%3E%3D+2025-02-01+AND+created+%3C%3D+2026-12-31+AND+type+%3D+Bug+AND+project+%3D+SOVA+AND+Sprint+%3D+3575+AND+status+%3D+%22IN+REVIEW+%2880%25%29%22" xr:uid="{BFCA9D49-2AC9-481D-8CFE-ADDE7748A8C0}"/>
    <hyperlink ref="H18" r:id="rId110" display="https://xrspace.atlassian.net/issues/?jql=created+%3E%3D+2025-02-01+AND+created+%3C%3D+2026-12-31+AND+type+%3D+Bug+AND+project+%3D+SOVA+AND+Sprint+%3D+3575+AND+status+%3D+%22WON%27T+DO+%28100%25%29%22" xr:uid="{FB647B40-2CDC-4BBA-95B4-AAB9C9E55F99}"/>
    <hyperlink ref="C18" r:id="rId111" display="https://xrspace.atlassian.net/issues/?jql=created+%3E%3D+2025-02-01+AND+created+%3C%3D+2026-12-31+AND+type+%3D+Bug+AND+project+%3D+SOVA+AND+Sprint+%3D+3575+AND+status+%3D+%22STARTING+%2810+%7E+40%25%29%22" xr:uid="{919D8C98-8FF9-4003-BF98-AD7997A1228D}"/>
    <hyperlink ref="F18" r:id="rId112" display="https://xrspace.atlassian.net/issues/?jql=created+%3E%3D+2025-02-01+AND+created+%3C%3D+2026-12-31+AND+type+%3D+Bug+AND+project+%3D+SOVA+AND+Sprint+%3D+3575+AND+status+%3D+%22READY+FOR+TESTING+%2890%25%29%22" xr:uid="{449B6FC6-0658-49B5-A185-A1675AD64AF5}"/>
    <hyperlink ref="B19" r:id="rId113" display="https://xrspace.atlassian.net/issues/?jql=created+%3E%3D+2025-02-01+AND+created+%3C%3D+2026-12-31+AND+type+%3D+Bug+AND+project+%3D+SOVA+AND+Sprint+%3D+3608+AND+status+%3D+%22To+Do+%280%25%29%22" xr:uid="{4C272BB5-6AC5-4FE8-86E5-58EA37D13CCF}"/>
    <hyperlink ref="D19" r:id="rId114" display="https://xrspace.atlassian.net/issues/?jql=created+%3E%3D+2025-02-01+AND+created+%3C%3D+2026-12-31+AND+type+%3D+Bug+AND+project+%3D+SOVA+AND+Sprint+%3D+3608+AND+status+%3D+%22In+Progress+%2850+%7E+70%25%29%22" xr:uid="{22531DDA-67C2-4765-A819-31C7B67A1DF6}"/>
    <hyperlink ref="G19" r:id="rId115" display="https://xrspace.atlassian.net/issues/?jql=created+%3E%3D+2025-02-01+AND+created+%3C%3D+2026-12-31+AND+type+%3D+Bug+AND+project+%3D+SOVA+AND+Sprint+%3D+3608+AND+status+%3D+%22Done+%28100%25%29%22" xr:uid="{2497DADD-75D5-42DB-8C72-8CF3CF844851}"/>
    <hyperlink ref="E19" r:id="rId116" display="https://xrspace.atlassian.net/issues/?jql=created+%3E%3D+2025-02-01+AND+created+%3C%3D+2026-12-31+AND+type+%3D+Bug+AND+project+%3D+SOVA+AND+Sprint+%3D+3608+AND+status+%3D+%22IN+REVIEW+%2880%25%29%22" xr:uid="{5FB9A640-4DFC-4FDD-85DC-09151DB02B4D}"/>
    <hyperlink ref="H19" r:id="rId117" display="https://xrspace.atlassian.net/issues/?jql=created+%3E%3D+2025-02-01+AND+created+%3C%3D+2026-12-31+AND+type+%3D+Bug+AND+project+%3D+SOVA+AND+Sprint+%3D+3608+AND+status+%3D+%22WON%27T+DO+%28100%25%29%22" xr:uid="{63368EE1-6BEC-4FBF-ADAC-3D326E7CA17E}"/>
    <hyperlink ref="C19" r:id="rId118" display="https://xrspace.atlassian.net/issues/?jql=created+%3E%3D+2025-02-01+AND+created+%3C%3D+2026-12-31+AND+type+%3D+Bug+AND+project+%3D+SOVA+AND+Sprint+%3D+3608+AND+status+%3D+%22STARTING+%2810+%7E+40%25%29%22" xr:uid="{47C68A67-D6A8-495A-A548-BF99C850C6FA}"/>
    <hyperlink ref="F19" r:id="rId119" display="https://xrspace.atlassian.net/issues/?jql=created+%3E%3D+2025-02-01+AND+created+%3C%3D+2026-12-31+AND+type+%3D+Bug+AND+project+%3D+SOVA+AND+Sprint+%3D+3608+AND+status+%3D+%22READY+FOR+TESTING+%2890%25%29%22" xr:uid="{6A216526-E2C6-4869-9FE9-33BC8EF5184B}"/>
    <hyperlink ref="B20" r:id="rId120" display="https://xrspace.atlassian.net/issues/?jql=created+%3E%3D+2025-02-01+AND+created+%3C%3D+2026-12-31+AND+type+%3D+Bug+AND+project+%3D+SOVA+AND+Sprint+%3D+3872+AND+status+%3D+%22To+Do+%280%25%29%22" xr:uid="{92330007-8CAE-4234-BEB0-B9D7AE668D2F}"/>
    <hyperlink ref="D20" r:id="rId121" display="https://xrspace.atlassian.net/issues/?jql=created+%3E%3D+2025-02-01+AND+created+%3C%3D+2026-12-31+AND+type+%3D+Bug+AND+project+%3D+SOVA+AND+Sprint+%3D+3872+AND+status+%3D+%22In+Progress+%2850+%7E+70%25%29%22" xr:uid="{22F43A73-8E67-4B08-8B08-12D4D6996980}"/>
    <hyperlink ref="G20" r:id="rId122" display="https://xrspace.atlassian.net/issues/?jql=created+%3E%3D+2025-02-01+AND+created+%3C%3D+2026-12-31+AND+type+%3D+Bug+AND+project+%3D+SOVA+AND+Sprint+%3D+3872+AND+status+%3D+%22Done+%28100%25%29%22" xr:uid="{8B958C38-7577-4676-B8C6-A2625080D51C}"/>
    <hyperlink ref="E20" r:id="rId123" display="https://xrspace.atlassian.net/issues/?jql=created+%3E%3D+2025-02-01+AND+created+%3C%3D+2026-12-31+AND+type+%3D+Bug+AND+project+%3D+SOVA+AND+Sprint+%3D+3872+AND+status+%3D+%22IN+REVIEW+%2880%25%29%22" xr:uid="{7FA6885E-1FE7-4B70-A250-8208007ADCFB}"/>
    <hyperlink ref="H20" r:id="rId124" display="https://xrspace.atlassian.net/issues/?jql=created+%3E%3D+2025-02-01+AND+created+%3C%3D+2026-12-31+AND+type+%3D+Bug+AND+project+%3D+SOVA+AND+Sprint+%3D+3872+AND+status+%3D+%22WON%27T+DO+%28100%25%29%22" xr:uid="{38667F45-4794-49AF-B784-0C12F415BB97}"/>
    <hyperlink ref="C20" r:id="rId125" display="https://xrspace.atlassian.net/issues/?jql=created+%3E%3D+2025-02-01+AND+created+%3C%3D+2026-12-31+AND+type+%3D+Bug+AND+project+%3D+SOVA+AND+Sprint+%3D+3872+AND+status+%3D+%22STARTING+%2810+%7E+40%25%29%22" xr:uid="{0500A28A-48C0-4540-B0D3-6DACF41DD6DE}"/>
    <hyperlink ref="F20" r:id="rId126" display="https://xrspace.atlassian.net/issues/?jql=created+%3E%3D+2025-02-01+AND+created+%3C%3D+2026-12-31+AND+type+%3D+Bug+AND+project+%3D+SOVA+AND+Sprint+%3D+3872+AND+status+%3D+%22READY+FOR+TESTING+%2890%25%29%22" xr:uid="{72D89F77-4BE1-426D-8FA1-5C075BEE7A82}"/>
    <hyperlink ref="B21" r:id="rId127" display="https://xrspace.atlassian.net/issues/?jql=created+%3E%3D+2025-02-01+AND+created+%3C%3D+2026-12-31+AND+type+%3D+Bug+AND+project+%3D+SOVA+AND+Sprint+%3D+3873+AND+status+%3D+%22To+Do+%280%25%29%22" xr:uid="{0269B2C6-66C2-4074-875D-2005D866A81D}"/>
    <hyperlink ref="D21" r:id="rId128" display="https://xrspace.atlassian.net/issues/?jql=created+%3E%3D+2025-02-01+AND+created+%3C%3D+2026-12-31+AND+type+%3D+Bug+AND+project+%3D+SOVA+AND+Sprint+%3D+3873+AND+status+%3D+%22In+Progress+%2850+%7E+70%25%29%22" xr:uid="{EEC11E7A-3EB5-4763-A7AB-44C0EB36EB63}"/>
    <hyperlink ref="G21" r:id="rId129" display="https://xrspace.atlassian.net/issues/?jql=created+%3E%3D+2025-02-01+AND+created+%3C%3D+2026-12-31+AND+type+%3D+Bug+AND+project+%3D+SOVA+AND+Sprint+%3D+3873+AND+status+%3D+%22Done+%28100%25%29%22" xr:uid="{49CCD3DD-6B84-42FA-BEDC-7460D4C65269}"/>
    <hyperlink ref="E21" r:id="rId130" display="https://xrspace.atlassian.net/issues/?jql=created+%3E%3D+2025-02-01+AND+created+%3C%3D+2026-12-31+AND+type+%3D+Bug+AND+project+%3D+SOVA+AND+Sprint+%3D+3873+AND+status+%3D+%22IN+REVIEW+%2880%25%29%22" xr:uid="{DE993A93-5F3B-4E4F-9F3D-95F97A000D0A}"/>
    <hyperlink ref="H21" r:id="rId131" display="https://xrspace.atlassian.net/issues/?jql=created+%3E%3D+2025-02-01+AND+created+%3C%3D+2026-12-31+AND+type+%3D+Bug+AND+project+%3D+SOVA+AND+Sprint+%3D+3873+AND+status+%3D+%22WON%27T+DO+%28100%25%29%22" xr:uid="{675DF57A-EF26-4A4E-86D4-1DCE6D36BAD2}"/>
    <hyperlink ref="C21" r:id="rId132" display="https://xrspace.atlassian.net/issues/?jql=created+%3E%3D+2025-02-01+AND+created+%3C%3D+2026-12-31+AND+type+%3D+Bug+AND+project+%3D+SOVA+AND+Sprint+%3D+3873+AND+status+%3D+%22STARTING+%2810+%7E+40%25%29%22" xr:uid="{37A75EE2-50CD-48F0-A387-961F39BCC433}"/>
    <hyperlink ref="F21" r:id="rId133" display="https://xrspace.atlassian.net/issues/?jql=created+%3E%3D+2025-02-01+AND+created+%3C%3D+2026-12-31+AND+type+%3D+Bug+AND+project+%3D+SOVA+AND+Sprint+%3D+3873+AND+status+%3D+%22READY+FOR+TESTING+%2890%25%29%22" xr:uid="{F3A64403-D8CC-4F2A-8523-049C8172DECA}"/>
    <hyperlink ref="B22" r:id="rId134" display="https://xrspace.atlassian.net/issues/?jql=created+%3E%3D+2025-02-01+AND+created+%3C%3D+2026-12-31+AND+type+%3D+Bug+AND+project+%3D+SOVA+AND+Sprint+%3D+4140+AND+status+%3D+%22To+Do+%280%25%29%22" xr:uid="{449F2CBA-8D3C-4109-B3AD-E6149FF12E09}"/>
    <hyperlink ref="D22" r:id="rId135" display="https://xrspace.atlassian.net/issues/?jql=created+%3E%3D+2025-02-01+AND+created+%3C%3D+2026-12-31+AND+type+%3D+Bug+AND+project+%3D+SOVA+AND+Sprint+%3D+4140+AND+status+%3D+%22In+Progress+%2850+%7E+70%25%29%22" xr:uid="{C653EC58-E1B1-4F3B-85F5-5EE9CFAD1A98}"/>
    <hyperlink ref="G22" r:id="rId136" display="https://xrspace.atlassian.net/issues/?jql=created+%3E%3D+2025-02-01+AND+created+%3C%3D+2026-12-31+AND+type+%3D+Bug+AND+project+%3D+SOVA+AND+Sprint+%3D+4140+AND+status+%3D+%22Done+%28100%25%29%22" xr:uid="{76CD9903-9A1F-4493-AB25-BA382A5435EA}"/>
    <hyperlink ref="E22" r:id="rId137" display="https://xrspace.atlassian.net/issues/?jql=created+%3E%3D+2025-02-01+AND+created+%3C%3D+2026-12-31+AND+type+%3D+Bug+AND+project+%3D+SOVA+AND+Sprint+%3D+4140+AND+status+%3D+%22IN+REVIEW+%2880%25%29%22" xr:uid="{0C61C030-9A80-41C8-BD03-CFC9B7CC2C8C}"/>
    <hyperlink ref="H22" r:id="rId138" display="https://xrspace.atlassian.net/issues/?jql=created+%3E%3D+2025-02-01+AND+created+%3C%3D+2026-12-31+AND+type+%3D+Bug+AND+project+%3D+SOVA+AND+Sprint+%3D+4140+AND+status+%3D+%22WON%27T+DO+%28100%25%29%22" xr:uid="{CE5C244E-9587-4122-A68D-E3BA007220A9}"/>
    <hyperlink ref="C22" r:id="rId139" display="https://xrspace.atlassian.net/issues/?jql=created+%3E%3D+2025-02-01+AND+created+%3C%3D+2026-12-31+AND+type+%3D+Bug+AND+project+%3D+SOVA+AND+Sprint+%3D+4140+AND+status+%3D+%22STARTING+%2810+%7E+40%25%29%22" xr:uid="{38910423-F523-4910-B2E5-972694C2F2DE}"/>
    <hyperlink ref="F22" r:id="rId140" display="https://xrspace.atlassian.net/issues/?jql=created+%3E%3D+2025-02-01+AND+created+%3C%3D+2026-12-31+AND+type+%3D+Bug+AND+project+%3D+SOVA+AND+Sprint+%3D+4140+AND+status+%3D+%22READY+FOR+TESTING+%2890%25%29%22" xr:uid="{44CEA4AB-0D90-402A-860A-F6242462D8B3}"/>
    <hyperlink ref="B23" r:id="rId141" display="https://xrspace.atlassian.net/issues/?jql=created+%3E%3D+2025-02-01+AND+created+%3C%3D+2026-12-31+AND+type+%3D+Bug+AND+project+%3D+SOVA+AND+Sprint+%3D+4206+AND+status+%3D+%22To+Do+%280%25%29%22" xr:uid="{D9E36D0E-12F0-427B-9619-22D5A9E071A2}"/>
    <hyperlink ref="D23" r:id="rId142" display="https://xrspace.atlassian.net/issues/?jql=created+%3E%3D+2025-02-01+AND+created+%3C%3D+2026-12-31+AND+type+%3D+Bug+AND+project+%3D+SOVA+AND+Sprint+%3D+4206+AND+status+%3D+%22In+Progress+%2850+%7E+70%25%29%22" xr:uid="{3BCF5C34-F4F4-4A5E-9005-FEB824D7DC5D}"/>
    <hyperlink ref="G23" r:id="rId143" display="https://xrspace.atlassian.net/issues/?jql=created+%3E%3D+2025-02-01+AND+created+%3C%3D+2026-12-31+AND+type+%3D+Bug+AND+project+%3D+SOVA+AND+Sprint+%3D+4206+AND+status+%3D+%22Done+%28100%25%29%22" xr:uid="{F1B6C8E3-ED6E-4EA0-BFE2-C5A17E3BEE3A}"/>
    <hyperlink ref="E23" r:id="rId144" display="https://xrspace.atlassian.net/issues/?jql=created+%3E%3D+2025-02-01+AND+created+%3C%3D+2026-12-31+AND+type+%3D+Bug+AND+project+%3D+SOVA+AND+Sprint+%3D+4206+AND+status+%3D+%22IN+REVIEW+%2880%25%29%22" xr:uid="{B486DFF8-8E55-4935-ABB5-A1395E0F0A26}"/>
    <hyperlink ref="H23" r:id="rId145" display="https://xrspace.atlassian.net/issues/?jql=created+%3E%3D+2025-02-01+AND+created+%3C%3D+2026-12-31+AND+type+%3D+Bug+AND+project+%3D+SOVA+AND+Sprint+%3D+4206+AND+status+%3D+%22WON%27T+DO+%28100%25%29%22" xr:uid="{18578100-7E8C-495E-8E14-401C07B401E4}"/>
    <hyperlink ref="C23" r:id="rId146" display="https://xrspace.atlassian.net/issues/?jql=created+%3E%3D+2025-02-01+AND+created+%3C%3D+2026-12-31+AND+type+%3D+Bug+AND+project+%3D+SOVA+AND+Sprint+%3D+4206+AND+status+%3D+%22STARTING+%2810+%7E+40%25%29%22" xr:uid="{FEE12BE8-C3E4-4720-85AE-0E85EC71948D}"/>
    <hyperlink ref="F23" r:id="rId147" display="https://xrspace.atlassian.net/issues/?jql=created+%3E%3D+2025-02-01+AND+created+%3C%3D+2026-12-31+AND+type+%3D+Bug+AND+project+%3D+SOVA+AND+Sprint+%3D+4206+AND+status+%3D+%22READY+FOR+TESTING+%2890%25%29%22" xr:uid="{B925EDEA-85AD-49A2-8A44-9623F9FA4AEF}"/>
    <hyperlink ref="B24" r:id="rId148" display="https://xrspace.atlassian.net/issues/?jql=created+%3E%3D+2025-02-01+AND+created+%3C%3D+2026-12-31+AND+type+%3D+Bug+AND+project+%3D+SOVA+AND+Sprint+%3D+4477+AND+status+%3D+%22To+Do+%280%25%29%22" xr:uid="{799DA4FD-5509-4CDA-B255-A3054CA6B825}"/>
    <hyperlink ref="D24" r:id="rId149" display="https://xrspace.atlassian.net/issues/?jql=created+%3E%3D+2025-02-01+AND+created+%3C%3D+2026-12-31+AND+type+%3D+Bug+AND+project+%3D+SOVA+AND+Sprint+%3D+4477+AND+status+%3D+%22In+Progress+%2850+%7E+70%25%29%22" xr:uid="{537AD443-9E12-4DAD-89B6-BCCDCB8B9CD3}"/>
    <hyperlink ref="G24" r:id="rId150" display="https://xrspace.atlassian.net/issues/?jql=created+%3E%3D+2025-02-01+AND+created+%3C%3D+2026-12-31+AND+type+%3D+Bug+AND+project+%3D+SOVA+AND+Sprint+%3D+4477+AND+status+%3D+%22Done+%28100%25%29%22" xr:uid="{A0A0FC92-9309-42B3-9669-842F0F7B0801}"/>
    <hyperlink ref="E24" r:id="rId151" display="https://xrspace.atlassian.net/issues/?jql=created+%3E%3D+2025-02-01+AND+created+%3C%3D+2026-12-31+AND+type+%3D+Bug+AND+project+%3D+SOVA+AND+Sprint+%3D+4477+AND+status+%3D+%22IN+REVIEW+%2880%25%29%22" xr:uid="{36E5721F-3591-4B86-9A0D-19945FBE66F3}"/>
    <hyperlink ref="H24" r:id="rId152" display="https://xrspace.atlassian.net/issues/?jql=created+%3E%3D+2025-02-01+AND+created+%3C%3D+2026-12-31+AND+type+%3D+Bug+AND+project+%3D+SOVA+AND+Sprint+%3D+4477+AND+status+%3D+%22WON%27T+DO+%28100%25%29%22" xr:uid="{31C7F638-061A-479F-BFD2-CD533789494B}"/>
    <hyperlink ref="C24" r:id="rId153" display="https://xrspace.atlassian.net/issues/?jql=created+%3E%3D+2025-02-01+AND+created+%3C%3D+2026-12-31+AND+type+%3D+Bug+AND+project+%3D+SOVA+AND+Sprint+%3D+4477+AND+status+%3D+%22STARTING+%2810+%7E+40%25%29%22" xr:uid="{0424C1CC-5AF1-40E4-BA4D-26B515315108}"/>
    <hyperlink ref="F24" r:id="rId154" display="https://xrspace.atlassian.net/issues/?jql=created+%3E%3D+2025-02-01+AND+created+%3C%3D+2026-12-31+AND+type+%3D+Bug+AND+project+%3D+SOVA+AND+Sprint+%3D+4477+AND+status+%3D+%22READY+FOR+TESTING+%2890%25%29%22" xr:uid="{962432B4-CDA8-488A-AEDE-4FAFEF63D18E}"/>
    <hyperlink ref="B25" r:id="rId155" display="https://xrspace.atlassian.net/issues/?jql=created+%3E%3D+2025-02-01+AND+created+%3C%3D+2026-12-31+AND+type+%3D+Bug+AND+project+%3D+SOVA+AND+Sprint+%3D+4478+AND+status+%3D+%22To+Do+%280%25%29%22" xr:uid="{05D3741C-F215-4356-BD64-129158A3D78A}"/>
    <hyperlink ref="D25" r:id="rId156" display="https://xrspace.atlassian.net/issues/?jql=created+%3E%3D+2025-02-01+AND+created+%3C%3D+2026-12-31+AND+type+%3D+Bug+AND+project+%3D+SOVA+AND+Sprint+%3D+4478+AND+status+%3D+%22In+Progress+%2850+%7E+70%25%29%22" xr:uid="{C9F7E68D-D895-4A05-B38D-BA06CC79291C}"/>
    <hyperlink ref="G25" r:id="rId157" display="https://xrspace.atlassian.net/issues/?jql=created+%3E%3D+2025-02-01+AND+created+%3C%3D+2026-12-31+AND+type+%3D+Bug+AND+project+%3D+SOVA+AND+Sprint+%3D+4478+AND+status+%3D+%22Done+%28100%25%29%22" xr:uid="{0FEB5D7A-305C-47F5-A559-FF8F039EB08F}"/>
    <hyperlink ref="E25" r:id="rId158" display="https://xrspace.atlassian.net/issues/?jql=created+%3E%3D+2025-02-01+AND+created+%3C%3D+2026-12-31+AND+type+%3D+Bug+AND+project+%3D+SOVA+AND+Sprint+%3D+4478+AND+status+%3D+%22IN+REVIEW+%2880%25%29%22" xr:uid="{C3876FAE-A9F6-4ED1-BB95-D7902D3F2DD9}"/>
    <hyperlink ref="H25" r:id="rId159" display="https://xrspace.atlassian.net/issues/?jql=created+%3E%3D+2025-02-01+AND+created+%3C%3D+2026-12-31+AND+type+%3D+Bug+AND+project+%3D+SOVA+AND+Sprint+%3D+4478+AND+status+%3D+%22WON%27T+DO+%28100%25%29%22" xr:uid="{44C895FA-7F66-4252-8651-46DF026C824B}"/>
    <hyperlink ref="C25" r:id="rId160" display="https://xrspace.atlassian.net/issues/?jql=created+%3E%3D+2025-02-01+AND+created+%3C%3D+2026-12-31+AND+type+%3D+Bug+AND+project+%3D+SOVA+AND+Sprint+%3D+4478+AND+status+%3D+%22STARTING+%2810+%7E+40%25%29%22" xr:uid="{2ECB04A3-D900-4727-87E0-D21ECE2FA518}"/>
    <hyperlink ref="F25" r:id="rId161" display="https://xrspace.atlassian.net/issues/?jql=created+%3E%3D+2025-02-01+AND+created+%3C%3D+2026-12-31+AND+type+%3D+Bug+AND+project+%3D+SOVA+AND+Sprint+%3D+4478+AND+status+%3D+%22READY+FOR+TESTING+%2890%25%29%22" xr:uid="{7D22889B-9F29-4E4A-90D1-D4E4DC28B280}"/>
    <hyperlink ref="B26" r:id="rId162" display="https://xrspace.atlassian.net/issues/?jql=created+%3E%3D+2025-02-01+AND+created+%3C%3D+2026-12-31+AND+type+%3D+Bug+AND+project+%3D+SOVA+AND+Sprint+%3D+4677+AND+status+%3D+%22To+Do+%280%25%29%22" xr:uid="{B694114F-2C7E-46E5-8CD9-D57A4AA6397E}"/>
    <hyperlink ref="D26" r:id="rId163" display="https://xrspace.atlassian.net/issues/?jql=created+%3E%3D+2025-02-01+AND+created+%3C%3D+2026-12-31+AND+type+%3D+Bug+AND+project+%3D+SOVA+AND+Sprint+%3D+4677+AND+status+%3D+%22In+Progress+%2850+%7E+70%25%29%22" xr:uid="{F3C66B88-FDC7-49B0-8F94-B36460491E4B}"/>
    <hyperlink ref="G26" r:id="rId164" display="https://xrspace.atlassian.net/issues/?jql=created+%3E%3D+2025-02-01+AND+created+%3C%3D+2026-12-31+AND+type+%3D+Bug+AND+project+%3D+SOVA+AND+Sprint+%3D+4677+AND+status+%3D+%22Done+%28100%25%29%22" xr:uid="{72A297A5-F250-4B2B-A0EB-B232BAE36497}"/>
    <hyperlink ref="E26" r:id="rId165" display="https://xrspace.atlassian.net/issues/?jql=created+%3E%3D+2025-02-01+AND+created+%3C%3D+2026-12-31+AND+type+%3D+Bug+AND+project+%3D+SOVA+AND+Sprint+%3D+4677+AND+status+%3D+%22IN+REVIEW+%2880%25%29%22" xr:uid="{E87E6033-795A-440C-A486-3124B455E7DA}"/>
    <hyperlink ref="H26" r:id="rId166" display="https://xrspace.atlassian.net/issues/?jql=created+%3E%3D+2025-02-01+AND+created+%3C%3D+2026-12-31+AND+type+%3D+Bug+AND+project+%3D+SOVA+AND+Sprint+%3D+4677+AND+status+%3D+%22WON%27T+DO+%28100%25%29%22" xr:uid="{C688DC34-FE05-40DE-AC1F-A83F8F0AA129}"/>
    <hyperlink ref="C26" r:id="rId167" display="https://xrspace.atlassian.net/issues/?jql=created+%3E%3D+2025-02-01+AND+created+%3C%3D+2026-12-31+AND+type+%3D+Bug+AND+project+%3D+SOVA+AND+Sprint+%3D+4677+AND+status+%3D+%22STARTING+%2810+%7E+40%25%29%22" xr:uid="{CE07735F-A421-4F75-804F-E000A46AD850}"/>
    <hyperlink ref="F26" r:id="rId168" display="https://xrspace.atlassian.net/issues/?jql=created+%3E%3D+2025-02-01+AND+created+%3C%3D+2026-12-31+AND+type+%3D+Bug+AND+project+%3D+SOVA+AND+Sprint+%3D+4677+AND+status+%3D+%22READY+FOR+TESTING+%2890%25%29%22" xr:uid="{090CF1EB-DD13-407B-A285-6CB3A265D350}"/>
    <hyperlink ref="B27" r:id="rId169" display="https://xrspace.atlassian.net/issues/?jql=created+%3E%3D+2025-02-01+AND+created+%3C%3D+2026-12-31+AND+type+%3D+Bug+AND+project+%3D+SOVA+AND+Sprint+%3D+4678+AND+status+%3D+%22To+Do+%280%25%29%22" xr:uid="{324A5E34-4981-47FE-BBEC-1E5C8D03B3DD}"/>
    <hyperlink ref="D27" r:id="rId170" display="https://xrspace.atlassian.net/issues/?jql=created+%3E%3D+2025-02-01+AND+created+%3C%3D+2026-12-31+AND+type+%3D+Bug+AND+project+%3D+SOVA+AND+Sprint+%3D+4678+AND+status+%3D+%22In+Progress+%2850+%7E+70%25%29%22" xr:uid="{1C55C88F-AE7A-41A0-9539-83DC747C8EBC}"/>
    <hyperlink ref="G27" r:id="rId171" display="https://xrspace.atlassian.net/issues/?jql=created+%3E%3D+2025-02-01+AND+created+%3C%3D+2026-12-31+AND+type+%3D+Bug+AND+project+%3D+SOVA+AND+Sprint+%3D+4678+AND+status+%3D+%22Done+%28100%25%29%22" xr:uid="{F6947834-2771-46B1-8D00-CD01A82ECF68}"/>
    <hyperlink ref="E27" r:id="rId172" display="https://xrspace.atlassian.net/issues/?jql=created+%3E%3D+2025-02-01+AND+created+%3C%3D+2026-12-31+AND+type+%3D+Bug+AND+project+%3D+SOVA+AND+Sprint+%3D+4678+AND+status+%3D+%22IN+REVIEW+%2880%25%29%22" xr:uid="{9D90988C-F7CA-488A-9BA8-83F12BBA39BA}"/>
    <hyperlink ref="H27" r:id="rId173" display="https://xrspace.atlassian.net/issues/?jql=created+%3E%3D+2025-02-01+AND+created+%3C%3D+2026-12-31+AND+type+%3D+Bug+AND+project+%3D+SOVA+AND+Sprint+%3D+4678+AND+status+%3D+%22WON%27T+DO+%28100%25%29%22" xr:uid="{7615CC70-7DB9-4F36-A937-ABC79AA278D6}"/>
    <hyperlink ref="C27" r:id="rId174" display="https://xrspace.atlassian.net/issues/?jql=created+%3E%3D+2025-02-01+AND+created+%3C%3D+2026-12-31+AND+type+%3D+Bug+AND+project+%3D+SOVA+AND+Sprint+%3D+4678+AND+status+%3D+%22STARTING+%2810+%7E+40%25%29%22" xr:uid="{C11492C8-A72D-4649-8832-D77FA35BB1DE}"/>
    <hyperlink ref="F27" r:id="rId175" display="https://xrspace.atlassian.net/issues/?jql=created+%3E%3D+2025-02-01+AND+created+%3C%3D+2026-12-31+AND+type+%3D+Bug+AND+project+%3D+SOVA+AND+Sprint+%3D+4678+AND+status+%3D+%22READY+FOR+TESTING+%2890%25%29%22" xr:uid="{1D3C3730-1076-44A1-BF8D-D6731EE8B616}"/>
    <hyperlink ref="B3" r:id="rId176" display="https://xrspace.atlassian.net/issues/?jql=created+%3E%3D+2025-02-01+AND+created+%3C%3D+2026-12-31+AND+type+%3D+Bug+AND+project+%3D+SOVA+AND+Sprint+%3D+2915+AND+status+%3D+%22To+Do+%280%25%29%22" xr:uid="{43CA0065-CDF8-4DE1-834B-AB67EFF747AF}"/>
    <hyperlink ref="D3" r:id="rId177" display="https://xrspace.atlassian.net/issues/?jql=created+%3E%3D+2025-02-01+AND+created+%3C%3D+2026-12-31+AND+type+%3D+Bug+AND+project+%3D+SOVA+AND+Sprint+%3D+2915+AND+status+%3D+%22In+Progress+%2850+%7E+70%25%29%22" xr:uid="{903D6AC1-B35B-4552-8B68-C2B6460A990F}"/>
    <hyperlink ref="G3" r:id="rId178" display="https://xrspace.atlassian.net/issues/?jql=created+%3E%3D+2025-02-01+AND+created+%3C%3D+2026-12-31+AND+type+%3D+Bug+AND+project+%3D+SOVA+AND+Sprint+%3D+2915+AND+status+%3D+%22Done+%28100%25%29%22" xr:uid="{DE78402D-C3B6-4405-8D3A-30FAA26B26F5}"/>
    <hyperlink ref="E3" r:id="rId179" display="https://xrspace.atlassian.net/issues/?jql=created+%3E%3D+2025-02-01+AND+created+%3C%3D+2026-12-31+AND+type+%3D+Bug+AND+project+%3D+SOVA+AND+Sprint+%3D+2915+AND+status+%3D+%22IN+REVIEW+%2880%25%29%22" xr:uid="{4231F488-3FDC-4698-A02B-8E9A8AD51487}"/>
    <hyperlink ref="H3" r:id="rId180" display="https://xrspace.atlassian.net/issues/?jql=created+%3E%3D+2025-02-01+AND+created+%3C%3D+2026-12-31+AND+type+%3D+Bug+AND+project+%3D+SOVA+AND+Sprint+%3D+2915+AND+status+%3D+%22WON%27T+DO+%28100%25%29%22" xr:uid="{D4DB261E-BE13-4220-903B-19CCC0938025}"/>
    <hyperlink ref="C3" r:id="rId181" display="https://xrspace.atlassian.net/issues/?jql=created+%3E%3D+2025-02-01+AND+created+%3C%3D+2026-12-31+AND+type+%3D+Bug+AND+project+%3D+SOVA+AND+Sprint+%3D+2915+AND+status+%3D+%22STARTING+%2810+%7E+40%25%29%22" xr:uid="{C4E25A95-8FBD-466E-8526-C265BF58C17B}"/>
    <hyperlink ref="F3" r:id="rId182" display="https://xrspace.atlassian.net/issues/?jql=created+%3E%3D+2025-02-01+AND+created+%3C%3D+2026-12-31+AND+type+%3D+Bug+AND+project+%3D+SOVA+AND+Sprint+%3D+2915+AND+status+%3D+%22READY+FOR+TESTING+%2890%25%29%22" xr:uid="{59913636-87BD-479D-8AC9-D6CC69BD6588}"/>
  </hyperlinks>
  <pageMargins left="0.7" right="0.7" top="0.75" bottom="0.75" header="0.3" footer="0.3"/>
  <pageSetup orientation="portrait" r:id="rId183"/>
  <drawing r:id="rId184"/>
  <tableParts count="1">
    <tablePart r:id="rId18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20"/>
  <sheetViews>
    <sheetView tabSelected="1" workbookViewId="0">
      <selection activeCell="G23" sqref="G23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43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64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65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66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67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68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69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70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71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72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73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74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75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63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76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93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94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95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102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103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2026-02-12T20:23:00Z</dcterms:modified>
</cp:coreProperties>
</file>