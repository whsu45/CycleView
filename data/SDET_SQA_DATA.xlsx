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HSU\Desktop\Workspace\CycleView\data\"/>
    </mc:Choice>
  </mc:AlternateContent>
  <xr:revisionPtr revIDLastSave="0" documentId="13_ncr:1_{49A4207E-905F-4F73-B52D-486CEBBC73FE}" xr6:coauthVersionLast="47" xr6:coauthVersionMax="47" xr10:uidLastSave="{00000000-0000-0000-0000-000000000000}"/>
  <bookViews>
    <workbookView xWindow="-120" yWindow="-120" windowWidth="29040" windowHeight="15720" activeTab="5" xr2:uid="{EB11FF79-EF06-B64E-AA6A-0CFF391A8BD1}"/>
  </bookViews>
  <sheets>
    <sheet name="TestAutomationProgress" sheetId="1" r:id="rId1"/>
    <sheet name="Humi-TestResult" sheetId="4" r:id="rId2"/>
    <sheet name="SOVA-TestResult" sheetId="2" r:id="rId3"/>
    <sheet name="Humi-BugTrend" sheetId="3" r:id="rId4"/>
    <sheet name="SOVA-BugTrend" sheetId="5" r:id="rId5"/>
    <sheet name="SOVA-UIAutomation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9" i="5" l="1"/>
  <c r="H23" i="2"/>
  <c r="E18" i="1"/>
  <c r="E10" i="6"/>
  <c r="E19" i="1"/>
  <c r="E17" i="1"/>
  <c r="H13" i="4"/>
  <c r="H24" i="2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20" i="5"/>
  <c r="E9" i="6"/>
  <c r="H14" i="4"/>
  <c r="H22" i="2"/>
  <c r="H21" i="2"/>
  <c r="E8" i="6"/>
  <c r="H19" i="2"/>
  <c r="E6" i="6"/>
  <c r="E15" i="1"/>
  <c r="E5" i="6"/>
  <c r="E16" i="1"/>
  <c r="H18" i="2"/>
  <c r="E7" i="6"/>
  <c r="H21" i="3"/>
  <c r="E14" i="1"/>
  <c r="H20" i="2"/>
  <c r="E13" i="1"/>
  <c r="E12" i="1"/>
  <c r="E3" i="6"/>
  <c r="E2" i="6"/>
  <c r="E4" i="6"/>
  <c r="H16" i="2"/>
  <c r="H20" i="3"/>
  <c r="E2" i="1"/>
  <c r="E3" i="1"/>
  <c r="E4" i="1"/>
  <c r="E5" i="1"/>
  <c r="E6" i="1"/>
  <c r="E7" i="1"/>
  <c r="E8" i="1"/>
  <c r="E9" i="1"/>
  <c r="E10" i="1"/>
  <c r="E11" i="1"/>
  <c r="H10" i="4"/>
  <c r="H19" i="3"/>
  <c r="H14" i="2"/>
  <c r="H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6" i="2"/>
  <c r="H2" i="2"/>
  <c r="H4" i="2"/>
  <c r="H8" i="2"/>
  <c r="H10" i="2"/>
  <c r="H12" i="2"/>
  <c r="H9" i="4"/>
  <c r="H3" i="4"/>
  <c r="H4" i="4"/>
  <c r="H5" i="4"/>
  <c r="H6" i="4"/>
  <c r="H7" i="4"/>
  <c r="H8" i="4"/>
  <c r="H2" i="4"/>
</calcChain>
</file>

<file path=xl/sharedStrings.xml><?xml version="1.0" encoding="utf-8"?>
<sst xmlns="http://schemas.openxmlformats.org/spreadsheetml/2006/main" count="145" uniqueCount="87">
  <si>
    <t>TODO (P1)</t>
  </si>
  <si>
    <t>W32</t>
  </si>
  <si>
    <t>W33</t>
  </si>
  <si>
    <t>W34</t>
  </si>
  <si>
    <t>W35</t>
  </si>
  <si>
    <t>Done</t>
  </si>
  <si>
    <t>In Review/Progress</t>
  </si>
  <si>
    <t>Total</t>
  </si>
  <si>
    <t>W36</t>
  </si>
  <si>
    <t>W37</t>
  </si>
  <si>
    <t>W38</t>
  </si>
  <si>
    <t>v1.22</t>
  </si>
  <si>
    <t>v1.23</t>
  </si>
  <si>
    <t>v1.24</t>
  </si>
  <si>
    <t>v1.25</t>
  </si>
  <si>
    <t>v1.26</t>
  </si>
  <si>
    <t>v1.27</t>
  </si>
  <si>
    <t>v1.28</t>
  </si>
  <si>
    <t>Passed</t>
  </si>
  <si>
    <t>Known Issue</t>
  </si>
  <si>
    <t>Failed</t>
  </si>
  <si>
    <t>Partially Failed</t>
  </si>
  <si>
    <t>Untested</t>
  </si>
  <si>
    <t>W28</t>
  </si>
  <si>
    <t>W29</t>
  </si>
  <si>
    <t>W30</t>
  </si>
  <si>
    <t>W31</t>
  </si>
  <si>
    <t>Blocked</t>
  </si>
  <si>
    <t>In Review</t>
  </si>
  <si>
    <t>To Do</t>
  </si>
  <si>
    <t>v1.15</t>
  </si>
  <si>
    <t>v1.16</t>
  </si>
  <si>
    <t>v1.17</t>
  </si>
  <si>
    <t>v1.18</t>
  </si>
  <si>
    <t>v1.19</t>
  </si>
  <si>
    <t>v1.20</t>
  </si>
  <si>
    <t>v1.21</t>
  </si>
  <si>
    <t>Version</t>
  </si>
  <si>
    <t>Sprint</t>
  </si>
  <si>
    <t>To Do (0%)</t>
  </si>
  <si>
    <t>Done (100%)</t>
  </si>
  <si>
    <t>IN REVIEW (80%)</t>
  </si>
  <si>
    <t>WON'T DO (100%)</t>
  </si>
  <si>
    <t>STARTING (10 ~ 40%)</t>
  </si>
  <si>
    <t>y25w28</t>
  </si>
  <si>
    <t>y25w30</t>
  </si>
  <si>
    <t>y25w32</t>
  </si>
  <si>
    <t>y25w34</t>
  </si>
  <si>
    <t>y25w36</t>
  </si>
  <si>
    <t>Versions</t>
  </si>
  <si>
    <t>y25w38</t>
  </si>
  <si>
    <t>y25w40</t>
  </si>
  <si>
    <t>y25w16</t>
  </si>
  <si>
    <t>y25w18</t>
  </si>
  <si>
    <t>y25w20</t>
  </si>
  <si>
    <t>y25w22</t>
  </si>
  <si>
    <t>y25w24</t>
  </si>
  <si>
    <t>y25w26</t>
  </si>
  <si>
    <t>In Progress</t>
  </si>
  <si>
    <t>Week</t>
  </si>
  <si>
    <t>v1.29</t>
  </si>
  <si>
    <t>W39</t>
  </si>
  <si>
    <t>In QA</t>
  </si>
  <si>
    <t>Internal Test</t>
  </si>
  <si>
    <t>In Progress (50 ~ 70%)</t>
  </si>
  <si>
    <t>y25w42</t>
  </si>
  <si>
    <t>W40</t>
  </si>
  <si>
    <t>v1.30</t>
  </si>
  <si>
    <t>W41</t>
  </si>
  <si>
    <t>W42</t>
  </si>
  <si>
    <t>v1.31</t>
  </si>
  <si>
    <t>y25w44</t>
  </si>
  <si>
    <t>W43</t>
  </si>
  <si>
    <t>y25w46</t>
  </si>
  <si>
    <t>W44</t>
  </si>
  <si>
    <t>v1.32</t>
  </si>
  <si>
    <t>v1.33</t>
  </si>
  <si>
    <t>W45</t>
  </si>
  <si>
    <t>y25w48</t>
  </si>
  <si>
    <t>W46</t>
  </si>
  <si>
    <t>v1.34</t>
  </si>
  <si>
    <t>W47</t>
  </si>
  <si>
    <t>y25w50</t>
  </si>
  <si>
    <t>W48</t>
  </si>
  <si>
    <t>W49</t>
  </si>
  <si>
    <t>W50</t>
  </si>
  <si>
    <t>y25w52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</si>
</sst>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292A2E"/>
      <name val="Segoe UI"/>
      <family val="2"/>
    </font>
    <font>
      <sz val="16"/>
      <color theme="0"/>
      <name val="Helvetica Neue"/>
      <family val="2"/>
    </font>
    <font>
      <sz val="11"/>
      <color theme="0"/>
      <name val="Helvetica Neue"/>
      <family val="2"/>
    </font>
    <font>
      <sz val="12"/>
      <color theme="0"/>
      <name val="Helvetica Neue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6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3" fillId="2" borderId="4" xfId="0" applyFont="1" applyFill="1" applyBorder="1" applyAlignment="1">
      <alignment horizontal="left" vertical="center" wrapText="1"/>
    </xf>
    <xf numFmtId="0" fontId="2" fillId="2" borderId="4" xfId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NumberFormat="1" applyAlignment="1">
      <alignment horizontal="right" vertical="center"/>
    </xf>
    <xf numFmtId="1" fontId="0" fillId="0" borderId="0" xfId="0" applyNumberFormat="1"/>
    <xf numFmtId="0" fontId="0" fillId="0" borderId="0" xfId="0" applyNumberFormat="1"/>
    <xf numFmtId="0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>
      <alignment horizontal="center" vertical="center"/>
    </xf>
  </cellXfs>
  <cellStyles count="2">
    <cellStyle name="Hyperlink" xfId="1" builtinId="8"/>
    <cellStyle name="Normal" xfId="0" builtinId="0"/>
  </cellStyles>
  <dxfs count="34"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protection locked="0" hidden="0"/>
    </dxf>
    <dxf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92A2E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theme="0"/>
        <name val="Helvetica Neue"/>
        <family val="2"/>
        <scheme val="none"/>
      </font>
      <fill>
        <patternFill patternType="solid">
          <fgColor indexed="64"/>
          <bgColor theme="1"/>
        </patternFill>
      </fill>
      <alignment horizontal="center" vertical="center" textRotation="0" wrapText="0" indent="0" justifyLastLine="0" shrinkToFit="0" readingOrder="0"/>
    </dxf>
    <dxf>
      <numFmt numFmtId="1" formatCode="0"/>
    </dxf>
    <dxf>
      <numFmt numFmtId="1" formatCode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numFmt numFmtId="0" formatCode="General"/>
    </dxf>
    <dxf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P1 Test Case - Automation Progress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TestAutomationProgress!$B$1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TestAutomationProgress!$A$2:$A$19</c:f>
              <c:strCache>
                <c:ptCount val="18"/>
                <c:pt idx="0">
                  <c:v>W32</c:v>
                </c:pt>
                <c:pt idx="1">
                  <c:v>W33</c:v>
                </c:pt>
                <c:pt idx="2">
                  <c:v>W34</c:v>
                </c:pt>
                <c:pt idx="3">
                  <c:v>W35</c:v>
                </c:pt>
                <c:pt idx="4">
                  <c:v>W36</c:v>
                </c:pt>
                <c:pt idx="5">
                  <c:v>W37</c:v>
                </c:pt>
                <c:pt idx="6">
                  <c:v>W38</c:v>
                </c:pt>
                <c:pt idx="7">
                  <c:v>W39</c:v>
                </c:pt>
                <c:pt idx="8">
                  <c:v>W40</c:v>
                </c:pt>
                <c:pt idx="9">
                  <c:v>W41</c:v>
                </c:pt>
                <c:pt idx="10">
                  <c:v>W42</c:v>
                </c:pt>
                <c:pt idx="11">
                  <c:v>W43</c:v>
                </c:pt>
                <c:pt idx="12">
                  <c:v>W44</c:v>
                </c:pt>
                <c:pt idx="13">
                  <c:v>W45</c:v>
                </c:pt>
                <c:pt idx="14">
                  <c:v>W46</c:v>
                </c:pt>
                <c:pt idx="15">
                  <c:v>W47</c:v>
                </c:pt>
                <c:pt idx="16">
                  <c:v>W49</c:v>
                </c:pt>
                <c:pt idx="17">
                  <c:v>W50</c:v>
                </c:pt>
              </c:strCache>
            </c:strRef>
          </c:cat>
          <c:val>
            <c:numRef>
              <c:f>TestAutomationProgress!$B$2:$B$19</c:f>
              <c:numCache>
                <c:formatCode>General</c:formatCode>
                <c:ptCount val="18"/>
                <c:pt idx="0">
                  <c:v>2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15</c:v>
                </c:pt>
                <c:pt idx="8">
                  <c:v>15</c:v>
                </c:pt>
                <c:pt idx="9">
                  <c:v>12</c:v>
                </c:pt>
                <c:pt idx="10">
                  <c:v>13</c:v>
                </c:pt>
                <c:pt idx="11">
                  <c:v>15</c:v>
                </c:pt>
                <c:pt idx="12">
                  <c:v>18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28</c:v>
                </c:pt>
                <c:pt idx="17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0B-2048-A315-E1CB7BE52497}"/>
            </c:ext>
          </c:extLst>
        </c:ser>
        <c:ser>
          <c:idx val="1"/>
          <c:order val="1"/>
          <c:tx>
            <c:strRef>
              <c:f>TestAutomationProgress!$C$1</c:f>
              <c:strCache>
                <c:ptCount val="1"/>
                <c:pt idx="0">
                  <c:v>In Review/Progress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TestAutomationProgress!$A$2:$A$19</c:f>
              <c:strCache>
                <c:ptCount val="18"/>
                <c:pt idx="0">
                  <c:v>W32</c:v>
                </c:pt>
                <c:pt idx="1">
                  <c:v>W33</c:v>
                </c:pt>
                <c:pt idx="2">
                  <c:v>W34</c:v>
                </c:pt>
                <c:pt idx="3">
                  <c:v>W35</c:v>
                </c:pt>
                <c:pt idx="4">
                  <c:v>W36</c:v>
                </c:pt>
                <c:pt idx="5">
                  <c:v>W37</c:v>
                </c:pt>
                <c:pt idx="6">
                  <c:v>W38</c:v>
                </c:pt>
                <c:pt idx="7">
                  <c:v>W39</c:v>
                </c:pt>
                <c:pt idx="8">
                  <c:v>W40</c:v>
                </c:pt>
                <c:pt idx="9">
                  <c:v>W41</c:v>
                </c:pt>
                <c:pt idx="10">
                  <c:v>W42</c:v>
                </c:pt>
                <c:pt idx="11">
                  <c:v>W43</c:v>
                </c:pt>
                <c:pt idx="12">
                  <c:v>W44</c:v>
                </c:pt>
                <c:pt idx="13">
                  <c:v>W45</c:v>
                </c:pt>
                <c:pt idx="14">
                  <c:v>W46</c:v>
                </c:pt>
                <c:pt idx="15">
                  <c:v>W47</c:v>
                </c:pt>
                <c:pt idx="16">
                  <c:v>W49</c:v>
                </c:pt>
                <c:pt idx="17">
                  <c:v>W50</c:v>
                </c:pt>
              </c:strCache>
            </c:strRef>
          </c:cat>
          <c:val>
            <c:numRef>
              <c:f>TestAutomationProgress!$C$2:$C$19</c:f>
              <c:numCache>
                <c:formatCode>General</c:formatCode>
                <c:ptCount val="18"/>
                <c:pt idx="0">
                  <c:v>1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10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11</c:v>
                </c:pt>
                <c:pt idx="10">
                  <c:v>11</c:v>
                </c:pt>
                <c:pt idx="11">
                  <c:v>12</c:v>
                </c:pt>
                <c:pt idx="12">
                  <c:v>11</c:v>
                </c:pt>
                <c:pt idx="13">
                  <c:v>14</c:v>
                </c:pt>
                <c:pt idx="14">
                  <c:v>14</c:v>
                </c:pt>
                <c:pt idx="15">
                  <c:v>10</c:v>
                </c:pt>
                <c:pt idx="16">
                  <c:v>8</c:v>
                </c:pt>
                <c:pt idx="17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0B-2048-A315-E1CB7BE52497}"/>
            </c:ext>
          </c:extLst>
        </c:ser>
        <c:ser>
          <c:idx val="2"/>
          <c:order val="2"/>
          <c:tx>
            <c:strRef>
              <c:f>TestAutomationProgress!$D$1</c:f>
              <c:strCache>
                <c:ptCount val="1"/>
                <c:pt idx="0">
                  <c:v>TODO (P1)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TestAutomationProgress!$A$2:$A$19</c:f>
              <c:strCache>
                <c:ptCount val="18"/>
                <c:pt idx="0">
                  <c:v>W32</c:v>
                </c:pt>
                <c:pt idx="1">
                  <c:v>W33</c:v>
                </c:pt>
                <c:pt idx="2">
                  <c:v>W34</c:v>
                </c:pt>
                <c:pt idx="3">
                  <c:v>W35</c:v>
                </c:pt>
                <c:pt idx="4">
                  <c:v>W36</c:v>
                </c:pt>
                <c:pt idx="5">
                  <c:v>W37</c:v>
                </c:pt>
                <c:pt idx="6">
                  <c:v>W38</c:v>
                </c:pt>
                <c:pt idx="7">
                  <c:v>W39</c:v>
                </c:pt>
                <c:pt idx="8">
                  <c:v>W40</c:v>
                </c:pt>
                <c:pt idx="9">
                  <c:v>W41</c:v>
                </c:pt>
                <c:pt idx="10">
                  <c:v>W42</c:v>
                </c:pt>
                <c:pt idx="11">
                  <c:v>W43</c:v>
                </c:pt>
                <c:pt idx="12">
                  <c:v>W44</c:v>
                </c:pt>
                <c:pt idx="13">
                  <c:v>W45</c:v>
                </c:pt>
                <c:pt idx="14">
                  <c:v>W46</c:v>
                </c:pt>
                <c:pt idx="15">
                  <c:v>W47</c:v>
                </c:pt>
                <c:pt idx="16">
                  <c:v>W49</c:v>
                </c:pt>
                <c:pt idx="17">
                  <c:v>W50</c:v>
                </c:pt>
              </c:strCache>
            </c:strRef>
          </c:cat>
          <c:val>
            <c:numRef>
              <c:f>TestAutomationProgress!$D$2:$D$19</c:f>
              <c:numCache>
                <c:formatCode>General</c:formatCode>
                <c:ptCount val="18"/>
                <c:pt idx="0">
                  <c:v>115</c:v>
                </c:pt>
                <c:pt idx="1">
                  <c:v>114</c:v>
                </c:pt>
                <c:pt idx="2">
                  <c:v>109</c:v>
                </c:pt>
                <c:pt idx="3">
                  <c:v>108</c:v>
                </c:pt>
                <c:pt idx="4">
                  <c:v>104</c:v>
                </c:pt>
                <c:pt idx="5">
                  <c:v>228</c:v>
                </c:pt>
                <c:pt idx="6">
                  <c:v>224</c:v>
                </c:pt>
                <c:pt idx="7">
                  <c:v>220</c:v>
                </c:pt>
                <c:pt idx="8">
                  <c:v>219</c:v>
                </c:pt>
                <c:pt idx="9">
                  <c:v>173</c:v>
                </c:pt>
                <c:pt idx="10">
                  <c:v>172</c:v>
                </c:pt>
                <c:pt idx="11">
                  <c:v>168</c:v>
                </c:pt>
                <c:pt idx="12">
                  <c:v>166</c:v>
                </c:pt>
                <c:pt idx="13">
                  <c:v>160</c:v>
                </c:pt>
                <c:pt idx="14">
                  <c:v>160</c:v>
                </c:pt>
                <c:pt idx="15">
                  <c:v>161</c:v>
                </c:pt>
                <c:pt idx="16">
                  <c:v>160</c:v>
                </c:pt>
                <c:pt idx="17">
                  <c:v>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0B-2048-A315-E1CB7BE52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2470416"/>
        <c:axId val="382472128"/>
      </c:barChart>
      <c:catAx>
        <c:axId val="382470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472128"/>
        <c:crosses val="autoZero"/>
        <c:auto val="1"/>
        <c:lblAlgn val="ctr"/>
        <c:lblOffset val="100"/>
        <c:noMultiLvlLbl val="0"/>
      </c:catAx>
      <c:valAx>
        <c:axId val="38247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470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[Humi] Test</a:t>
            </a:r>
            <a:r>
              <a:rPr lang="en-US" baseline="0"/>
              <a:t> Result - Per Version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'Humi-TestResult'!$B$1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'Humi-TestResult'!$A$2:$A$14</c:f>
              <c:strCache>
                <c:ptCount val="13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</c:strCache>
            </c:strRef>
          </c:cat>
          <c:val>
            <c:numRef>
              <c:f>'Humi-TestResult'!$B$2:$B$14</c:f>
              <c:numCache>
                <c:formatCode>General</c:formatCode>
                <c:ptCount val="13"/>
                <c:pt idx="0">
                  <c:v>421</c:v>
                </c:pt>
                <c:pt idx="1">
                  <c:v>402</c:v>
                </c:pt>
                <c:pt idx="2">
                  <c:v>1195</c:v>
                </c:pt>
                <c:pt idx="3">
                  <c:v>2583</c:v>
                </c:pt>
                <c:pt idx="4">
                  <c:v>2263</c:v>
                </c:pt>
                <c:pt idx="5">
                  <c:v>2719</c:v>
                </c:pt>
                <c:pt idx="6">
                  <c:v>2515</c:v>
                </c:pt>
                <c:pt idx="7">
                  <c:v>1399</c:v>
                </c:pt>
                <c:pt idx="8">
                  <c:v>1271</c:v>
                </c:pt>
                <c:pt idx="9">
                  <c:v>1333</c:v>
                </c:pt>
                <c:pt idx="10">
                  <c:v>1475</c:v>
                </c:pt>
                <c:pt idx="11">
                  <c:v>2031</c:v>
                </c:pt>
                <c:pt idx="12">
                  <c:v>1755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92-504A-9943-B371AA86C87B}"/>
            </c:ext>
          </c:extLst>
        </c:ser>
        <c:ser>
          <c:idx val="1"/>
          <c:order val="1"/>
          <c:tx>
            <c:strRef>
              <c:f>'Humi-TestResult'!$C$1</c:f>
              <c:strCache>
                <c:ptCount val="1"/>
                <c:pt idx="0">
                  <c:v>Blocked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'Humi-TestResult'!$A$2:$A$14</c:f>
              <c:strCache>
                <c:ptCount val="13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</c:strCache>
            </c:strRef>
          </c:cat>
          <c:val>
            <c:numRef>
              <c:f>'Humi-TestResult'!$C$2:$C$14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92-504A-9943-B371AA86C87B}"/>
            </c:ext>
          </c:extLst>
        </c:ser>
        <c:ser>
          <c:idx val="2"/>
          <c:order val="2"/>
          <c:tx>
            <c:strRef>
              <c:f>'Humi-TestResult'!$D$1</c:f>
              <c:strCache>
                <c:ptCount val="1"/>
                <c:pt idx="0">
                  <c:v>Known Issue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>
              <a:outerShdw blurRad="50800" dist="50800" dir="5400000" algn="ctr" rotWithShape="0">
                <a:schemeClr val="accent4">
                  <a:lumMod val="75000"/>
                </a:schemeClr>
              </a:outerShdw>
            </a:effectLst>
          </c:spPr>
          <c:invertIfNegative val="0"/>
          <c:cat>
            <c:strRef>
              <c:f>'Humi-TestResult'!$A$2:$A$14</c:f>
              <c:strCache>
                <c:ptCount val="13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</c:strCache>
            </c:strRef>
          </c:cat>
          <c:val>
            <c:numRef>
              <c:f>'Humi-TestResult'!$D$2:$D$14</c:f>
              <c:numCache>
                <c:formatCode>General</c:formatCode>
                <c:ptCount val="13"/>
                <c:pt idx="0">
                  <c:v>12</c:v>
                </c:pt>
                <c:pt idx="1">
                  <c:v>10</c:v>
                </c:pt>
                <c:pt idx="2">
                  <c:v>16</c:v>
                </c:pt>
                <c:pt idx="3">
                  <c:v>13</c:v>
                </c:pt>
                <c:pt idx="4">
                  <c:v>3</c:v>
                </c:pt>
                <c:pt idx="5">
                  <c:v>4</c:v>
                </c:pt>
                <c:pt idx="6">
                  <c:v>16</c:v>
                </c:pt>
                <c:pt idx="7">
                  <c:v>1</c:v>
                </c:pt>
                <c:pt idx="8">
                  <c:v>2</c:v>
                </c:pt>
                <c:pt idx="9">
                  <c:v>7</c:v>
                </c:pt>
                <c:pt idx="10">
                  <c:v>6</c:v>
                </c:pt>
                <c:pt idx="11">
                  <c:v>0</c:v>
                </c:pt>
                <c:pt idx="1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92-504A-9943-B371AA86C87B}"/>
            </c:ext>
          </c:extLst>
        </c:ser>
        <c:ser>
          <c:idx val="3"/>
          <c:order val="3"/>
          <c:tx>
            <c:strRef>
              <c:f>'Humi-TestResult'!$E$1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'Humi-TestResult'!$A$2:$A$14</c:f>
              <c:strCache>
                <c:ptCount val="13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</c:strCache>
            </c:strRef>
          </c:cat>
          <c:val>
            <c:numRef>
              <c:f>'Humi-TestResult'!$E$2:$E$14</c:f>
              <c:numCache>
                <c:formatCode>General</c:formatCode>
                <c:ptCount val="13"/>
                <c:pt idx="0">
                  <c:v>8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92-504A-9943-B371AA86C87B}"/>
            </c:ext>
          </c:extLst>
        </c:ser>
        <c:ser>
          <c:idx val="4"/>
          <c:order val="4"/>
          <c:tx>
            <c:strRef>
              <c:f>'Humi-TestResult'!$F$1</c:f>
              <c:strCache>
                <c:ptCount val="1"/>
                <c:pt idx="0">
                  <c:v>Partially Failed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'Humi-TestResult'!$A$2:$A$14</c:f>
              <c:strCache>
                <c:ptCount val="13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</c:strCache>
            </c:strRef>
          </c:cat>
          <c:val>
            <c:numRef>
              <c:f>'Humi-TestResult'!$F$2:$F$14</c:f>
              <c:numCache>
                <c:formatCode>General</c:formatCode>
                <c:ptCount val="13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4</c:v>
                </c:pt>
                <c:pt idx="11">
                  <c:v>5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92-504A-9943-B371AA86C87B}"/>
            </c:ext>
          </c:extLst>
        </c:ser>
        <c:ser>
          <c:idx val="5"/>
          <c:order val="5"/>
          <c:tx>
            <c:strRef>
              <c:f>'Humi-TestResult'!$G$1</c:f>
              <c:strCache>
                <c:ptCount val="1"/>
                <c:pt idx="0">
                  <c:v>Untested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'Humi-TestResult'!$A$2:$A$14</c:f>
              <c:strCache>
                <c:ptCount val="13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</c:strCache>
            </c:strRef>
          </c:cat>
          <c:val>
            <c:numRef>
              <c:f>'Humi-TestResult'!$G$2:$G$14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92-504A-9943-B371AA86C8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14019631"/>
        <c:axId val="2014101087"/>
      </c:barChart>
      <c:lineChart>
        <c:grouping val="standard"/>
        <c:varyColors val="0"/>
        <c:ser>
          <c:idx val="6"/>
          <c:order val="6"/>
          <c:tx>
            <c:strRef>
              <c:f>'Humi-TestResult'!$H$1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'Humi-TestResult'!$A$2:$A$14</c:f>
              <c:strCache>
                <c:ptCount val="13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</c:strCache>
            </c:strRef>
          </c:cat>
          <c:val>
            <c:numRef>
              <c:f>'Humi-TestResult'!$H$2:$H$14</c:f>
              <c:numCache>
                <c:formatCode>General</c:formatCode>
                <c:ptCount val="13"/>
                <c:pt idx="0">
                  <c:v>442</c:v>
                </c:pt>
                <c:pt idx="1">
                  <c:v>414</c:v>
                </c:pt>
                <c:pt idx="2">
                  <c:v>1211</c:v>
                </c:pt>
                <c:pt idx="3">
                  <c:v>2596</c:v>
                </c:pt>
                <c:pt idx="4">
                  <c:v>2266</c:v>
                </c:pt>
                <c:pt idx="5">
                  <c:v>2723</c:v>
                </c:pt>
                <c:pt idx="6">
                  <c:v>2531</c:v>
                </c:pt>
                <c:pt idx="7">
                  <c:v>1401</c:v>
                </c:pt>
                <c:pt idx="8">
                  <c:v>1273</c:v>
                </c:pt>
                <c:pt idx="9">
                  <c:v>1341</c:v>
                </c:pt>
                <c:pt idx="10">
                  <c:v>1341</c:v>
                </c:pt>
                <c:pt idx="11">
                  <c:v>2037</c:v>
                </c:pt>
                <c:pt idx="12">
                  <c:v>1761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192-504A-9943-B371AA86C8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14019631"/>
        <c:axId val="2014101087"/>
      </c:lineChart>
      <c:catAx>
        <c:axId val="2014019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4101087"/>
        <c:crosses val="autoZero"/>
        <c:auto val="1"/>
        <c:lblAlgn val="ctr"/>
        <c:lblOffset val="100"/>
        <c:noMultiLvlLbl val="0"/>
      </c:catAx>
      <c:valAx>
        <c:axId val="2014101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4019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[SOVA] Test Result - Per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'SOVA-TestResult'!$B$1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'SOVA-TestResult'!$A$2:$A$24</c:f>
              <c:strCache>
                <c:ptCount val="23"/>
                <c:pt idx="0">
                  <c:v>W28</c:v>
                </c:pt>
                <c:pt idx="1">
                  <c:v>W29</c:v>
                </c:pt>
                <c:pt idx="2">
                  <c:v>W30</c:v>
                </c:pt>
                <c:pt idx="3">
                  <c:v>W31</c:v>
                </c:pt>
                <c:pt idx="4">
                  <c:v>W32</c:v>
                </c:pt>
                <c:pt idx="5">
                  <c:v>W33</c:v>
                </c:pt>
                <c:pt idx="6">
                  <c:v>W34</c:v>
                </c:pt>
                <c:pt idx="7">
                  <c:v>W35</c:v>
                </c:pt>
                <c:pt idx="8">
                  <c:v>W36</c:v>
                </c:pt>
                <c:pt idx="9">
                  <c:v>W37</c:v>
                </c:pt>
                <c:pt idx="10">
                  <c:v>W38</c:v>
                </c:pt>
                <c:pt idx="11">
                  <c:v>W39</c:v>
                </c:pt>
                <c:pt idx="12">
                  <c:v>W40</c:v>
                </c:pt>
                <c:pt idx="13">
                  <c:v>W41</c:v>
                </c:pt>
                <c:pt idx="14">
                  <c:v>W42</c:v>
                </c:pt>
                <c:pt idx="15">
                  <c:v>W43</c:v>
                </c:pt>
                <c:pt idx="16">
                  <c:v>W44</c:v>
                </c:pt>
                <c:pt idx="17">
                  <c:v>W45</c:v>
                </c:pt>
                <c:pt idx="18">
                  <c:v>W46</c:v>
                </c:pt>
                <c:pt idx="19">
                  <c:v>W47</c:v>
                </c:pt>
                <c:pt idx="20">
                  <c:v>W48</c:v>
                </c:pt>
                <c:pt idx="21">
                  <c:v>W49</c:v>
                </c:pt>
                <c:pt idx="22">
                  <c:v>W50</c:v>
                </c:pt>
              </c:strCache>
            </c:strRef>
          </c:cat>
          <c:val>
            <c:numRef>
              <c:f>'SOVA-TestResult'!$B$2:$B$24</c:f>
              <c:numCache>
                <c:formatCode>General</c:formatCode>
                <c:ptCount val="23"/>
                <c:pt idx="0">
                  <c:v>38</c:v>
                </c:pt>
                <c:pt idx="2">
                  <c:v>43</c:v>
                </c:pt>
                <c:pt idx="4">
                  <c:v>58</c:v>
                </c:pt>
                <c:pt idx="6">
                  <c:v>76</c:v>
                </c:pt>
                <c:pt idx="8">
                  <c:v>121</c:v>
                </c:pt>
                <c:pt idx="10">
                  <c:v>148</c:v>
                </c:pt>
                <c:pt idx="12">
                  <c:v>148</c:v>
                </c:pt>
                <c:pt idx="14">
                  <c:v>231</c:v>
                </c:pt>
                <c:pt idx="16">
                  <c:v>249</c:v>
                </c:pt>
                <c:pt idx="17">
                  <c:v>155</c:v>
                </c:pt>
                <c:pt idx="18">
                  <c:v>225</c:v>
                </c:pt>
                <c:pt idx="19">
                  <c:v>281</c:v>
                </c:pt>
                <c:pt idx="20">
                  <c:v>291</c:v>
                </c:pt>
                <c:pt idx="21">
                  <c:v>267</c:v>
                </c:pt>
                <c:pt idx="22">
                  <c:v>343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B6-0841-9E09-1415898952C6}"/>
            </c:ext>
          </c:extLst>
        </c:ser>
        <c:ser>
          <c:idx val="1"/>
          <c:order val="1"/>
          <c:tx>
            <c:strRef>
              <c:f>'SOVA-TestResult'!$C$1</c:f>
              <c:strCache>
                <c:ptCount val="1"/>
                <c:pt idx="0">
                  <c:v>Blocked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2">
                        <a:lumMod val="60000"/>
                        <a:lumOff val="4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'SOVA-TestResult'!$A$2:$A$24</c:f>
              <c:strCache>
                <c:ptCount val="23"/>
                <c:pt idx="0">
                  <c:v>W28</c:v>
                </c:pt>
                <c:pt idx="1">
                  <c:v>W29</c:v>
                </c:pt>
                <c:pt idx="2">
                  <c:v>W30</c:v>
                </c:pt>
                <c:pt idx="3">
                  <c:v>W31</c:v>
                </c:pt>
                <c:pt idx="4">
                  <c:v>W32</c:v>
                </c:pt>
                <c:pt idx="5">
                  <c:v>W33</c:v>
                </c:pt>
                <c:pt idx="6">
                  <c:v>W34</c:v>
                </c:pt>
                <c:pt idx="7">
                  <c:v>W35</c:v>
                </c:pt>
                <c:pt idx="8">
                  <c:v>W36</c:v>
                </c:pt>
                <c:pt idx="9">
                  <c:v>W37</c:v>
                </c:pt>
                <c:pt idx="10">
                  <c:v>W38</c:v>
                </c:pt>
                <c:pt idx="11">
                  <c:v>W39</c:v>
                </c:pt>
                <c:pt idx="12">
                  <c:v>W40</c:v>
                </c:pt>
                <c:pt idx="13">
                  <c:v>W41</c:v>
                </c:pt>
                <c:pt idx="14">
                  <c:v>W42</c:v>
                </c:pt>
                <c:pt idx="15">
                  <c:v>W43</c:v>
                </c:pt>
                <c:pt idx="16">
                  <c:v>W44</c:v>
                </c:pt>
                <c:pt idx="17">
                  <c:v>W45</c:v>
                </c:pt>
                <c:pt idx="18">
                  <c:v>W46</c:v>
                </c:pt>
                <c:pt idx="19">
                  <c:v>W47</c:v>
                </c:pt>
                <c:pt idx="20">
                  <c:v>W48</c:v>
                </c:pt>
                <c:pt idx="21">
                  <c:v>W49</c:v>
                </c:pt>
                <c:pt idx="22">
                  <c:v>W50</c:v>
                </c:pt>
              </c:strCache>
            </c:strRef>
          </c:cat>
          <c:val>
            <c:numRef>
              <c:f>'SOVA-TestResult'!$C$2:$C$24</c:f>
              <c:numCache>
                <c:formatCode>General</c:formatCode>
                <c:ptCount val="23"/>
                <c:pt idx="0">
                  <c:v>1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1</c:v>
                </c:pt>
                <c:pt idx="10">
                  <c:v>0</c:v>
                </c:pt>
                <c:pt idx="12">
                  <c:v>1</c:v>
                </c:pt>
                <c:pt idx="14">
                  <c:v>3</c:v>
                </c:pt>
                <c:pt idx="16">
                  <c:v>19</c:v>
                </c:pt>
                <c:pt idx="17">
                  <c:v>0</c:v>
                </c:pt>
                <c:pt idx="18">
                  <c:v>1</c:v>
                </c:pt>
                <c:pt idx="19">
                  <c:v>2</c:v>
                </c:pt>
                <c:pt idx="20">
                  <c:v>20</c:v>
                </c:pt>
                <c:pt idx="21">
                  <c:v>0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B6-0841-9E09-1415898952C6}"/>
            </c:ext>
          </c:extLst>
        </c:ser>
        <c:ser>
          <c:idx val="2"/>
          <c:order val="2"/>
          <c:tx>
            <c:strRef>
              <c:f>'SOVA-TestResult'!$D$1</c:f>
              <c:strCache>
                <c:ptCount val="1"/>
                <c:pt idx="0">
                  <c:v>Known Issue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'SOVA-TestResult'!$A$2:$A$24</c:f>
              <c:strCache>
                <c:ptCount val="23"/>
                <c:pt idx="0">
                  <c:v>W28</c:v>
                </c:pt>
                <c:pt idx="1">
                  <c:v>W29</c:v>
                </c:pt>
                <c:pt idx="2">
                  <c:v>W30</c:v>
                </c:pt>
                <c:pt idx="3">
                  <c:v>W31</c:v>
                </c:pt>
                <c:pt idx="4">
                  <c:v>W32</c:v>
                </c:pt>
                <c:pt idx="5">
                  <c:v>W33</c:v>
                </c:pt>
                <c:pt idx="6">
                  <c:v>W34</c:v>
                </c:pt>
                <c:pt idx="7">
                  <c:v>W35</c:v>
                </c:pt>
                <c:pt idx="8">
                  <c:v>W36</c:v>
                </c:pt>
                <c:pt idx="9">
                  <c:v>W37</c:v>
                </c:pt>
                <c:pt idx="10">
                  <c:v>W38</c:v>
                </c:pt>
                <c:pt idx="11">
                  <c:v>W39</c:v>
                </c:pt>
                <c:pt idx="12">
                  <c:v>W40</c:v>
                </c:pt>
                <c:pt idx="13">
                  <c:v>W41</c:v>
                </c:pt>
                <c:pt idx="14">
                  <c:v>W42</c:v>
                </c:pt>
                <c:pt idx="15">
                  <c:v>W43</c:v>
                </c:pt>
                <c:pt idx="16">
                  <c:v>W44</c:v>
                </c:pt>
                <c:pt idx="17">
                  <c:v>W45</c:v>
                </c:pt>
                <c:pt idx="18">
                  <c:v>W46</c:v>
                </c:pt>
                <c:pt idx="19">
                  <c:v>W47</c:v>
                </c:pt>
                <c:pt idx="20">
                  <c:v>W48</c:v>
                </c:pt>
                <c:pt idx="21">
                  <c:v>W49</c:v>
                </c:pt>
                <c:pt idx="22">
                  <c:v>W50</c:v>
                </c:pt>
              </c:strCache>
            </c:strRef>
          </c:cat>
          <c:val>
            <c:numRef>
              <c:f>'SOVA-TestResult'!$D$2:$D$24</c:f>
              <c:numCache>
                <c:formatCode>General</c:formatCode>
                <c:ptCount val="23"/>
                <c:pt idx="0">
                  <c:v>0</c:v>
                </c:pt>
                <c:pt idx="2">
                  <c:v>10</c:v>
                </c:pt>
                <c:pt idx="4">
                  <c:v>2</c:v>
                </c:pt>
                <c:pt idx="6">
                  <c:v>7</c:v>
                </c:pt>
                <c:pt idx="8">
                  <c:v>9</c:v>
                </c:pt>
                <c:pt idx="10">
                  <c:v>6</c:v>
                </c:pt>
                <c:pt idx="12">
                  <c:v>15</c:v>
                </c:pt>
                <c:pt idx="14">
                  <c:v>16</c:v>
                </c:pt>
                <c:pt idx="16">
                  <c:v>8</c:v>
                </c:pt>
                <c:pt idx="17">
                  <c:v>2</c:v>
                </c:pt>
                <c:pt idx="18">
                  <c:v>7</c:v>
                </c:pt>
                <c:pt idx="19">
                  <c:v>10</c:v>
                </c:pt>
                <c:pt idx="20">
                  <c:v>1</c:v>
                </c:pt>
                <c:pt idx="21">
                  <c:v>3</c:v>
                </c:pt>
                <c:pt idx="22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B6-0841-9E09-1415898952C6}"/>
            </c:ext>
          </c:extLst>
        </c:ser>
        <c:ser>
          <c:idx val="3"/>
          <c:order val="3"/>
          <c:tx>
            <c:strRef>
              <c:f>'SOVA-TestResult'!$E$1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'SOVA-TestResult'!$A$2:$A$24</c:f>
              <c:strCache>
                <c:ptCount val="23"/>
                <c:pt idx="0">
                  <c:v>W28</c:v>
                </c:pt>
                <c:pt idx="1">
                  <c:v>W29</c:v>
                </c:pt>
                <c:pt idx="2">
                  <c:v>W30</c:v>
                </c:pt>
                <c:pt idx="3">
                  <c:v>W31</c:v>
                </c:pt>
                <c:pt idx="4">
                  <c:v>W32</c:v>
                </c:pt>
                <c:pt idx="5">
                  <c:v>W33</c:v>
                </c:pt>
                <c:pt idx="6">
                  <c:v>W34</c:v>
                </c:pt>
                <c:pt idx="7">
                  <c:v>W35</c:v>
                </c:pt>
                <c:pt idx="8">
                  <c:v>W36</c:v>
                </c:pt>
                <c:pt idx="9">
                  <c:v>W37</c:v>
                </c:pt>
                <c:pt idx="10">
                  <c:v>W38</c:v>
                </c:pt>
                <c:pt idx="11">
                  <c:v>W39</c:v>
                </c:pt>
                <c:pt idx="12">
                  <c:v>W40</c:v>
                </c:pt>
                <c:pt idx="13">
                  <c:v>W41</c:v>
                </c:pt>
                <c:pt idx="14">
                  <c:v>W42</c:v>
                </c:pt>
                <c:pt idx="15">
                  <c:v>W43</c:v>
                </c:pt>
                <c:pt idx="16">
                  <c:v>W44</c:v>
                </c:pt>
                <c:pt idx="17">
                  <c:v>W45</c:v>
                </c:pt>
                <c:pt idx="18">
                  <c:v>W46</c:v>
                </c:pt>
                <c:pt idx="19">
                  <c:v>W47</c:v>
                </c:pt>
                <c:pt idx="20">
                  <c:v>W48</c:v>
                </c:pt>
                <c:pt idx="21">
                  <c:v>W49</c:v>
                </c:pt>
                <c:pt idx="22">
                  <c:v>W50</c:v>
                </c:pt>
              </c:strCache>
            </c:strRef>
          </c:cat>
          <c:val>
            <c:numRef>
              <c:f>'SOVA-TestResult'!$E$2:$E$24</c:f>
              <c:numCache>
                <c:formatCode>General</c:formatCode>
                <c:ptCount val="23"/>
                <c:pt idx="0">
                  <c:v>4</c:v>
                </c:pt>
                <c:pt idx="2">
                  <c:v>0</c:v>
                </c:pt>
                <c:pt idx="4">
                  <c:v>2</c:v>
                </c:pt>
                <c:pt idx="6">
                  <c:v>5</c:v>
                </c:pt>
                <c:pt idx="8">
                  <c:v>10</c:v>
                </c:pt>
                <c:pt idx="10">
                  <c:v>3</c:v>
                </c:pt>
                <c:pt idx="12">
                  <c:v>2</c:v>
                </c:pt>
                <c:pt idx="14">
                  <c:v>8</c:v>
                </c:pt>
                <c:pt idx="16">
                  <c:v>9</c:v>
                </c:pt>
                <c:pt idx="17">
                  <c:v>5</c:v>
                </c:pt>
                <c:pt idx="18">
                  <c:v>11</c:v>
                </c:pt>
                <c:pt idx="19">
                  <c:v>8</c:v>
                </c:pt>
                <c:pt idx="20">
                  <c:v>16</c:v>
                </c:pt>
                <c:pt idx="21">
                  <c:v>8</c:v>
                </c:pt>
                <c:pt idx="2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1B6-0841-9E09-141589895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67472959"/>
        <c:axId val="1167191519"/>
      </c:barChart>
      <c:lineChart>
        <c:grouping val="standard"/>
        <c:varyColors val="0"/>
        <c:ser>
          <c:idx val="4"/>
          <c:order val="4"/>
          <c:tx>
            <c:strRef>
              <c:f>'SOVA-TestResult'!$F$1</c:f>
              <c:strCache>
                <c:ptCount val="1"/>
                <c:pt idx="0">
                  <c:v>Partially Failed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'SOVA-TestResult'!$A$2:$A$24</c:f>
              <c:strCache>
                <c:ptCount val="23"/>
                <c:pt idx="0">
                  <c:v>W28</c:v>
                </c:pt>
                <c:pt idx="1">
                  <c:v>W29</c:v>
                </c:pt>
                <c:pt idx="2">
                  <c:v>W30</c:v>
                </c:pt>
                <c:pt idx="3">
                  <c:v>W31</c:v>
                </c:pt>
                <c:pt idx="4">
                  <c:v>W32</c:v>
                </c:pt>
                <c:pt idx="5">
                  <c:v>W33</c:v>
                </c:pt>
                <c:pt idx="6">
                  <c:v>W34</c:v>
                </c:pt>
                <c:pt idx="7">
                  <c:v>W35</c:v>
                </c:pt>
                <c:pt idx="8">
                  <c:v>W36</c:v>
                </c:pt>
                <c:pt idx="9">
                  <c:v>W37</c:v>
                </c:pt>
                <c:pt idx="10">
                  <c:v>W38</c:v>
                </c:pt>
                <c:pt idx="11">
                  <c:v>W39</c:v>
                </c:pt>
                <c:pt idx="12">
                  <c:v>W40</c:v>
                </c:pt>
                <c:pt idx="13">
                  <c:v>W41</c:v>
                </c:pt>
                <c:pt idx="14">
                  <c:v>W42</c:v>
                </c:pt>
                <c:pt idx="15">
                  <c:v>W43</c:v>
                </c:pt>
                <c:pt idx="16">
                  <c:v>W44</c:v>
                </c:pt>
                <c:pt idx="17">
                  <c:v>W45</c:v>
                </c:pt>
                <c:pt idx="18">
                  <c:v>W46</c:v>
                </c:pt>
                <c:pt idx="19">
                  <c:v>W47</c:v>
                </c:pt>
                <c:pt idx="20">
                  <c:v>W48</c:v>
                </c:pt>
                <c:pt idx="21">
                  <c:v>W49</c:v>
                </c:pt>
                <c:pt idx="22">
                  <c:v>W50</c:v>
                </c:pt>
              </c:strCache>
            </c:strRef>
          </c:cat>
          <c:val>
            <c:numRef>
              <c:f>'SOVA-TestResult'!$F$2:$F$24</c:f>
              <c:numCache>
                <c:formatCode>General</c:formatCode>
                <c:ptCount val="23"/>
                <c:pt idx="0">
                  <c:v>11</c:v>
                </c:pt>
                <c:pt idx="2">
                  <c:v>1</c:v>
                </c:pt>
                <c:pt idx="4">
                  <c:v>5</c:v>
                </c:pt>
                <c:pt idx="6">
                  <c:v>2</c:v>
                </c:pt>
                <c:pt idx="8">
                  <c:v>4</c:v>
                </c:pt>
                <c:pt idx="10">
                  <c:v>4</c:v>
                </c:pt>
                <c:pt idx="12">
                  <c:v>1</c:v>
                </c:pt>
                <c:pt idx="14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2</c:v>
                </c:pt>
                <c:pt idx="19">
                  <c:v>2</c:v>
                </c:pt>
                <c:pt idx="20">
                  <c:v>3</c:v>
                </c:pt>
                <c:pt idx="21">
                  <c:v>1</c:v>
                </c:pt>
                <c:pt idx="22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1B6-0841-9E09-1415898952C6}"/>
            </c:ext>
          </c:extLst>
        </c:ser>
        <c:ser>
          <c:idx val="5"/>
          <c:order val="5"/>
          <c:tx>
            <c:strRef>
              <c:f>'SOVA-TestResult'!$G$1</c:f>
              <c:strCache>
                <c:ptCount val="1"/>
                <c:pt idx="0">
                  <c:v>Untested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'SOVA-TestResult'!$A$2:$A$24</c:f>
              <c:strCache>
                <c:ptCount val="23"/>
                <c:pt idx="0">
                  <c:v>W28</c:v>
                </c:pt>
                <c:pt idx="1">
                  <c:v>W29</c:v>
                </c:pt>
                <c:pt idx="2">
                  <c:v>W30</c:v>
                </c:pt>
                <c:pt idx="3">
                  <c:v>W31</c:v>
                </c:pt>
                <c:pt idx="4">
                  <c:v>W32</c:v>
                </c:pt>
                <c:pt idx="5">
                  <c:v>W33</c:v>
                </c:pt>
                <c:pt idx="6">
                  <c:v>W34</c:v>
                </c:pt>
                <c:pt idx="7">
                  <c:v>W35</c:v>
                </c:pt>
                <c:pt idx="8">
                  <c:v>W36</c:v>
                </c:pt>
                <c:pt idx="9">
                  <c:v>W37</c:v>
                </c:pt>
                <c:pt idx="10">
                  <c:v>W38</c:v>
                </c:pt>
                <c:pt idx="11">
                  <c:v>W39</c:v>
                </c:pt>
                <c:pt idx="12">
                  <c:v>W40</c:v>
                </c:pt>
                <c:pt idx="13">
                  <c:v>W41</c:v>
                </c:pt>
                <c:pt idx="14">
                  <c:v>W42</c:v>
                </c:pt>
                <c:pt idx="15">
                  <c:v>W43</c:v>
                </c:pt>
                <c:pt idx="16">
                  <c:v>W44</c:v>
                </c:pt>
                <c:pt idx="17">
                  <c:v>W45</c:v>
                </c:pt>
                <c:pt idx="18">
                  <c:v>W46</c:v>
                </c:pt>
                <c:pt idx="19">
                  <c:v>W47</c:v>
                </c:pt>
                <c:pt idx="20">
                  <c:v>W48</c:v>
                </c:pt>
                <c:pt idx="21">
                  <c:v>W49</c:v>
                </c:pt>
                <c:pt idx="22">
                  <c:v>W50</c:v>
                </c:pt>
              </c:strCache>
            </c:strRef>
          </c:cat>
          <c:val>
            <c:numRef>
              <c:f>'SOVA-TestResult'!$G$2:$G$24</c:f>
              <c:numCache>
                <c:formatCode>General</c:formatCode>
                <c:ptCount val="23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  <c:pt idx="12">
                  <c:v>0</c:v>
                </c:pt>
                <c:pt idx="14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1B6-0841-9E09-1415898952C6}"/>
            </c:ext>
          </c:extLst>
        </c:ser>
        <c:ser>
          <c:idx val="6"/>
          <c:order val="6"/>
          <c:tx>
            <c:strRef>
              <c:f>'SOVA-TestResult'!$H$1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'SOVA-TestResult'!$A$2:$A$24</c:f>
              <c:strCache>
                <c:ptCount val="23"/>
                <c:pt idx="0">
                  <c:v>W28</c:v>
                </c:pt>
                <c:pt idx="1">
                  <c:v>W29</c:v>
                </c:pt>
                <c:pt idx="2">
                  <c:v>W30</c:v>
                </c:pt>
                <c:pt idx="3">
                  <c:v>W31</c:v>
                </c:pt>
                <c:pt idx="4">
                  <c:v>W32</c:v>
                </c:pt>
                <c:pt idx="5">
                  <c:v>W33</c:v>
                </c:pt>
                <c:pt idx="6">
                  <c:v>W34</c:v>
                </c:pt>
                <c:pt idx="7">
                  <c:v>W35</c:v>
                </c:pt>
                <c:pt idx="8">
                  <c:v>W36</c:v>
                </c:pt>
                <c:pt idx="9">
                  <c:v>W37</c:v>
                </c:pt>
                <c:pt idx="10">
                  <c:v>W38</c:v>
                </c:pt>
                <c:pt idx="11">
                  <c:v>W39</c:v>
                </c:pt>
                <c:pt idx="12">
                  <c:v>W40</c:v>
                </c:pt>
                <c:pt idx="13">
                  <c:v>W41</c:v>
                </c:pt>
                <c:pt idx="14">
                  <c:v>W42</c:v>
                </c:pt>
                <c:pt idx="15">
                  <c:v>W43</c:v>
                </c:pt>
                <c:pt idx="16">
                  <c:v>W44</c:v>
                </c:pt>
                <c:pt idx="17">
                  <c:v>W45</c:v>
                </c:pt>
                <c:pt idx="18">
                  <c:v>W46</c:v>
                </c:pt>
                <c:pt idx="19">
                  <c:v>W47</c:v>
                </c:pt>
                <c:pt idx="20">
                  <c:v>W48</c:v>
                </c:pt>
                <c:pt idx="21">
                  <c:v>W49</c:v>
                </c:pt>
                <c:pt idx="22">
                  <c:v>W50</c:v>
                </c:pt>
              </c:strCache>
            </c:strRef>
          </c:cat>
          <c:val>
            <c:numRef>
              <c:f>'SOVA-TestResult'!$H$2:$H$24</c:f>
              <c:numCache>
                <c:formatCode>General</c:formatCode>
                <c:ptCount val="23"/>
                <c:pt idx="0">
                  <c:v>54</c:v>
                </c:pt>
                <c:pt idx="2">
                  <c:v>54</c:v>
                </c:pt>
                <c:pt idx="4">
                  <c:v>67</c:v>
                </c:pt>
                <c:pt idx="6">
                  <c:v>90</c:v>
                </c:pt>
                <c:pt idx="8">
                  <c:v>145</c:v>
                </c:pt>
                <c:pt idx="10">
                  <c:v>161</c:v>
                </c:pt>
                <c:pt idx="12">
                  <c:v>167</c:v>
                </c:pt>
                <c:pt idx="14">
                  <c:v>259</c:v>
                </c:pt>
                <c:pt idx="16">
                  <c:v>285</c:v>
                </c:pt>
                <c:pt idx="17">
                  <c:v>162</c:v>
                </c:pt>
                <c:pt idx="18">
                  <c:v>246</c:v>
                </c:pt>
                <c:pt idx="19">
                  <c:v>303</c:v>
                </c:pt>
                <c:pt idx="20">
                  <c:v>331</c:v>
                </c:pt>
                <c:pt idx="21">
                  <c:v>279</c:v>
                </c:pt>
                <c:pt idx="22">
                  <c:v>362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64-450E-8791-12BF16343F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7472959"/>
        <c:axId val="1167191519"/>
      </c:lineChart>
      <c:catAx>
        <c:axId val="1167472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191519"/>
        <c:crosses val="autoZero"/>
        <c:auto val="1"/>
        <c:lblAlgn val="ctr"/>
        <c:lblOffset val="100"/>
        <c:noMultiLvlLbl val="0"/>
      </c:catAx>
      <c:valAx>
        <c:axId val="1167191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472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Humi - Bug trend (Per version)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'Humi-BugTrend'!$B$1</c:f>
              <c:strCache>
                <c:ptCount val="1"/>
                <c:pt idx="0">
                  <c:v>To Do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'Humi-BugTrend'!$A$2:$A$21</c:f>
              <c:strCache>
                <c:ptCount val="20"/>
                <c:pt idx="0">
                  <c:v>v1.15</c:v>
                </c:pt>
                <c:pt idx="1">
                  <c:v>v1.16</c:v>
                </c:pt>
                <c:pt idx="2">
                  <c:v>v1.17</c:v>
                </c:pt>
                <c:pt idx="3">
                  <c:v>v1.18</c:v>
                </c:pt>
                <c:pt idx="4">
                  <c:v>v1.19</c:v>
                </c:pt>
                <c:pt idx="5">
                  <c:v>v1.20</c:v>
                </c:pt>
                <c:pt idx="6">
                  <c:v>v1.21</c:v>
                </c:pt>
                <c:pt idx="7">
                  <c:v>v1.22</c:v>
                </c:pt>
                <c:pt idx="8">
                  <c:v>v1.23</c:v>
                </c:pt>
                <c:pt idx="9">
                  <c:v>v1.24</c:v>
                </c:pt>
                <c:pt idx="10">
                  <c:v>v1.25</c:v>
                </c:pt>
                <c:pt idx="11">
                  <c:v>v1.26</c:v>
                </c:pt>
                <c:pt idx="12">
                  <c:v>v1.27</c:v>
                </c:pt>
                <c:pt idx="13">
                  <c:v>v1.28</c:v>
                </c:pt>
                <c:pt idx="14">
                  <c:v>v1.29</c:v>
                </c:pt>
                <c:pt idx="15">
                  <c:v>v1.30</c:v>
                </c:pt>
                <c:pt idx="16">
                  <c:v>v1.31</c:v>
                </c:pt>
                <c:pt idx="17">
                  <c:v>v1.32</c:v>
                </c:pt>
                <c:pt idx="18">
                  <c:v>v1.33</c:v>
                </c:pt>
                <c:pt idx="19">
                  <c:v>v1.34</c:v>
                </c:pt>
              </c:strCache>
            </c:strRef>
          </c:cat>
          <c:val>
            <c:numRef>
              <c:f>'Humi-BugTrend'!$B$2:$B$21</c:f>
              <c:numCache>
                <c:formatCode>General</c:formatCode>
                <c:ptCount val="20"/>
                <c:pt idx="0">
                  <c:v>9</c:v>
                </c:pt>
                <c:pt idx="1">
                  <c:v>7</c:v>
                </c:pt>
                <c:pt idx="2">
                  <c:v>25</c:v>
                </c:pt>
                <c:pt idx="3">
                  <c:v>31</c:v>
                </c:pt>
                <c:pt idx="4">
                  <c:v>15</c:v>
                </c:pt>
                <c:pt idx="5">
                  <c:v>15</c:v>
                </c:pt>
                <c:pt idx="6">
                  <c:v>7</c:v>
                </c:pt>
                <c:pt idx="7">
                  <c:v>18</c:v>
                </c:pt>
                <c:pt idx="8">
                  <c:v>17</c:v>
                </c:pt>
                <c:pt idx="9">
                  <c:v>26</c:v>
                </c:pt>
                <c:pt idx="10">
                  <c:v>15</c:v>
                </c:pt>
                <c:pt idx="11">
                  <c:v>9</c:v>
                </c:pt>
                <c:pt idx="12">
                  <c:v>5</c:v>
                </c:pt>
                <c:pt idx="13">
                  <c:v>11</c:v>
                </c:pt>
                <c:pt idx="14">
                  <c:v>2</c:v>
                </c:pt>
                <c:pt idx="15">
                  <c:v>15</c:v>
                </c:pt>
                <c:pt idx="16">
                  <c:v>1</c:v>
                </c:pt>
                <c:pt idx="17">
                  <c:v>5</c:v>
                </c:pt>
                <c:pt idx="18">
                  <c:v>18</c:v>
                </c:pt>
                <c:pt idx="19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00-754E-8A07-C86B0F993C4F}"/>
            </c:ext>
          </c:extLst>
        </c:ser>
        <c:ser>
          <c:idx val="1"/>
          <c:order val="1"/>
          <c:tx>
            <c:strRef>
              <c:f>'Humi-BugTrend'!$C$1</c:f>
              <c:strCache>
                <c:ptCount val="1"/>
                <c:pt idx="0">
                  <c:v>In Progress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'Humi-BugTrend'!$A$2:$A$21</c:f>
              <c:strCache>
                <c:ptCount val="20"/>
                <c:pt idx="0">
                  <c:v>v1.15</c:v>
                </c:pt>
                <c:pt idx="1">
                  <c:v>v1.16</c:v>
                </c:pt>
                <c:pt idx="2">
                  <c:v>v1.17</c:v>
                </c:pt>
                <c:pt idx="3">
                  <c:v>v1.18</c:v>
                </c:pt>
                <c:pt idx="4">
                  <c:v>v1.19</c:v>
                </c:pt>
                <c:pt idx="5">
                  <c:v>v1.20</c:v>
                </c:pt>
                <c:pt idx="6">
                  <c:v>v1.21</c:v>
                </c:pt>
                <c:pt idx="7">
                  <c:v>v1.22</c:v>
                </c:pt>
                <c:pt idx="8">
                  <c:v>v1.23</c:v>
                </c:pt>
                <c:pt idx="9">
                  <c:v>v1.24</c:v>
                </c:pt>
                <c:pt idx="10">
                  <c:v>v1.25</c:v>
                </c:pt>
                <c:pt idx="11">
                  <c:v>v1.26</c:v>
                </c:pt>
                <c:pt idx="12">
                  <c:v>v1.27</c:v>
                </c:pt>
                <c:pt idx="13">
                  <c:v>v1.28</c:v>
                </c:pt>
                <c:pt idx="14">
                  <c:v>v1.29</c:v>
                </c:pt>
                <c:pt idx="15">
                  <c:v>v1.30</c:v>
                </c:pt>
                <c:pt idx="16">
                  <c:v>v1.31</c:v>
                </c:pt>
                <c:pt idx="17">
                  <c:v>v1.32</c:v>
                </c:pt>
                <c:pt idx="18">
                  <c:v>v1.33</c:v>
                </c:pt>
                <c:pt idx="19">
                  <c:v>v1.34</c:v>
                </c:pt>
              </c:strCache>
            </c:strRef>
          </c:cat>
          <c:val>
            <c:numRef>
              <c:f>'Humi-BugTrend'!$C$2:$C$21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00-754E-8A07-C86B0F993C4F}"/>
            </c:ext>
          </c:extLst>
        </c:ser>
        <c:ser>
          <c:idx val="2"/>
          <c:order val="2"/>
          <c:tx>
            <c:strRef>
              <c:f>'Humi-BugTrend'!$D$1</c:f>
              <c:strCache>
                <c:ptCount val="1"/>
                <c:pt idx="0">
                  <c:v>In Review</c:v>
                </c:pt>
              </c:strCache>
            </c:strRef>
          </c:tx>
          <c:spPr>
            <a:solidFill>
              <a:schemeClr val="tx2">
                <a:lumMod val="75000"/>
                <a:lumOff val="25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'Humi-BugTrend'!$A$2:$A$21</c:f>
              <c:strCache>
                <c:ptCount val="20"/>
                <c:pt idx="0">
                  <c:v>v1.15</c:v>
                </c:pt>
                <c:pt idx="1">
                  <c:v>v1.16</c:v>
                </c:pt>
                <c:pt idx="2">
                  <c:v>v1.17</c:v>
                </c:pt>
                <c:pt idx="3">
                  <c:v>v1.18</c:v>
                </c:pt>
                <c:pt idx="4">
                  <c:v>v1.19</c:v>
                </c:pt>
                <c:pt idx="5">
                  <c:v>v1.20</c:v>
                </c:pt>
                <c:pt idx="6">
                  <c:v>v1.21</c:v>
                </c:pt>
                <c:pt idx="7">
                  <c:v>v1.22</c:v>
                </c:pt>
                <c:pt idx="8">
                  <c:v>v1.23</c:v>
                </c:pt>
                <c:pt idx="9">
                  <c:v>v1.24</c:v>
                </c:pt>
                <c:pt idx="10">
                  <c:v>v1.25</c:v>
                </c:pt>
                <c:pt idx="11">
                  <c:v>v1.26</c:v>
                </c:pt>
                <c:pt idx="12">
                  <c:v>v1.27</c:v>
                </c:pt>
                <c:pt idx="13">
                  <c:v>v1.28</c:v>
                </c:pt>
                <c:pt idx="14">
                  <c:v>v1.29</c:v>
                </c:pt>
                <c:pt idx="15">
                  <c:v>v1.30</c:v>
                </c:pt>
                <c:pt idx="16">
                  <c:v>v1.31</c:v>
                </c:pt>
                <c:pt idx="17">
                  <c:v>v1.32</c:v>
                </c:pt>
                <c:pt idx="18">
                  <c:v>v1.33</c:v>
                </c:pt>
                <c:pt idx="19">
                  <c:v>v1.34</c:v>
                </c:pt>
              </c:strCache>
            </c:strRef>
          </c:cat>
          <c:val>
            <c:numRef>
              <c:f>'Humi-BugTrend'!$D$2:$D$21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00-754E-8A07-C86B0F993C4F}"/>
            </c:ext>
          </c:extLst>
        </c:ser>
        <c:ser>
          <c:idx val="3"/>
          <c:order val="3"/>
          <c:tx>
            <c:strRef>
              <c:f>'Humi-BugTrend'!$E$1</c:f>
              <c:strCache>
                <c:ptCount val="1"/>
                <c:pt idx="0">
                  <c:v>In QA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'Humi-BugTrend'!$A$2:$A$21</c:f>
              <c:strCache>
                <c:ptCount val="20"/>
                <c:pt idx="0">
                  <c:v>v1.15</c:v>
                </c:pt>
                <c:pt idx="1">
                  <c:v>v1.16</c:v>
                </c:pt>
                <c:pt idx="2">
                  <c:v>v1.17</c:v>
                </c:pt>
                <c:pt idx="3">
                  <c:v>v1.18</c:v>
                </c:pt>
                <c:pt idx="4">
                  <c:v>v1.19</c:v>
                </c:pt>
                <c:pt idx="5">
                  <c:v>v1.20</c:v>
                </c:pt>
                <c:pt idx="6">
                  <c:v>v1.21</c:v>
                </c:pt>
                <c:pt idx="7">
                  <c:v>v1.22</c:v>
                </c:pt>
                <c:pt idx="8">
                  <c:v>v1.23</c:v>
                </c:pt>
                <c:pt idx="9">
                  <c:v>v1.24</c:v>
                </c:pt>
                <c:pt idx="10">
                  <c:v>v1.25</c:v>
                </c:pt>
                <c:pt idx="11">
                  <c:v>v1.26</c:v>
                </c:pt>
                <c:pt idx="12">
                  <c:v>v1.27</c:v>
                </c:pt>
                <c:pt idx="13">
                  <c:v>v1.28</c:v>
                </c:pt>
                <c:pt idx="14">
                  <c:v>v1.29</c:v>
                </c:pt>
                <c:pt idx="15">
                  <c:v>v1.30</c:v>
                </c:pt>
                <c:pt idx="16">
                  <c:v>v1.31</c:v>
                </c:pt>
                <c:pt idx="17">
                  <c:v>v1.32</c:v>
                </c:pt>
                <c:pt idx="18">
                  <c:v>v1.33</c:v>
                </c:pt>
                <c:pt idx="19">
                  <c:v>v1.34</c:v>
                </c:pt>
              </c:strCache>
            </c:strRef>
          </c:cat>
          <c:val>
            <c:numRef>
              <c:f>'Humi-BugTrend'!$E$2:$E$21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2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300-754E-8A07-C86B0F993C4F}"/>
            </c:ext>
          </c:extLst>
        </c:ser>
        <c:ser>
          <c:idx val="4"/>
          <c:order val="4"/>
          <c:tx>
            <c:strRef>
              <c:f>'Humi-BugTrend'!$F$1</c:f>
              <c:strCache>
                <c:ptCount val="1"/>
                <c:pt idx="0">
                  <c:v>Internal Test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'Humi-BugTrend'!$A$2:$A$21</c:f>
              <c:strCache>
                <c:ptCount val="20"/>
                <c:pt idx="0">
                  <c:v>v1.15</c:v>
                </c:pt>
                <c:pt idx="1">
                  <c:v>v1.16</c:v>
                </c:pt>
                <c:pt idx="2">
                  <c:v>v1.17</c:v>
                </c:pt>
                <c:pt idx="3">
                  <c:v>v1.18</c:v>
                </c:pt>
                <c:pt idx="4">
                  <c:v>v1.19</c:v>
                </c:pt>
                <c:pt idx="5">
                  <c:v>v1.20</c:v>
                </c:pt>
                <c:pt idx="6">
                  <c:v>v1.21</c:v>
                </c:pt>
                <c:pt idx="7">
                  <c:v>v1.22</c:v>
                </c:pt>
                <c:pt idx="8">
                  <c:v>v1.23</c:v>
                </c:pt>
                <c:pt idx="9">
                  <c:v>v1.24</c:v>
                </c:pt>
                <c:pt idx="10">
                  <c:v>v1.25</c:v>
                </c:pt>
                <c:pt idx="11">
                  <c:v>v1.26</c:v>
                </c:pt>
                <c:pt idx="12">
                  <c:v>v1.27</c:v>
                </c:pt>
                <c:pt idx="13">
                  <c:v>v1.28</c:v>
                </c:pt>
                <c:pt idx="14">
                  <c:v>v1.29</c:v>
                </c:pt>
                <c:pt idx="15">
                  <c:v>v1.30</c:v>
                </c:pt>
                <c:pt idx="16">
                  <c:v>v1.31</c:v>
                </c:pt>
                <c:pt idx="17">
                  <c:v>v1.32</c:v>
                </c:pt>
                <c:pt idx="18">
                  <c:v>v1.33</c:v>
                </c:pt>
                <c:pt idx="19">
                  <c:v>v1.34</c:v>
                </c:pt>
              </c:strCache>
            </c:strRef>
          </c:cat>
          <c:val>
            <c:numRef>
              <c:f>'Humi-BugTrend'!$F$2:$F$21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EE-4236-973E-E208D437CE39}"/>
            </c:ext>
          </c:extLst>
        </c:ser>
        <c:ser>
          <c:idx val="5"/>
          <c:order val="5"/>
          <c:tx>
            <c:strRef>
              <c:f>'Humi-BugTrend'!$G$1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'Humi-BugTrend'!$A$2:$A$21</c:f>
              <c:strCache>
                <c:ptCount val="20"/>
                <c:pt idx="0">
                  <c:v>v1.15</c:v>
                </c:pt>
                <c:pt idx="1">
                  <c:v>v1.16</c:v>
                </c:pt>
                <c:pt idx="2">
                  <c:v>v1.17</c:v>
                </c:pt>
                <c:pt idx="3">
                  <c:v>v1.18</c:v>
                </c:pt>
                <c:pt idx="4">
                  <c:v>v1.19</c:v>
                </c:pt>
                <c:pt idx="5">
                  <c:v>v1.20</c:v>
                </c:pt>
                <c:pt idx="6">
                  <c:v>v1.21</c:v>
                </c:pt>
                <c:pt idx="7">
                  <c:v>v1.22</c:v>
                </c:pt>
                <c:pt idx="8">
                  <c:v>v1.23</c:v>
                </c:pt>
                <c:pt idx="9">
                  <c:v>v1.24</c:v>
                </c:pt>
                <c:pt idx="10">
                  <c:v>v1.25</c:v>
                </c:pt>
                <c:pt idx="11">
                  <c:v>v1.26</c:v>
                </c:pt>
                <c:pt idx="12">
                  <c:v>v1.27</c:v>
                </c:pt>
                <c:pt idx="13">
                  <c:v>v1.28</c:v>
                </c:pt>
                <c:pt idx="14">
                  <c:v>v1.29</c:v>
                </c:pt>
                <c:pt idx="15">
                  <c:v>v1.30</c:v>
                </c:pt>
                <c:pt idx="16">
                  <c:v>v1.31</c:v>
                </c:pt>
                <c:pt idx="17">
                  <c:v>v1.32</c:v>
                </c:pt>
                <c:pt idx="18">
                  <c:v>v1.33</c:v>
                </c:pt>
                <c:pt idx="19">
                  <c:v>v1.34</c:v>
                </c:pt>
              </c:strCache>
            </c:strRef>
          </c:cat>
          <c:val>
            <c:numRef>
              <c:f>'Humi-BugTrend'!$G$2:$G$21</c:f>
              <c:numCache>
                <c:formatCode>General</c:formatCode>
                <c:ptCount val="20"/>
                <c:pt idx="0">
                  <c:v>92</c:v>
                </c:pt>
                <c:pt idx="1">
                  <c:v>59</c:v>
                </c:pt>
                <c:pt idx="2">
                  <c:v>168</c:v>
                </c:pt>
                <c:pt idx="3">
                  <c:v>156</c:v>
                </c:pt>
                <c:pt idx="4">
                  <c:v>76</c:v>
                </c:pt>
                <c:pt idx="5">
                  <c:v>61</c:v>
                </c:pt>
                <c:pt idx="6">
                  <c:v>46</c:v>
                </c:pt>
                <c:pt idx="7">
                  <c:v>42</c:v>
                </c:pt>
                <c:pt idx="8">
                  <c:v>33</c:v>
                </c:pt>
                <c:pt idx="9">
                  <c:v>25</c:v>
                </c:pt>
                <c:pt idx="10">
                  <c:v>55</c:v>
                </c:pt>
                <c:pt idx="11">
                  <c:v>38</c:v>
                </c:pt>
                <c:pt idx="12">
                  <c:v>33</c:v>
                </c:pt>
                <c:pt idx="13">
                  <c:v>28</c:v>
                </c:pt>
                <c:pt idx="14">
                  <c:v>1</c:v>
                </c:pt>
                <c:pt idx="15">
                  <c:v>7</c:v>
                </c:pt>
                <c:pt idx="16">
                  <c:v>11</c:v>
                </c:pt>
                <c:pt idx="17">
                  <c:v>8</c:v>
                </c:pt>
                <c:pt idx="18">
                  <c:v>26</c:v>
                </c:pt>
                <c:pt idx="19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C1-4D16-B4F6-2327529C3DB3}"/>
            </c:ext>
          </c:extLst>
        </c:ser>
        <c:ser>
          <c:idx val="6"/>
          <c:order val="6"/>
          <c:tx>
            <c:strRef>
              <c:f>'Humi-BugTrend'!$H$1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'Humi-BugTrend'!$A$2:$A$21</c:f>
              <c:strCache>
                <c:ptCount val="20"/>
                <c:pt idx="0">
                  <c:v>v1.15</c:v>
                </c:pt>
                <c:pt idx="1">
                  <c:v>v1.16</c:v>
                </c:pt>
                <c:pt idx="2">
                  <c:v>v1.17</c:v>
                </c:pt>
                <c:pt idx="3">
                  <c:v>v1.18</c:v>
                </c:pt>
                <c:pt idx="4">
                  <c:v>v1.19</c:v>
                </c:pt>
                <c:pt idx="5">
                  <c:v>v1.20</c:v>
                </c:pt>
                <c:pt idx="6">
                  <c:v>v1.21</c:v>
                </c:pt>
                <c:pt idx="7">
                  <c:v>v1.22</c:v>
                </c:pt>
                <c:pt idx="8">
                  <c:v>v1.23</c:v>
                </c:pt>
                <c:pt idx="9">
                  <c:v>v1.24</c:v>
                </c:pt>
                <c:pt idx="10">
                  <c:v>v1.25</c:v>
                </c:pt>
                <c:pt idx="11">
                  <c:v>v1.26</c:v>
                </c:pt>
                <c:pt idx="12">
                  <c:v>v1.27</c:v>
                </c:pt>
                <c:pt idx="13">
                  <c:v>v1.28</c:v>
                </c:pt>
                <c:pt idx="14">
                  <c:v>v1.29</c:v>
                </c:pt>
                <c:pt idx="15">
                  <c:v>v1.30</c:v>
                </c:pt>
                <c:pt idx="16">
                  <c:v>v1.31</c:v>
                </c:pt>
                <c:pt idx="17">
                  <c:v>v1.32</c:v>
                </c:pt>
                <c:pt idx="18">
                  <c:v>v1.33</c:v>
                </c:pt>
                <c:pt idx="19">
                  <c:v>v1.34</c:v>
                </c:pt>
              </c:strCache>
            </c:strRef>
          </c:cat>
          <c:val>
            <c:numRef>
              <c:f>'Humi-BugTrend'!$H$2:$H$21</c:f>
              <c:numCache>
                <c:formatCode>General</c:formatCode>
                <c:ptCount val="20"/>
                <c:pt idx="0">
                  <c:v>101</c:v>
                </c:pt>
                <c:pt idx="1">
                  <c:v>66</c:v>
                </c:pt>
                <c:pt idx="2">
                  <c:v>193</c:v>
                </c:pt>
                <c:pt idx="3">
                  <c:v>187</c:v>
                </c:pt>
                <c:pt idx="4">
                  <c:v>91</c:v>
                </c:pt>
                <c:pt idx="5">
                  <c:v>77</c:v>
                </c:pt>
                <c:pt idx="6">
                  <c:v>53</c:v>
                </c:pt>
                <c:pt idx="7">
                  <c:v>62</c:v>
                </c:pt>
                <c:pt idx="8">
                  <c:v>51</c:v>
                </c:pt>
                <c:pt idx="9">
                  <c:v>51</c:v>
                </c:pt>
                <c:pt idx="10">
                  <c:v>70</c:v>
                </c:pt>
                <c:pt idx="11">
                  <c:v>48</c:v>
                </c:pt>
                <c:pt idx="12">
                  <c:v>38</c:v>
                </c:pt>
                <c:pt idx="13">
                  <c:v>40</c:v>
                </c:pt>
                <c:pt idx="14">
                  <c:v>3</c:v>
                </c:pt>
                <c:pt idx="15">
                  <c:v>22</c:v>
                </c:pt>
                <c:pt idx="16">
                  <c:v>12</c:v>
                </c:pt>
                <c:pt idx="17" formatCode="0">
                  <c:v>13</c:v>
                </c:pt>
                <c:pt idx="18" formatCode="0">
                  <c:v>47</c:v>
                </c:pt>
                <c:pt idx="19" formatCode="0">
                  <c:v>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DC1-4D16-B4F6-2327529C3D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67800655"/>
        <c:axId val="1167802383"/>
      </c:barChart>
      <c:catAx>
        <c:axId val="1167800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802383"/>
        <c:crosses val="autoZero"/>
        <c:auto val="1"/>
        <c:lblAlgn val="ctr"/>
        <c:lblOffset val="100"/>
        <c:noMultiLvlLbl val="0"/>
      </c:catAx>
      <c:valAx>
        <c:axId val="116780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8006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SOVA - Bug trend (Per Sprint)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'SOVA-BugTrend'!$B$1</c:f>
              <c:strCache>
                <c:ptCount val="1"/>
                <c:pt idx="0">
                  <c:v>To Do (0%)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'SOVA-BugTrend'!$A$2:$A$20</c:f>
              <c:strCache>
                <c:ptCount val="19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  <c:pt idx="18">
                  <c:v>y25w52</c:v>
                </c:pt>
              </c:strCache>
            </c:strRef>
          </c:cat>
          <c:val>
            <c:numRef>
              <c:f>'SOVA-BugTrend'!$B$2:$B$20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9</c:v>
                </c:pt>
                <c:pt idx="17">
                  <c:v>18</c:v>
                </c:pt>
                <c:pt idx="18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FD-E249-9004-FD6F8F48AD9B}"/>
            </c:ext>
          </c:extLst>
        </c:ser>
        <c:ser>
          <c:idx val="1"/>
          <c:order val="1"/>
          <c:tx>
            <c:strRef>
              <c:f>'SOVA-BugTrend'!$C$1</c:f>
              <c:strCache>
                <c:ptCount val="1"/>
                <c:pt idx="0">
                  <c:v>STARTING (10 ~ 40%)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'SOVA-BugTrend'!$A$2:$A$20</c:f>
              <c:strCache>
                <c:ptCount val="19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  <c:pt idx="18">
                  <c:v>y25w52</c:v>
                </c:pt>
              </c:strCache>
            </c:strRef>
          </c:cat>
          <c:val>
            <c:numRef>
              <c:f>'SOVA-BugTrend'!$C$2:$C$20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2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FD-E249-9004-FD6F8F48AD9B}"/>
            </c:ext>
          </c:extLst>
        </c:ser>
        <c:ser>
          <c:idx val="2"/>
          <c:order val="2"/>
          <c:tx>
            <c:strRef>
              <c:f>'SOVA-BugTrend'!$D$1</c:f>
              <c:strCache>
                <c:ptCount val="1"/>
                <c:pt idx="0">
                  <c:v>In Progress (50 ~ 70%)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'SOVA-BugTrend'!$A$2:$A$20</c:f>
              <c:strCache>
                <c:ptCount val="19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  <c:pt idx="18">
                  <c:v>y25w52</c:v>
                </c:pt>
              </c:strCache>
            </c:strRef>
          </c:cat>
          <c:val>
            <c:numRef>
              <c:f>'SOVA-BugTrend'!$D$2:$D$20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2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FD-E249-9004-FD6F8F48AD9B}"/>
            </c:ext>
          </c:extLst>
        </c:ser>
        <c:ser>
          <c:idx val="3"/>
          <c:order val="3"/>
          <c:tx>
            <c:strRef>
              <c:f>'SOVA-BugTrend'!$E$1</c:f>
              <c:strCache>
                <c:ptCount val="1"/>
                <c:pt idx="0">
                  <c:v>IN REVIEW (80%)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'SOVA-BugTrend'!$A$2:$A$20</c:f>
              <c:strCache>
                <c:ptCount val="19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  <c:pt idx="18">
                  <c:v>y25w52</c:v>
                </c:pt>
              </c:strCache>
            </c:strRef>
          </c:cat>
          <c:val>
            <c:numRef>
              <c:f>'SOVA-BugTrend'!$E$2:$E$20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4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FD-E249-9004-FD6F8F48AD9B}"/>
            </c:ext>
          </c:extLst>
        </c:ser>
        <c:ser>
          <c:idx val="4"/>
          <c:order val="4"/>
          <c:tx>
            <c:strRef>
              <c:f>'SOVA-BugTrend'!$F$1</c:f>
              <c:strCache>
                <c:ptCount val="1"/>
                <c:pt idx="0">
                  <c:v>Done (100%)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'SOVA-BugTrend'!$A$2:$A$20</c:f>
              <c:strCache>
                <c:ptCount val="19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  <c:pt idx="18">
                  <c:v>y25w52</c:v>
                </c:pt>
              </c:strCache>
            </c:strRef>
          </c:cat>
          <c:val>
            <c:numRef>
              <c:f>'SOVA-BugTrend'!$F$2:$F$20</c:f>
              <c:numCache>
                <c:formatCode>General</c:formatCode>
                <c:ptCount val="19"/>
                <c:pt idx="0">
                  <c:v>20</c:v>
                </c:pt>
                <c:pt idx="1">
                  <c:v>20</c:v>
                </c:pt>
                <c:pt idx="2">
                  <c:v>16</c:v>
                </c:pt>
                <c:pt idx="3">
                  <c:v>16</c:v>
                </c:pt>
                <c:pt idx="4">
                  <c:v>55</c:v>
                </c:pt>
                <c:pt idx="5">
                  <c:v>35</c:v>
                </c:pt>
                <c:pt idx="6">
                  <c:v>39</c:v>
                </c:pt>
                <c:pt idx="7">
                  <c:v>39</c:v>
                </c:pt>
                <c:pt idx="8">
                  <c:v>45</c:v>
                </c:pt>
                <c:pt idx="9">
                  <c:v>18</c:v>
                </c:pt>
                <c:pt idx="10">
                  <c:v>25</c:v>
                </c:pt>
                <c:pt idx="11">
                  <c:v>45</c:v>
                </c:pt>
                <c:pt idx="12">
                  <c:v>24</c:v>
                </c:pt>
                <c:pt idx="13">
                  <c:v>43</c:v>
                </c:pt>
                <c:pt idx="14">
                  <c:v>35</c:v>
                </c:pt>
                <c:pt idx="15">
                  <c:v>28</c:v>
                </c:pt>
                <c:pt idx="16">
                  <c:v>32</c:v>
                </c:pt>
                <c:pt idx="17">
                  <c:v>5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1FD-E249-9004-FD6F8F48AD9B}"/>
            </c:ext>
          </c:extLst>
        </c:ser>
        <c:ser>
          <c:idx val="5"/>
          <c:order val="5"/>
          <c:tx>
            <c:strRef>
              <c:f>'SOVA-BugTrend'!$G$1</c:f>
              <c:strCache>
                <c:ptCount val="1"/>
                <c:pt idx="0">
                  <c:v>WON'T DO (100%)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'SOVA-BugTrend'!$A$2:$A$20</c:f>
              <c:strCache>
                <c:ptCount val="19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  <c:pt idx="18">
                  <c:v>y25w52</c:v>
                </c:pt>
              </c:strCache>
            </c:strRef>
          </c:cat>
          <c:val>
            <c:numRef>
              <c:f>'SOVA-BugTrend'!$G$2:$G$20</c:f>
              <c:numCache>
                <c:formatCode>General</c:formatCode>
                <c:ptCount val="19"/>
                <c:pt idx="0">
                  <c:v>3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4</c:v>
                </c:pt>
                <c:pt idx="5">
                  <c:v>4</c:v>
                </c:pt>
                <c:pt idx="6">
                  <c:v>2</c:v>
                </c:pt>
                <c:pt idx="7">
                  <c:v>6</c:v>
                </c:pt>
                <c:pt idx="8">
                  <c:v>7</c:v>
                </c:pt>
                <c:pt idx="9">
                  <c:v>1</c:v>
                </c:pt>
                <c:pt idx="10">
                  <c:v>4</c:v>
                </c:pt>
                <c:pt idx="11">
                  <c:v>5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DA-448B-9495-5C7B740944E9}"/>
            </c:ext>
          </c:extLst>
        </c:ser>
        <c:ser>
          <c:idx val="6"/>
          <c:order val="6"/>
          <c:tx>
            <c:strRef>
              <c:f>'SOVA-BugTrend'!$H$1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'SOVA-BugTrend'!$A$2:$A$20</c:f>
              <c:strCache>
                <c:ptCount val="19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  <c:pt idx="18">
                  <c:v>y25w52</c:v>
                </c:pt>
              </c:strCache>
            </c:strRef>
          </c:cat>
          <c:val>
            <c:numRef>
              <c:f>'SOVA-BugTrend'!$H$2:$H$20</c:f>
              <c:numCache>
                <c:formatCode>General</c:formatCode>
                <c:ptCount val="19"/>
                <c:pt idx="0">
                  <c:v>23</c:v>
                </c:pt>
                <c:pt idx="1">
                  <c:v>22</c:v>
                </c:pt>
                <c:pt idx="2">
                  <c:v>18</c:v>
                </c:pt>
                <c:pt idx="3">
                  <c:v>18</c:v>
                </c:pt>
                <c:pt idx="4">
                  <c:v>59</c:v>
                </c:pt>
                <c:pt idx="5">
                  <c:v>39</c:v>
                </c:pt>
                <c:pt idx="6">
                  <c:v>42</c:v>
                </c:pt>
                <c:pt idx="7">
                  <c:v>46</c:v>
                </c:pt>
                <c:pt idx="8">
                  <c:v>53</c:v>
                </c:pt>
                <c:pt idx="9">
                  <c:v>20</c:v>
                </c:pt>
                <c:pt idx="10">
                  <c:v>32</c:v>
                </c:pt>
                <c:pt idx="11">
                  <c:v>53</c:v>
                </c:pt>
                <c:pt idx="12">
                  <c:v>25</c:v>
                </c:pt>
                <c:pt idx="13">
                  <c:v>43</c:v>
                </c:pt>
                <c:pt idx="14">
                  <c:v>35</c:v>
                </c:pt>
                <c:pt idx="15">
                  <c:v>28</c:v>
                </c:pt>
                <c:pt idx="16">
                  <c:v>43</c:v>
                </c:pt>
                <c:pt idx="17">
                  <c:v>31</c:v>
                </c:pt>
                <c:pt idx="18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6C-4534-BBE6-84C693F680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7710415"/>
        <c:axId val="1167712127"/>
      </c:barChart>
      <c:catAx>
        <c:axId val="1167710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712127"/>
        <c:crosses val="autoZero"/>
        <c:auto val="1"/>
        <c:lblAlgn val="ctr"/>
        <c:lblOffset val="100"/>
        <c:noMultiLvlLbl val="0"/>
      </c:catAx>
      <c:valAx>
        <c:axId val="1167712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710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85725</xdr:colOff>
      <xdr:row>22</xdr:row>
      <xdr:rowOff>171448</xdr:rowOff>
    </xdr:from>
    <xdr:to>
      <xdr:col>8</xdr:col>
      <xdr:colOff>95250</xdr:colOff>
      <xdr:row>51</xdr:row>
      <xdr:rowOff>133348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3E0D20-FFE1-49A2-4F00-0445F88FBE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114300</xdr:rowOff>
    </xdr:from>
    <xdr:to>
      <xdr:col>6</xdr:col>
      <xdr:colOff>1028700</xdr:colOff>
      <xdr:row>45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30293B-65AB-35A9-35DC-D9A36AA778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28</xdr:row>
      <xdr:rowOff>69662</xdr:rowOff>
    </xdr:from>
    <xdr:to>
      <xdr:col>6</xdr:col>
      <xdr:colOff>1057275</xdr:colOff>
      <xdr:row>57</xdr:row>
      <xdr:rowOff>31562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643432-D826-4A5B-E6D2-51F4E1DB44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95250</xdr:colOff>
      <xdr:row>25</xdr:row>
      <xdr:rowOff>95250</xdr:rowOff>
    </xdr:from>
    <xdr:to>
      <xdr:col>8</xdr:col>
      <xdr:colOff>409575</xdr:colOff>
      <xdr:row>54</xdr:row>
      <xdr:rowOff>41274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9359BE9-9442-1FA5-2ADA-BFB3538412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22</xdr:row>
      <xdr:rowOff>174625</xdr:rowOff>
    </xdr:from>
    <xdr:to>
      <xdr:col>7</xdr:col>
      <xdr:colOff>200025</xdr:colOff>
      <xdr:row>51</xdr:row>
      <xdr:rowOff>174625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82B5FB-149B-FE72-E492-265E1391AC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949CE-F107-4F66-9A7B-4594AB1D83D9}" name="Table2" displayName="Table2" ref="A1:E19" totalsRowShown="0" headerRowDxfId="33">
  <autoFilter ref="A1:E19" xr:uid="{423949CE-F107-4F66-9A7B-4594AB1D83D9}"/>
  <tableColumns count="5">
    <tableColumn id="1" xr3:uid="{F25F0D34-0297-4771-8BBB-350BCDD85D46}" name="Week"/>
    <tableColumn id="2" xr3:uid="{39CFCD12-3130-47A8-A140-DBF602F1743D}" name="Done"/>
    <tableColumn id="3" xr3:uid="{D3E7F733-4867-4C24-B87C-F816735DED78}" name="In Review/Progress"/>
    <tableColumn id="4" xr3:uid="{5A6545FA-F961-4A11-B767-C7EA402E5E5A}" name="TODO (P1)"/>
    <tableColumn id="5" xr3:uid="{AA46DC09-2F2B-4052-AB45-826AC56CB7B5}" name="Total" dataDxfId="32">
      <calculatedColumnFormula>SUM(Table2[[#This Row],[Done]:[TODO (P1)]])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2B6291-7056-475B-AE1E-CA59C524E5F1}" name="Table1" displayName="Table1" ref="A1:H14" totalsRowShown="0" headerRowDxfId="31">
  <autoFilter ref="A1:H14" xr:uid="{E42B6291-7056-475B-AE1E-CA59C524E5F1}"/>
  <tableColumns count="8">
    <tableColumn id="1" xr3:uid="{9154D4F8-C83D-4DB9-9182-818F32FA7C26}" name="Versions"/>
    <tableColumn id="2" xr3:uid="{1FE19FA2-B8BE-47BC-9953-F802445DE79D}" name="Passed"/>
    <tableColumn id="3" xr3:uid="{A28B8AC3-7E86-4783-B12A-4FCADF7F2151}" name="Blocked"/>
    <tableColumn id="4" xr3:uid="{9A6CFB2B-CF9D-44BB-BE22-5C680670EAE0}" name="Known Issue"/>
    <tableColumn id="5" xr3:uid="{DC0F99B4-F7A9-4F8A-BBA0-6D907EC37C98}" name="Failed"/>
    <tableColumn id="6" xr3:uid="{2F758004-8A07-4C9F-A1EF-D5DABF4F31F0}" name="Partially Failed"/>
    <tableColumn id="7" xr3:uid="{DA700F0A-CDCF-4F77-AE73-82D409134037}" name="Untested"/>
    <tableColumn id="8" xr3:uid="{F186EC08-2AB3-485D-B982-BDBCE5ABE745}" name="Total">
      <calculatedColumnFormula>SUM(B2:G2)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1F3BE9-C534-4A83-AA30-CE297DF28DB5}" name="Table3" displayName="Table3" ref="A1:H24" totalsRowShown="0" headerRowDxfId="30">
  <autoFilter ref="A1:H24" xr:uid="{E31F3BE9-C534-4A83-AA30-CE297DF28DB5}"/>
  <tableColumns count="8">
    <tableColumn id="1" xr3:uid="{8103CDF3-74DC-4B31-821D-E20368EA5455}" name="Versions"/>
    <tableColumn id="2" xr3:uid="{6C3B261F-FA51-42D2-821A-F22633569372}" name="Passed"/>
    <tableColumn id="3" xr3:uid="{BC949668-17A9-4E54-BE70-E54A03F2100E}" name="Blocked"/>
    <tableColumn id="4" xr3:uid="{E96EB15B-5BAC-4B8A-A79F-56B0E1546396}" name="Known Issue"/>
    <tableColumn id="5" xr3:uid="{41B83D2F-6D51-4667-B2B2-F76F6482C1D1}" name="Failed"/>
    <tableColumn id="6" xr3:uid="{26F61733-CA12-4B2B-8922-ABF23FA1A0CF}" name="Partially Failed"/>
    <tableColumn id="7" xr3:uid="{D40FAE8C-0F59-4E72-8577-B404EAC3FBFC}" name="Untested"/>
    <tableColumn id="8" xr3:uid="{9EDBB1BE-19AD-4F52-9FAF-1ED9F6FC2EBD}" name="Total" dataDxfId="29">
      <calculatedColumnFormula>SUM(Table3[[#This Row],[Passed]:[Untested]])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4AD0B7A-EC5B-4838-AC2B-8475A3B6644B}" name="Table7" displayName="Table7" ref="A1:H21" totalsRowShown="0" headerRowDxfId="28">
  <autoFilter ref="A1:H21" xr:uid="{E4AD0B7A-EC5B-4838-AC2B-8475A3B6644B}"/>
  <tableColumns count="8">
    <tableColumn id="1" xr3:uid="{58F8A895-CEBE-41D2-B7BB-1681C0697C85}" name="Version"/>
    <tableColumn id="2" xr3:uid="{CE08A48D-2419-484B-993C-54A546869B61}" name="To Do" dataDxfId="27"/>
    <tableColumn id="3" xr3:uid="{FC519478-6B36-4D96-93F3-3AF4B1D70F3E}" name="In Progress" dataDxfId="26"/>
    <tableColumn id="5" xr3:uid="{52258D92-71B9-4E63-A3AA-5ABE6B4F3D23}" name="In Review" dataDxfId="25"/>
    <tableColumn id="4" xr3:uid="{C5EE39F3-E9DF-4F2E-9576-6DDB97E21DB3}" name="In QA" dataDxfId="24"/>
    <tableColumn id="6" xr3:uid="{CC106112-C63E-4AA5-9AAA-D0A99983E0DD}" name="Internal Test" dataDxfId="23"/>
    <tableColumn id="7" xr3:uid="{C69EECCF-E5E5-4372-B171-2B35FE10B60D}" name="Done" dataDxfId="22"/>
    <tableColumn id="8" xr3:uid="{C7A900BC-8967-4049-AE22-7F9EDE21E913}" name="Total" dataDxfId="21" totalsRowDxfId="20">
      <calculatedColumnFormula>SUM(Table7[[#This Row],[To Do]:[Done]])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8F5145-A108-41DB-B2C3-516BE7C86923}" name="Table5" displayName="Table5" ref="A1:H20" totalsRowShown="0" headerRowDxfId="19" dataDxfId="17" headerRowBorderDxfId="18" tableBorderDxfId="16" totalsRowBorderDxfId="15" dataCellStyle="Hyperlink">
  <autoFilter ref="A1:H20" xr:uid="{108F5145-A108-41DB-B2C3-516BE7C86923}"/>
  <tableColumns count="8">
    <tableColumn id="1" xr3:uid="{5BE08AE0-E0B5-4B46-9423-456B88C2D9BC}" name="Sprint" dataDxfId="14"/>
    <tableColumn id="2" xr3:uid="{030F9647-4FC0-4C7E-9B3A-AB099CC59EBA}" name="To Do (0%)" dataDxfId="5" dataCellStyle="Hyperlink"/>
    <tableColumn id="3" xr3:uid="{7D2923F3-E2CF-4FD9-A7A5-68C36BB95591}" name="STARTING (10 ~ 40%)" dataDxfId="4" dataCellStyle="Hyperlink"/>
    <tableColumn id="4" xr3:uid="{48FB5317-7F3B-4F74-B244-5A49C7749EBD}" name="In Progress (50 ~ 70%)" dataDxfId="3" dataCellStyle="Hyperlink"/>
    <tableColumn id="5" xr3:uid="{86F5CCB5-C4C2-4C36-935A-657F085500B1}" name="IN REVIEW (80%)" dataDxfId="2" dataCellStyle="Hyperlink"/>
    <tableColumn id="6" xr3:uid="{33C9BCE6-D9EB-4032-9B0A-DDD9A4051A2D}" name="Done (100%)" dataDxfId="1" dataCellStyle="Hyperlink"/>
    <tableColumn id="8" xr3:uid="{D624FC89-A88E-45AC-9D22-66D66702B8C5}" name="WON'T DO (100%)" dataDxfId="0" dataCellStyle="Hyperlink"/>
    <tableColumn id="7" xr3:uid="{EFEEB7EC-E2D1-40EA-B265-A558311E5D30}" name="Total" dataDxfId="13" dataCellStyle="Hyperlink">
      <calculatedColumnFormula>SUM(Table5[[#This Row],[To Do (0%)]:[WON''T DO (100%)]])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C55E946-0086-4A42-AEAE-DA5ED4E8BB10}" name="Table25" displayName="Table25" ref="A1:E11" totalsRowShown="0" headerRowDxfId="12" dataDxfId="11">
  <autoFilter ref="A1:E11" xr:uid="{2C55E946-0086-4A42-AEAE-DA5ED4E8BB10}"/>
  <tableColumns count="5">
    <tableColumn id="1" xr3:uid="{7070D9F2-0ED1-4F39-8D72-28B37C8E98F2}" name="Week" dataDxfId="10"/>
    <tableColumn id="2" xr3:uid="{1173F443-CC27-4C6E-A432-BF66DB2A740E}" name="Done" dataDxfId="9"/>
    <tableColumn id="3" xr3:uid="{2EE10CB5-1AF1-4B50-9456-B3A666DD5338}" name="In Review/Progress" dataDxfId="8"/>
    <tableColumn id="4" xr3:uid="{328D0A00-85F0-4BFF-81FE-C023998A3701}" name="TODO (P1)" dataDxfId="7"/>
    <tableColumn id="5" xr3:uid="{E385808E-1FCD-451C-9807-DAF18A42B704}" name="Total" dataDxfId="6">
      <calculatedColumnFormula>SUM(Table25[[#This Row],[Done]:[TODO (P1)]])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xrspace.atlassian.net/issues/?jql=created+%3E%3D+2025-01-01+AND+created+%3C%3D+2025-12-31+AND+type+%3D+Bug+AND+project+%3D+SOVA+AND+Sprint+%3D+1498+AND+status+%3D+%22In+Progress+%2850+%7E+70%25%29%22" TargetMode="External"/><Relationship Id="rId117" Type="http://schemas.openxmlformats.org/officeDocument/2006/relationships/table" Target="../tables/table5.xml"/><Relationship Id="rId21" Type="http://schemas.openxmlformats.org/officeDocument/2006/relationships/hyperlink" Target="https://xrspace.atlassian.net/issues/?jql=created+%3E%3D+2025-01-01+AND+created+%3C%3D+2025-12-31+AND+type+%3D+Bug+AND+project+%3D+SOVA+AND+Sprint+%3D+1497+AND+status+%3D+%22Done+%28100%25%29%22" TargetMode="External"/><Relationship Id="rId42" Type="http://schemas.openxmlformats.org/officeDocument/2006/relationships/hyperlink" Target="https://xrspace.atlassian.net/issues/?jql=created+%3E%3D+2025-01-01+AND+created+%3C%3D+2025-12-31+AND+type+%3D+Bug+AND+project+%3D+SOVA+AND+Sprint+%3D+2156+AND+status+%3D+%22STARTING+%2810+%7E+40%25%29%22" TargetMode="External"/><Relationship Id="rId47" Type="http://schemas.openxmlformats.org/officeDocument/2006/relationships/hyperlink" Target="https://xrspace.atlassian.net/issues/?jql=created+%3E%3D+2025-01-01+AND+created+%3C%3D+2025-12-31+AND+type+%3D+Bug+AND+project+%3D+SOVA+AND+Sprint+%3D+2157+AND+status+%3D+%22WON%27T+DO+%28100%25%29%22" TargetMode="External"/><Relationship Id="rId63" Type="http://schemas.openxmlformats.org/officeDocument/2006/relationships/hyperlink" Target="https://xrspace.atlassian.net/issues/?jql=created+%3E%3D+2025-01-01+AND+created+%3C%3D+2025-12-31+AND+type+%3D+Bug+AND+project+%3D+SOVA+AND+Sprint+%3D+2882+AND+status+%3D+%22Done+%28100%25%29%22" TargetMode="External"/><Relationship Id="rId68" Type="http://schemas.openxmlformats.org/officeDocument/2006/relationships/hyperlink" Target="https://xrspace.atlassian.net/issues/?jql=created+%3E%3D+2025-01-01+AND+created+%3C%3D+2025-12-31+AND+type+%3D+Bug+AND+project+%3D+SOVA+AND+Sprint+%3D+3213+AND+status+%3D+%22In+Progress+%2850+%7E+70%25%29%22" TargetMode="External"/><Relationship Id="rId84" Type="http://schemas.openxmlformats.org/officeDocument/2006/relationships/hyperlink" Target="https://xrspace.atlassian.net/issues/?jql=created+%3E%3D+2025-01-01+AND+created+%3C%3D+2025-12-31+AND+type+%3D+Bug+AND+project+%3D+SOVA+AND+Sprint+%3D+3246+AND+status+%3D+%22STARTING+%2810+%7E+40%25%29%22" TargetMode="External"/><Relationship Id="rId89" Type="http://schemas.openxmlformats.org/officeDocument/2006/relationships/hyperlink" Target="https://xrspace.atlassian.net/issues/?jql=created+%3E%3D+2025-01-01+AND+created+%3C%3D+2025-12-31+AND+type+%3D+Bug+AND+project+%3D+SOVA+AND+Sprint+%3D+3575+AND+status+%3D+%22WON%27T+DO+%28100%25%29%22" TargetMode="External"/><Relationship Id="rId112" Type="http://schemas.openxmlformats.org/officeDocument/2006/relationships/hyperlink" Target="https://xrspace.atlassian.net/issues/?jql=created+%3E%3D+2025-01-01+AND+created+%3C%3D+2025-12-31+AND+type+%3D+Bug+AND+project+%3D+SOVA+AND+Sprint+%3D+4140+AND+status+%3D+%22IN+REVIEW+%2880%25%29%22" TargetMode="External"/><Relationship Id="rId16" Type="http://schemas.openxmlformats.org/officeDocument/2006/relationships/hyperlink" Target="https://xrspace.atlassian.net/issues/?jql=created+%3E%3D+2025-01-01+AND+created+%3C%3D+2025-12-31+AND+type+%3D+Bug+AND+project+%3D+SOVA+AND+Sprint+%3D+1496+AND+status+%3D+%22IN+REVIEW+%2880%25%29%22" TargetMode="External"/><Relationship Id="rId107" Type="http://schemas.openxmlformats.org/officeDocument/2006/relationships/hyperlink" Target="https://xrspace.atlassian.net/issues/?jql=created+%3E%3D+2025-01-01+AND+created+%3C%3D+2025-12-31+AND+type+%3D+Bug+AND+project+%3D+SOVA+AND+Sprint+%3D+3873+AND+status+%3D+%22WON%27T+DO+%28100%25%29%22" TargetMode="External"/><Relationship Id="rId11" Type="http://schemas.openxmlformats.org/officeDocument/2006/relationships/hyperlink" Target="https://xrspace.atlassian.net/issues/?jql=created+%3E%3D+2025-01-01+AND+created+%3C%3D+2025-12-31+AND+type+%3D+Bug+AND+project+%3D+SOVA+AND+Sprint+%3D+1466+AND+status+%3D+%22WON%27T+DO+%28100%25%29%22" TargetMode="External"/><Relationship Id="rId32" Type="http://schemas.openxmlformats.org/officeDocument/2006/relationships/hyperlink" Target="https://xrspace.atlassian.net/issues/?jql=created+%3E%3D+2025-01-01+AND+created+%3C%3D+2025-12-31+AND+type+%3D+Bug+AND+project+%3D+SOVA+AND+Sprint+%3D+1499+AND+status+%3D+%22In+Progress+%2850+%7E+70%25%29%22" TargetMode="External"/><Relationship Id="rId37" Type="http://schemas.openxmlformats.org/officeDocument/2006/relationships/hyperlink" Target="https://xrspace.atlassian.net/issues/?jql=created+%3E%3D+2025-01-01+AND+created+%3C%3D+2025-12-31+AND+type+%3D+Bug+AND+project+%3D+SOVA+AND+Sprint+%3D+2156+AND+status+%3D+%22To+Do+%280%25%29%22" TargetMode="External"/><Relationship Id="rId53" Type="http://schemas.openxmlformats.org/officeDocument/2006/relationships/hyperlink" Target="https://xrspace.atlassian.net/issues/?jql=created+%3E%3D+2025-01-01+AND+created+%3C%3D+2025-12-31+AND+type+%3D+Bug+AND+project+%3D+SOVA+AND+Sprint+%3D+2618+AND+status+%3D+%22WON%27T+DO+%28100%25%29%22" TargetMode="External"/><Relationship Id="rId58" Type="http://schemas.openxmlformats.org/officeDocument/2006/relationships/hyperlink" Target="https://xrspace.atlassian.net/issues/?jql=created+%3E%3D+2025-01-01+AND+created+%3C%3D+2025-12-31+AND+type+%3D+Bug+AND+project+%3D+SOVA+AND+Sprint+%3D+2619+AND+status+%3D+%22IN+REVIEW+%2880%25%29%22" TargetMode="External"/><Relationship Id="rId74" Type="http://schemas.openxmlformats.org/officeDocument/2006/relationships/hyperlink" Target="https://xrspace.atlassian.net/issues/?jql=created+%3E%3D+2025-01-01+AND+created+%3C%3D+2025-12-31+AND+type+%3D+Bug+AND+project+%3D+SOVA+AND+Sprint+%3D+3245+AND+status+%3D+%22In+Progress+%2850+%7E+70%25%29%22" TargetMode="External"/><Relationship Id="rId79" Type="http://schemas.openxmlformats.org/officeDocument/2006/relationships/hyperlink" Target="https://xrspace.atlassian.net/issues/?jql=created+%3E%3D+2025-01-01+AND+created+%3C%3D+2025-12-31+AND+type+%3D+Bug+AND+project+%3D+SOVA+AND+Sprint+%3D+3246+AND+status+%3D+%22To+Do+%280%25%29%22" TargetMode="External"/><Relationship Id="rId102" Type="http://schemas.openxmlformats.org/officeDocument/2006/relationships/hyperlink" Target="https://xrspace.atlassian.net/issues/?jql=created+%3E%3D+2025-01-01+AND+created+%3C%3D+2025-12-31+AND+type+%3D+Bug+AND+project+%3D+SOVA+AND+Sprint+%3D+3872+AND+status+%3D+%22STARTING+%2810+%7E+40%25%29%22" TargetMode="External"/><Relationship Id="rId5" Type="http://schemas.openxmlformats.org/officeDocument/2006/relationships/hyperlink" Target="https://xrspace.atlassian.net/issues/?jql=created+%3E%3D+2025-01-01+AND+created+%3C%3D+2025-12-31+AND+type+%3D+Bug+AND+project+%3D+SOVA+AND+Sprint+%3D+1463+AND+status+%3D+%22WON%27T+DO+%28100%25%29%22" TargetMode="External"/><Relationship Id="rId90" Type="http://schemas.openxmlformats.org/officeDocument/2006/relationships/hyperlink" Target="https://xrspace.atlassian.net/issues/?jql=created+%3E%3D+2025-01-01+AND+created+%3C%3D+2025-12-31+AND+type+%3D+Bug+AND+project+%3D+SOVA+AND+Sprint+%3D+3575+AND+status+%3D+%22STARTING+%2810+%7E+40%25%29%22" TargetMode="External"/><Relationship Id="rId95" Type="http://schemas.openxmlformats.org/officeDocument/2006/relationships/hyperlink" Target="https://xrspace.atlassian.net/issues/?jql=created+%3E%3D+2025-01-01+AND+created+%3C%3D+2025-12-31+AND+type+%3D+Bug+AND+project+%3D+SOVA+AND+Sprint+%3D+3608+AND+status+%3D+%22WON%27T+DO+%28100%25%29%22" TargetMode="External"/><Relationship Id="rId22" Type="http://schemas.openxmlformats.org/officeDocument/2006/relationships/hyperlink" Target="https://xrspace.atlassian.net/issues/?jql=created+%3E%3D+2025-01-01+AND+created+%3C%3D+2025-12-31+AND+type+%3D+Bug+AND+project+%3D+SOVA+AND+Sprint+%3D+1497+AND+status+%3D+%22IN+REVIEW+%2880%25%29%22" TargetMode="External"/><Relationship Id="rId27" Type="http://schemas.openxmlformats.org/officeDocument/2006/relationships/hyperlink" Target="https://xrspace.atlassian.net/issues/?jql=created+%3E%3D+2025-01-01+AND+created+%3C%3D+2025-12-31+AND+type+%3D+Bug+AND+project+%3D+SOVA+AND+Sprint+%3D+1498+AND+status+%3D+%22Done+%28100%25%29%22" TargetMode="External"/><Relationship Id="rId43" Type="http://schemas.openxmlformats.org/officeDocument/2006/relationships/hyperlink" Target="https://xrspace.atlassian.net/issues/?jql=created+%3E%3D+2025-01-01+AND+created+%3C%3D+2025-12-31+AND+type+%3D+Bug+AND+project+%3D+SOVA+AND+Sprint+%3D+2157+AND+status+%3D+%22To+Do+%280%25%29%22" TargetMode="External"/><Relationship Id="rId48" Type="http://schemas.openxmlformats.org/officeDocument/2006/relationships/hyperlink" Target="https://xrspace.atlassian.net/issues/?jql=created+%3E%3D+2025-01-01+AND+created+%3C%3D+2025-12-31+AND+type+%3D+Bug+AND+project+%3D+SOVA+AND+Sprint+%3D+2157+AND+status+%3D+%22STARTING+%2810+%7E+40%25%29%22" TargetMode="External"/><Relationship Id="rId64" Type="http://schemas.openxmlformats.org/officeDocument/2006/relationships/hyperlink" Target="https://xrspace.atlassian.net/issues/?jql=created+%3E%3D+2025-01-01+AND+created+%3C%3D+2025-12-31+AND+type+%3D+Bug+AND+project+%3D+SOVA+AND+Sprint+%3D+2882+AND+status+%3D+%22IN+REVIEW+%2880%25%29%22" TargetMode="External"/><Relationship Id="rId69" Type="http://schemas.openxmlformats.org/officeDocument/2006/relationships/hyperlink" Target="https://xrspace.atlassian.net/issues/?jql=created+%3E%3D+2025-01-01+AND+created+%3C%3D+2025-12-31+AND+type+%3D+Bug+AND+project+%3D+SOVA+AND+Sprint+%3D+3213+AND+status+%3D+%22Done+%28100%25%29%22" TargetMode="External"/><Relationship Id="rId113" Type="http://schemas.openxmlformats.org/officeDocument/2006/relationships/hyperlink" Target="https://xrspace.atlassian.net/issues/?jql=created+%3E%3D+2025-01-01+AND+created+%3C%3D+2025-12-31+AND+type+%3D+Bug+AND+project+%3D+SOVA+AND+Sprint+%3D+4140+AND+status+%3D+%22WON%27T+DO+%28100%25%29%22" TargetMode="External"/><Relationship Id="rId80" Type="http://schemas.openxmlformats.org/officeDocument/2006/relationships/hyperlink" Target="https://xrspace.atlassian.net/issues/?jql=created+%3E%3D+2025-01-01+AND+created+%3C%3D+2025-12-31+AND+type+%3D+Bug+AND+project+%3D+SOVA+AND+Sprint+%3D+3246+AND+status+%3D+%22In+Progress+%2850+%7E+70%25%29%22" TargetMode="External"/><Relationship Id="rId85" Type="http://schemas.openxmlformats.org/officeDocument/2006/relationships/hyperlink" Target="https://xrspace.atlassian.net/issues/?jql=created+%3E%3D+2025-01-01+AND+created+%3C%3D+2025-12-31+AND+type+%3D+Bug+AND+project+%3D+SOVA+AND+Sprint+%3D+3575+AND+status+%3D+%22To+Do+%280%25%29%22" TargetMode="External"/><Relationship Id="rId12" Type="http://schemas.openxmlformats.org/officeDocument/2006/relationships/hyperlink" Target="https://xrspace.atlassian.net/issues/?jql=created+%3E%3D+2025-01-01+AND+created+%3C%3D+2025-12-31+AND+type+%3D+Bug+AND+project+%3D+SOVA+AND+Sprint+%3D+1466+AND+status+%3D+%22STARTING+%2810+%7E+40%25%29%22" TargetMode="External"/><Relationship Id="rId17" Type="http://schemas.openxmlformats.org/officeDocument/2006/relationships/hyperlink" Target="https://xrspace.atlassian.net/issues/?jql=created+%3E%3D+2025-01-01+AND+created+%3C%3D+2025-12-31+AND+type+%3D+Bug+AND+project+%3D+SOVA+AND+Sprint+%3D+1496+AND+status+%3D+%22WON%27T+DO+%28100%25%29%22" TargetMode="External"/><Relationship Id="rId33" Type="http://schemas.openxmlformats.org/officeDocument/2006/relationships/hyperlink" Target="https://xrspace.atlassian.net/issues/?jql=created+%3E%3D+2025-01-01+AND+created+%3C%3D+2025-12-31+AND+type+%3D+Bug+AND+project+%3D+SOVA+AND+Sprint+%3D+1499+AND+status+%3D+%22Done+%28100%25%29%22" TargetMode="External"/><Relationship Id="rId38" Type="http://schemas.openxmlformats.org/officeDocument/2006/relationships/hyperlink" Target="https://xrspace.atlassian.net/issues/?jql=created+%3E%3D+2025-01-01+AND+created+%3C%3D+2025-12-31+AND+type+%3D+Bug+AND+project+%3D+SOVA+AND+Sprint+%3D+2156+AND+status+%3D+%22In+Progress+%2850+%7E+70%25%29%22" TargetMode="External"/><Relationship Id="rId59" Type="http://schemas.openxmlformats.org/officeDocument/2006/relationships/hyperlink" Target="https://xrspace.atlassian.net/issues/?jql=created+%3E%3D+2025-01-01+AND+created+%3C%3D+2025-12-31+AND+type+%3D+Bug+AND+project+%3D+SOVA+AND+Sprint+%3D+2619+AND+status+%3D+%22WON%27T+DO+%28100%25%29%22" TargetMode="External"/><Relationship Id="rId103" Type="http://schemas.openxmlformats.org/officeDocument/2006/relationships/hyperlink" Target="https://xrspace.atlassian.net/issues/?jql=created+%3E%3D+2025-01-01+AND+created+%3C%3D+2025-12-31+AND+type+%3D+Bug+AND+project+%3D+SOVA+AND+Sprint+%3D+3873+AND+status+%3D+%22To+Do+%280%25%29%22" TargetMode="External"/><Relationship Id="rId108" Type="http://schemas.openxmlformats.org/officeDocument/2006/relationships/hyperlink" Target="https://xrspace.atlassian.net/issues/?jql=created+%3E%3D+2025-01-01+AND+created+%3C%3D+2025-12-31+AND+type+%3D+Bug+AND+project+%3D+SOVA+AND+Sprint+%3D+3873+AND+status+%3D+%22STARTING+%2810+%7E+40%25%29%22" TargetMode="External"/><Relationship Id="rId54" Type="http://schemas.openxmlformats.org/officeDocument/2006/relationships/hyperlink" Target="https://xrspace.atlassian.net/issues/?jql=created+%3E%3D+2025-01-01+AND+created+%3C%3D+2025-12-31+AND+type+%3D+Bug+AND+project+%3D+SOVA+AND+Sprint+%3D+2618+AND+status+%3D+%22STARTING+%2810+%7E+40%25%29%22" TargetMode="External"/><Relationship Id="rId70" Type="http://schemas.openxmlformats.org/officeDocument/2006/relationships/hyperlink" Target="https://xrspace.atlassian.net/issues/?jql=created+%3E%3D+2025-01-01+AND+created+%3C%3D+2025-12-31+AND+type+%3D+Bug+AND+project+%3D+SOVA+AND+Sprint+%3D+3213+AND+status+%3D+%22IN+REVIEW+%2880%25%29%22" TargetMode="External"/><Relationship Id="rId75" Type="http://schemas.openxmlformats.org/officeDocument/2006/relationships/hyperlink" Target="https://xrspace.atlassian.net/issues/?jql=created+%3E%3D+2025-01-01+AND+created+%3C%3D+2025-12-31+AND+type+%3D+Bug+AND+project+%3D+SOVA+AND+Sprint+%3D+3245+AND+status+%3D+%22Done+%28100%25%29%22" TargetMode="External"/><Relationship Id="rId91" Type="http://schemas.openxmlformats.org/officeDocument/2006/relationships/hyperlink" Target="https://xrspace.atlassian.net/issues/?jql=created+%3E%3D+2025-01-01+AND+created+%3C%3D+2025-12-31+AND+type+%3D+Bug+AND+project+%3D+SOVA+AND+Sprint+%3D+3608+AND+status+%3D+%22To+Do+%280%25%29%22" TargetMode="External"/><Relationship Id="rId96" Type="http://schemas.openxmlformats.org/officeDocument/2006/relationships/hyperlink" Target="https://xrspace.atlassian.net/issues/?jql=created+%3E%3D+2025-01-01+AND+created+%3C%3D+2025-12-31+AND+type+%3D+Bug+AND+project+%3D+SOVA+AND+Sprint+%3D+3608+AND+status+%3D+%22STARTING+%2810+%7E+40%25%29%22" TargetMode="External"/><Relationship Id="rId1" Type="http://schemas.openxmlformats.org/officeDocument/2006/relationships/hyperlink" Target="https://xrspace.atlassian.net/issues/?jql=created+%3E%3D+2025-01-01+AND+created+%3C%3D+2025-12-31+AND+type+%3D+Bug+AND+project+%3D+SOVA+AND+Sprint+%3D+1463+AND+status+%3D+%22To+Do+%280%25%29%22" TargetMode="External"/><Relationship Id="rId6" Type="http://schemas.openxmlformats.org/officeDocument/2006/relationships/hyperlink" Target="https://xrspace.atlassian.net/issues/?jql=created+%3E%3D+2025-01-01+AND+created+%3C%3D+2025-12-31+AND+type+%3D+Bug+AND+project+%3D+SOVA+AND+Sprint+%3D+1463+AND+status+%3D+%22STARTING+%2810+%7E+40%25%29%22" TargetMode="External"/><Relationship Id="rId23" Type="http://schemas.openxmlformats.org/officeDocument/2006/relationships/hyperlink" Target="https://xrspace.atlassian.net/issues/?jql=created+%3E%3D+2025-01-01+AND+created+%3C%3D+2025-12-31+AND+type+%3D+Bug+AND+project+%3D+SOVA+AND+Sprint+%3D+1497+AND+status+%3D+%22WON%27T+DO+%28100%25%29%22" TargetMode="External"/><Relationship Id="rId28" Type="http://schemas.openxmlformats.org/officeDocument/2006/relationships/hyperlink" Target="https://xrspace.atlassian.net/issues/?jql=created+%3E%3D+2025-01-01+AND+created+%3C%3D+2025-12-31+AND+type+%3D+Bug+AND+project+%3D+SOVA+AND+Sprint+%3D+1498+AND+status+%3D+%22IN+REVIEW+%2880%25%29%22" TargetMode="External"/><Relationship Id="rId49" Type="http://schemas.openxmlformats.org/officeDocument/2006/relationships/hyperlink" Target="https://xrspace.atlassian.net/issues/?jql=created+%3E%3D+2025-01-01+AND+created+%3C%3D+2025-12-31+AND+type+%3D+Bug+AND+project+%3D+SOVA+AND+Sprint+%3D+2618+AND+status+%3D+%22To+Do+%280%25%29%22" TargetMode="External"/><Relationship Id="rId114" Type="http://schemas.openxmlformats.org/officeDocument/2006/relationships/hyperlink" Target="https://xrspace.atlassian.net/issues/?jql=created+%3E%3D+2025-01-01+AND+created+%3C%3D+2025-12-31+AND+type+%3D+Bug+AND+project+%3D+SOVA+AND+Sprint+%3D+4140+AND+status+%3D+%22STARTING+%2810+%7E+40%25%29%22" TargetMode="External"/><Relationship Id="rId10" Type="http://schemas.openxmlformats.org/officeDocument/2006/relationships/hyperlink" Target="https://xrspace.atlassian.net/issues/?jql=created+%3E%3D+2025-01-01+AND+created+%3C%3D+2025-12-31+AND+type+%3D+Bug+AND+project+%3D+SOVA+AND+Sprint+%3D+1466+AND+status+%3D+%22IN+REVIEW+%2880%25%29%22" TargetMode="External"/><Relationship Id="rId31" Type="http://schemas.openxmlformats.org/officeDocument/2006/relationships/hyperlink" Target="https://xrspace.atlassian.net/issues/?jql=created+%3E%3D+2025-01-01+AND+created+%3C%3D+2025-12-31+AND+type+%3D+Bug+AND+project+%3D+SOVA+AND+Sprint+%3D+1499+AND+status+%3D+%22To+Do+%280%25%29%22" TargetMode="External"/><Relationship Id="rId44" Type="http://schemas.openxmlformats.org/officeDocument/2006/relationships/hyperlink" Target="https://xrspace.atlassian.net/issues/?jql=created+%3E%3D+2025-01-01+AND+created+%3C%3D+2025-12-31+AND+type+%3D+Bug+AND+project+%3D+SOVA+AND+Sprint+%3D+2157+AND+status+%3D+%22In+Progress+%2850+%7E+70%25%29%22" TargetMode="External"/><Relationship Id="rId52" Type="http://schemas.openxmlformats.org/officeDocument/2006/relationships/hyperlink" Target="https://xrspace.atlassian.net/issues/?jql=created+%3E%3D+2025-01-01+AND+created+%3C%3D+2025-12-31+AND+type+%3D+Bug+AND+project+%3D+SOVA+AND+Sprint+%3D+2618+AND+status+%3D+%22IN+REVIEW+%2880%25%29%22" TargetMode="External"/><Relationship Id="rId60" Type="http://schemas.openxmlformats.org/officeDocument/2006/relationships/hyperlink" Target="https://xrspace.atlassian.net/issues/?jql=created+%3E%3D+2025-01-01+AND+created+%3C%3D+2025-12-31+AND+type+%3D+Bug+AND+project+%3D+SOVA+AND+Sprint+%3D+2619+AND+status+%3D+%22STARTING+%2810+%7E+40%25%29%22" TargetMode="External"/><Relationship Id="rId65" Type="http://schemas.openxmlformats.org/officeDocument/2006/relationships/hyperlink" Target="https://xrspace.atlassian.net/issues/?jql=created+%3E%3D+2025-01-01+AND+created+%3C%3D+2025-12-31+AND+type+%3D+Bug+AND+project+%3D+SOVA+AND+Sprint+%3D+2882+AND+status+%3D+%22WON%27T+DO+%28100%25%29%22" TargetMode="External"/><Relationship Id="rId73" Type="http://schemas.openxmlformats.org/officeDocument/2006/relationships/hyperlink" Target="https://xrspace.atlassian.net/issues/?jql=created+%3E%3D+2025-01-01+AND+created+%3C%3D+2025-12-31+AND+type+%3D+Bug+AND+project+%3D+SOVA+AND+Sprint+%3D+3245+AND+status+%3D+%22To+Do+%280%25%29%22" TargetMode="External"/><Relationship Id="rId78" Type="http://schemas.openxmlformats.org/officeDocument/2006/relationships/hyperlink" Target="https://xrspace.atlassian.net/issues/?jql=created+%3E%3D+2025-01-01+AND+created+%3C%3D+2025-12-31+AND+type+%3D+Bug+AND+project+%3D+SOVA+AND+Sprint+%3D+3245+AND+status+%3D+%22STARTING+%2810+%7E+40%25%29%22" TargetMode="External"/><Relationship Id="rId81" Type="http://schemas.openxmlformats.org/officeDocument/2006/relationships/hyperlink" Target="https://xrspace.atlassian.net/issues/?jql=created+%3E%3D+2025-01-01+AND+created+%3C%3D+2025-12-31+AND+type+%3D+Bug+AND+project+%3D+SOVA+AND+Sprint+%3D+3246+AND+status+%3D+%22Done+%28100%25%29%22" TargetMode="External"/><Relationship Id="rId86" Type="http://schemas.openxmlformats.org/officeDocument/2006/relationships/hyperlink" Target="https://xrspace.atlassian.net/issues/?jql=created+%3E%3D+2025-01-01+AND+created+%3C%3D+2025-12-31+AND+type+%3D+Bug+AND+project+%3D+SOVA+AND+Sprint+%3D+3575+AND+status+%3D+%22In+Progress+%2850+%7E+70%25%29%22" TargetMode="External"/><Relationship Id="rId94" Type="http://schemas.openxmlformats.org/officeDocument/2006/relationships/hyperlink" Target="https://xrspace.atlassian.net/issues/?jql=created+%3E%3D+2025-01-01+AND+created+%3C%3D+2025-12-31+AND+type+%3D+Bug+AND+project+%3D+SOVA+AND+Sprint+%3D+3608+AND+status+%3D+%22IN+REVIEW+%2880%25%29%22" TargetMode="External"/><Relationship Id="rId99" Type="http://schemas.openxmlformats.org/officeDocument/2006/relationships/hyperlink" Target="https://xrspace.atlassian.net/issues/?jql=created+%3E%3D+2025-01-01+AND+created+%3C%3D+2025-12-31+AND+type+%3D+Bug+AND+project+%3D+SOVA+AND+Sprint+%3D+3872+AND+status+%3D+%22Done+%28100%25%29%22" TargetMode="External"/><Relationship Id="rId101" Type="http://schemas.openxmlformats.org/officeDocument/2006/relationships/hyperlink" Target="https://xrspace.atlassian.net/issues/?jql=created+%3E%3D+2025-01-01+AND+created+%3C%3D+2025-12-31+AND+type+%3D+Bug+AND+project+%3D+SOVA+AND+Sprint+%3D+3872+AND+status+%3D+%22WON%27T+DO+%28100%25%29%22" TargetMode="External"/><Relationship Id="rId4" Type="http://schemas.openxmlformats.org/officeDocument/2006/relationships/hyperlink" Target="https://xrspace.atlassian.net/issues/?jql=created+%3E%3D+2025-01-01+AND+created+%3C%3D+2025-12-31+AND+type+%3D+Bug+AND+project+%3D+SOVA+AND+Sprint+%3D+1463+AND+status+%3D+%22IN+REVIEW+%2880%25%29%22" TargetMode="External"/><Relationship Id="rId9" Type="http://schemas.openxmlformats.org/officeDocument/2006/relationships/hyperlink" Target="https://xrspace.atlassian.net/issues/?jql=created+%3E%3D+2025-01-01+AND+created+%3C%3D+2025-12-31+AND+type+%3D+Bug+AND+project+%3D+SOVA+AND+Sprint+%3D+1466+AND+status+%3D+%22Done+%28100%25%29%22" TargetMode="External"/><Relationship Id="rId13" Type="http://schemas.openxmlformats.org/officeDocument/2006/relationships/hyperlink" Target="https://xrspace.atlassian.net/issues/?jql=created+%3E%3D+2025-01-01+AND+created+%3C%3D+2025-12-31+AND+type+%3D+Bug+AND+project+%3D+SOVA+AND+Sprint+%3D+1496+AND+status+%3D+%22To+Do+%280%25%29%22" TargetMode="External"/><Relationship Id="rId18" Type="http://schemas.openxmlformats.org/officeDocument/2006/relationships/hyperlink" Target="https://xrspace.atlassian.net/issues/?jql=created+%3E%3D+2025-01-01+AND+created+%3C%3D+2025-12-31+AND+type+%3D+Bug+AND+project+%3D+SOVA+AND+Sprint+%3D+1496+AND+status+%3D+%22STARTING+%2810+%7E+40%25%29%22" TargetMode="External"/><Relationship Id="rId39" Type="http://schemas.openxmlformats.org/officeDocument/2006/relationships/hyperlink" Target="https://xrspace.atlassian.net/issues/?jql=created+%3E%3D+2025-01-01+AND+created+%3C%3D+2025-12-31+AND+type+%3D+Bug+AND+project+%3D+SOVA+AND+Sprint+%3D+2156+AND+status+%3D+%22Done+%28100%25%29%22" TargetMode="External"/><Relationship Id="rId109" Type="http://schemas.openxmlformats.org/officeDocument/2006/relationships/hyperlink" Target="https://xrspace.atlassian.net/issues/?jql=created+%3E%3D+2025-01-01+AND+created+%3C%3D+2025-12-31+AND+type+%3D+Bug+AND+project+%3D+SOVA+AND+Sprint+%3D+4140+AND+status+%3D+%22To+Do+%280%25%29%22" TargetMode="External"/><Relationship Id="rId34" Type="http://schemas.openxmlformats.org/officeDocument/2006/relationships/hyperlink" Target="https://xrspace.atlassian.net/issues/?jql=created+%3E%3D+2025-01-01+AND+created+%3C%3D+2025-12-31+AND+type+%3D+Bug+AND+project+%3D+SOVA+AND+Sprint+%3D+1499+AND+status+%3D+%22IN+REVIEW+%2880%25%29%22" TargetMode="External"/><Relationship Id="rId50" Type="http://schemas.openxmlformats.org/officeDocument/2006/relationships/hyperlink" Target="https://xrspace.atlassian.net/issues/?jql=created+%3E%3D+2025-01-01+AND+created+%3C%3D+2025-12-31+AND+type+%3D+Bug+AND+project+%3D+SOVA+AND+Sprint+%3D+2618+AND+status+%3D+%22In+Progress+%2850+%7E+70%25%29%22" TargetMode="External"/><Relationship Id="rId55" Type="http://schemas.openxmlformats.org/officeDocument/2006/relationships/hyperlink" Target="https://xrspace.atlassian.net/issues/?jql=created+%3E%3D+2025-01-01+AND+created+%3C%3D+2025-12-31+AND+type+%3D+Bug+AND+project+%3D+SOVA+AND+Sprint+%3D+2619+AND+status+%3D+%22To+Do+%280%25%29%22" TargetMode="External"/><Relationship Id="rId76" Type="http://schemas.openxmlformats.org/officeDocument/2006/relationships/hyperlink" Target="https://xrspace.atlassian.net/issues/?jql=created+%3E%3D+2025-01-01+AND+created+%3C%3D+2025-12-31+AND+type+%3D+Bug+AND+project+%3D+SOVA+AND+Sprint+%3D+3245+AND+status+%3D+%22IN+REVIEW+%2880%25%29%22" TargetMode="External"/><Relationship Id="rId97" Type="http://schemas.openxmlformats.org/officeDocument/2006/relationships/hyperlink" Target="https://xrspace.atlassian.net/issues/?jql=created+%3E%3D+2025-01-01+AND+created+%3C%3D+2025-12-31+AND+type+%3D+Bug+AND+project+%3D+SOVA+AND+Sprint+%3D+3872+AND+status+%3D+%22To+Do+%280%25%29%22" TargetMode="External"/><Relationship Id="rId104" Type="http://schemas.openxmlformats.org/officeDocument/2006/relationships/hyperlink" Target="https://xrspace.atlassian.net/issues/?jql=created+%3E%3D+2025-01-01+AND+created+%3C%3D+2025-12-31+AND+type+%3D+Bug+AND+project+%3D+SOVA+AND+Sprint+%3D+3873+AND+status+%3D+%22In+Progress+%2850+%7E+70%25%29%22" TargetMode="External"/><Relationship Id="rId7" Type="http://schemas.openxmlformats.org/officeDocument/2006/relationships/hyperlink" Target="https://xrspace.atlassian.net/issues/?jql=created+%3E%3D+2025-01-01+AND+created+%3C%3D+2025-12-31+AND+type+%3D+Bug+AND+project+%3D+SOVA+AND+Sprint+%3D+1466+AND+status+%3D+%22To+Do+%280%25%29%22" TargetMode="External"/><Relationship Id="rId71" Type="http://schemas.openxmlformats.org/officeDocument/2006/relationships/hyperlink" Target="https://xrspace.atlassian.net/issues/?jql=created+%3E%3D+2025-01-01+AND+created+%3C%3D+2025-12-31+AND+type+%3D+Bug+AND+project+%3D+SOVA+AND+Sprint+%3D+3213+AND+status+%3D+%22WON%27T+DO+%28100%25%29%22" TargetMode="External"/><Relationship Id="rId92" Type="http://schemas.openxmlformats.org/officeDocument/2006/relationships/hyperlink" Target="https://xrspace.atlassian.net/issues/?jql=created+%3E%3D+2025-01-01+AND+created+%3C%3D+2025-12-31+AND+type+%3D+Bug+AND+project+%3D+SOVA+AND+Sprint+%3D+3608+AND+status+%3D+%22In+Progress+%2850+%7E+70%25%29%22" TargetMode="External"/><Relationship Id="rId2" Type="http://schemas.openxmlformats.org/officeDocument/2006/relationships/hyperlink" Target="https://xrspace.atlassian.net/issues/?jql=created+%3E%3D+2025-01-01+AND+created+%3C%3D+2025-12-31+AND+type+%3D+Bug+AND+project+%3D+SOVA+AND+Sprint+%3D+1463+AND+status+%3D+%22In+Progress+%2850+%7E+70%25%29%22" TargetMode="External"/><Relationship Id="rId29" Type="http://schemas.openxmlformats.org/officeDocument/2006/relationships/hyperlink" Target="https://xrspace.atlassian.net/issues/?jql=created+%3E%3D+2025-01-01+AND+created+%3C%3D+2025-12-31+AND+type+%3D+Bug+AND+project+%3D+SOVA+AND+Sprint+%3D+1498+AND+status+%3D+%22WON%27T+DO+%28100%25%29%22" TargetMode="External"/><Relationship Id="rId24" Type="http://schemas.openxmlformats.org/officeDocument/2006/relationships/hyperlink" Target="https://xrspace.atlassian.net/issues/?jql=created+%3E%3D+2025-01-01+AND+created+%3C%3D+2025-12-31+AND+type+%3D+Bug+AND+project+%3D+SOVA+AND+Sprint+%3D+1497+AND+status+%3D+%22STARTING+%2810+%7E+40%25%29%22" TargetMode="External"/><Relationship Id="rId40" Type="http://schemas.openxmlformats.org/officeDocument/2006/relationships/hyperlink" Target="https://xrspace.atlassian.net/issues/?jql=created+%3E%3D+2025-01-01+AND+created+%3C%3D+2025-12-31+AND+type+%3D+Bug+AND+project+%3D+SOVA+AND+Sprint+%3D+2156+AND+status+%3D+%22IN+REVIEW+%2880%25%29%22" TargetMode="External"/><Relationship Id="rId45" Type="http://schemas.openxmlformats.org/officeDocument/2006/relationships/hyperlink" Target="https://xrspace.atlassian.net/issues/?jql=created+%3E%3D+2025-01-01+AND+created+%3C%3D+2025-12-31+AND+type+%3D+Bug+AND+project+%3D+SOVA+AND+Sprint+%3D+2157+AND+status+%3D+%22Done+%28100%25%29%22" TargetMode="External"/><Relationship Id="rId66" Type="http://schemas.openxmlformats.org/officeDocument/2006/relationships/hyperlink" Target="https://xrspace.atlassian.net/issues/?jql=created+%3E%3D+2025-01-01+AND+created+%3C%3D+2025-12-31+AND+type+%3D+Bug+AND+project+%3D+SOVA+AND+Sprint+%3D+2882+AND+status+%3D+%22STARTING+%2810+%7E+40%25%29%22" TargetMode="External"/><Relationship Id="rId87" Type="http://schemas.openxmlformats.org/officeDocument/2006/relationships/hyperlink" Target="https://xrspace.atlassian.net/issues/?jql=created+%3E%3D+2025-01-01+AND+created+%3C%3D+2025-12-31+AND+type+%3D+Bug+AND+project+%3D+SOVA+AND+Sprint+%3D+3575+AND+status+%3D+%22Done+%28100%25%29%22" TargetMode="External"/><Relationship Id="rId110" Type="http://schemas.openxmlformats.org/officeDocument/2006/relationships/hyperlink" Target="https://xrspace.atlassian.net/issues/?jql=created+%3E%3D+2025-01-01+AND+created+%3C%3D+2025-12-31+AND+type+%3D+Bug+AND+project+%3D+SOVA+AND+Sprint+%3D+4140+AND+status+%3D+%22In+Progress+%2850+%7E+70%25%29%22" TargetMode="External"/><Relationship Id="rId115" Type="http://schemas.openxmlformats.org/officeDocument/2006/relationships/printerSettings" Target="../printerSettings/printerSettings3.bin"/><Relationship Id="rId61" Type="http://schemas.openxmlformats.org/officeDocument/2006/relationships/hyperlink" Target="https://xrspace.atlassian.net/issues/?jql=created+%3E%3D+2025-01-01+AND+created+%3C%3D+2025-12-31+AND+type+%3D+Bug+AND+project+%3D+SOVA+AND+Sprint+%3D+2882+AND+status+%3D+%22To+Do+%280%25%29%22" TargetMode="External"/><Relationship Id="rId82" Type="http://schemas.openxmlformats.org/officeDocument/2006/relationships/hyperlink" Target="https://xrspace.atlassian.net/issues/?jql=created+%3E%3D+2025-01-01+AND+created+%3C%3D+2025-12-31+AND+type+%3D+Bug+AND+project+%3D+SOVA+AND+Sprint+%3D+3246+AND+status+%3D+%22IN+REVIEW+%2880%25%29%22" TargetMode="External"/><Relationship Id="rId19" Type="http://schemas.openxmlformats.org/officeDocument/2006/relationships/hyperlink" Target="https://xrspace.atlassian.net/issues/?jql=created+%3E%3D+2025-01-01+AND+created+%3C%3D+2025-12-31+AND+type+%3D+Bug+AND+project+%3D+SOVA+AND+Sprint+%3D+1497+AND+status+%3D+%22To+Do+%280%25%29%22" TargetMode="External"/><Relationship Id="rId14" Type="http://schemas.openxmlformats.org/officeDocument/2006/relationships/hyperlink" Target="https://xrspace.atlassian.net/issues/?jql=created+%3E%3D+2025-01-01+AND+created+%3C%3D+2025-12-31+AND+type+%3D+Bug+AND+project+%3D+SOVA+AND+Sprint+%3D+1496+AND+status+%3D+%22In+Progress+%2850+%7E+70%25%29%22" TargetMode="External"/><Relationship Id="rId30" Type="http://schemas.openxmlformats.org/officeDocument/2006/relationships/hyperlink" Target="https://xrspace.atlassian.net/issues/?jql=created+%3E%3D+2025-01-01+AND+created+%3C%3D+2025-12-31+AND+type+%3D+Bug+AND+project+%3D+SOVA+AND+Sprint+%3D+1498+AND+status+%3D+%22STARTING+%2810+%7E+40%25%29%22" TargetMode="External"/><Relationship Id="rId35" Type="http://schemas.openxmlformats.org/officeDocument/2006/relationships/hyperlink" Target="https://xrspace.atlassian.net/issues/?jql=created+%3E%3D+2025-01-01+AND+created+%3C%3D+2025-12-31+AND+type+%3D+Bug+AND+project+%3D+SOVA+AND+Sprint+%3D+1499+AND+status+%3D+%22WON%27T+DO+%28100%25%29%22" TargetMode="External"/><Relationship Id="rId56" Type="http://schemas.openxmlformats.org/officeDocument/2006/relationships/hyperlink" Target="https://xrspace.atlassian.net/issues/?jql=created+%3E%3D+2025-01-01+AND+created+%3C%3D+2025-12-31+AND+type+%3D+Bug+AND+project+%3D+SOVA+AND+Sprint+%3D+2619+AND+status+%3D+%22In+Progress+%2850+%7E+70%25%29%22" TargetMode="External"/><Relationship Id="rId77" Type="http://schemas.openxmlformats.org/officeDocument/2006/relationships/hyperlink" Target="https://xrspace.atlassian.net/issues/?jql=created+%3E%3D+2025-01-01+AND+created+%3C%3D+2025-12-31+AND+type+%3D+Bug+AND+project+%3D+SOVA+AND+Sprint+%3D+3245+AND+status+%3D+%22WON%27T+DO+%28100%25%29%22" TargetMode="External"/><Relationship Id="rId100" Type="http://schemas.openxmlformats.org/officeDocument/2006/relationships/hyperlink" Target="https://xrspace.atlassian.net/issues/?jql=created+%3E%3D+2025-01-01+AND+created+%3C%3D+2025-12-31+AND+type+%3D+Bug+AND+project+%3D+SOVA+AND+Sprint+%3D+3872+AND+status+%3D+%22IN+REVIEW+%2880%25%29%22" TargetMode="External"/><Relationship Id="rId105" Type="http://schemas.openxmlformats.org/officeDocument/2006/relationships/hyperlink" Target="https://xrspace.atlassian.net/issues/?jql=created+%3E%3D+2025-01-01+AND+created+%3C%3D+2025-12-31+AND+type+%3D+Bug+AND+project+%3D+SOVA+AND+Sprint+%3D+3873+AND+status+%3D+%22Done+%28100%25%29%22" TargetMode="External"/><Relationship Id="rId8" Type="http://schemas.openxmlformats.org/officeDocument/2006/relationships/hyperlink" Target="https://xrspace.atlassian.net/issues/?jql=created+%3E%3D+2025-01-01+AND+created+%3C%3D+2025-12-31+AND+type+%3D+Bug+AND+project+%3D+SOVA+AND+Sprint+%3D+1466+AND+status+%3D+%22In+Progress+%2850+%7E+70%25%29%22" TargetMode="External"/><Relationship Id="rId51" Type="http://schemas.openxmlformats.org/officeDocument/2006/relationships/hyperlink" Target="https://xrspace.atlassian.net/issues/?jql=created+%3E%3D+2025-01-01+AND+created+%3C%3D+2025-12-31+AND+type+%3D+Bug+AND+project+%3D+SOVA+AND+Sprint+%3D+2618+AND+status+%3D+%22Done+%28100%25%29%22" TargetMode="External"/><Relationship Id="rId72" Type="http://schemas.openxmlformats.org/officeDocument/2006/relationships/hyperlink" Target="https://xrspace.atlassian.net/issues/?jql=created+%3E%3D+2025-01-01+AND+created+%3C%3D+2025-12-31+AND+type+%3D+Bug+AND+project+%3D+SOVA+AND+Sprint+%3D+3213+AND+status+%3D+%22STARTING+%2810+%7E+40%25%29%22" TargetMode="External"/><Relationship Id="rId93" Type="http://schemas.openxmlformats.org/officeDocument/2006/relationships/hyperlink" Target="https://xrspace.atlassian.net/issues/?jql=created+%3E%3D+2025-01-01+AND+created+%3C%3D+2025-12-31+AND+type+%3D+Bug+AND+project+%3D+SOVA+AND+Sprint+%3D+3608+AND+status+%3D+%22Done+%28100%25%29%22" TargetMode="External"/><Relationship Id="rId98" Type="http://schemas.openxmlformats.org/officeDocument/2006/relationships/hyperlink" Target="https://xrspace.atlassian.net/issues/?jql=created+%3E%3D+2025-01-01+AND+created+%3C%3D+2025-12-31+AND+type+%3D+Bug+AND+project+%3D+SOVA+AND+Sprint+%3D+3872+AND+status+%3D+%22In+Progress+%2850+%7E+70%25%29%22" TargetMode="External"/><Relationship Id="rId3" Type="http://schemas.openxmlformats.org/officeDocument/2006/relationships/hyperlink" Target="https://xrspace.atlassian.net/issues/?jql=created+%3E%3D+2025-01-01+AND+created+%3C%3D+2025-12-31+AND+type+%3D+Bug+AND+project+%3D+SOVA+AND+Sprint+%3D+1463+AND+status+%3D+%22Done+%28100%25%29%22" TargetMode="External"/><Relationship Id="rId25" Type="http://schemas.openxmlformats.org/officeDocument/2006/relationships/hyperlink" Target="https://xrspace.atlassian.net/issues/?jql=created+%3E%3D+2025-01-01+AND+created+%3C%3D+2025-12-31+AND+type+%3D+Bug+AND+project+%3D+SOVA+AND+Sprint+%3D+1498+AND+status+%3D+%22To+Do+%280%25%29%22" TargetMode="External"/><Relationship Id="rId46" Type="http://schemas.openxmlformats.org/officeDocument/2006/relationships/hyperlink" Target="https://xrspace.atlassian.net/issues/?jql=created+%3E%3D+2025-01-01+AND+created+%3C%3D+2025-12-31+AND+type+%3D+Bug+AND+project+%3D+SOVA+AND+Sprint+%3D+2157+AND+status+%3D+%22IN+REVIEW+%2880%25%29%22" TargetMode="External"/><Relationship Id="rId67" Type="http://schemas.openxmlformats.org/officeDocument/2006/relationships/hyperlink" Target="https://xrspace.atlassian.net/issues/?jql=created+%3E%3D+2025-01-01+AND+created+%3C%3D+2025-12-31+AND+type+%3D+Bug+AND+project+%3D+SOVA+AND+Sprint+%3D+3213+AND+status+%3D+%22To+Do+%280%25%29%22" TargetMode="External"/><Relationship Id="rId116" Type="http://schemas.openxmlformats.org/officeDocument/2006/relationships/drawing" Target="../drawings/drawing5.xml"/><Relationship Id="rId20" Type="http://schemas.openxmlformats.org/officeDocument/2006/relationships/hyperlink" Target="https://xrspace.atlassian.net/issues/?jql=created+%3E%3D+2025-01-01+AND+created+%3C%3D+2025-12-31+AND+type+%3D+Bug+AND+project+%3D+SOVA+AND+Sprint+%3D+1497+AND+status+%3D+%22In+Progress+%2850+%7E+70%25%29%22" TargetMode="External"/><Relationship Id="rId41" Type="http://schemas.openxmlformats.org/officeDocument/2006/relationships/hyperlink" Target="https://xrspace.atlassian.net/issues/?jql=created+%3E%3D+2025-01-01+AND+created+%3C%3D+2025-12-31+AND+type+%3D+Bug+AND+project+%3D+SOVA+AND+Sprint+%3D+2156+AND+status+%3D+%22WON%27T+DO+%28100%25%29%22" TargetMode="External"/><Relationship Id="rId62" Type="http://schemas.openxmlformats.org/officeDocument/2006/relationships/hyperlink" Target="https://xrspace.atlassian.net/issues/?jql=created+%3E%3D+2025-01-01+AND+created+%3C%3D+2025-12-31+AND+type+%3D+Bug+AND+project+%3D+SOVA+AND+Sprint+%3D+2882+AND+status+%3D+%22In+Progress+%2850+%7E+70%25%29%22" TargetMode="External"/><Relationship Id="rId83" Type="http://schemas.openxmlformats.org/officeDocument/2006/relationships/hyperlink" Target="https://xrspace.atlassian.net/issues/?jql=created+%3E%3D+2025-01-01+AND+created+%3C%3D+2025-12-31+AND+type+%3D+Bug+AND+project+%3D+SOVA+AND+Sprint+%3D+3246+AND+status+%3D+%22WON%27T+DO+%28100%25%29%22" TargetMode="External"/><Relationship Id="rId88" Type="http://schemas.openxmlformats.org/officeDocument/2006/relationships/hyperlink" Target="https://xrspace.atlassian.net/issues/?jql=created+%3E%3D+2025-01-01+AND+created+%3C%3D+2025-12-31+AND+type+%3D+Bug+AND+project+%3D+SOVA+AND+Sprint+%3D+3575+AND+status+%3D+%22IN+REVIEW+%2880%25%29%22" TargetMode="External"/><Relationship Id="rId111" Type="http://schemas.openxmlformats.org/officeDocument/2006/relationships/hyperlink" Target="https://xrspace.atlassian.net/issues/?jql=created+%3E%3D+2025-01-01+AND+created+%3C%3D+2025-12-31+AND+type+%3D+Bug+AND+project+%3D+SOVA+AND+Sprint+%3D+4140+AND+status+%3D+%22Done+%28100%25%29%22" TargetMode="External"/><Relationship Id="rId15" Type="http://schemas.openxmlformats.org/officeDocument/2006/relationships/hyperlink" Target="https://xrspace.atlassian.net/issues/?jql=created+%3E%3D+2025-01-01+AND+created+%3C%3D+2025-12-31+AND+type+%3D+Bug+AND+project+%3D+SOVA+AND+Sprint+%3D+1496+AND+status+%3D+%22Done+%28100%25%29%22" TargetMode="External"/><Relationship Id="rId36" Type="http://schemas.openxmlformats.org/officeDocument/2006/relationships/hyperlink" Target="https://xrspace.atlassian.net/issues/?jql=created+%3E%3D+2025-01-01+AND+created+%3C%3D+2025-12-31+AND+type+%3D+Bug+AND+project+%3D+SOVA+AND+Sprint+%3D+1499+AND+status+%3D+%22STARTING+%2810+%7E+40%25%29%22" TargetMode="External"/><Relationship Id="rId57" Type="http://schemas.openxmlformats.org/officeDocument/2006/relationships/hyperlink" Target="https://xrspace.atlassian.net/issues/?jql=created+%3E%3D+2025-01-01+AND+created+%3C%3D+2025-12-31+AND+type+%3D+Bug+AND+project+%3D+SOVA+AND+Sprint+%3D+2619+AND+status+%3D+%22Done+%28100%25%29%22" TargetMode="External"/><Relationship Id="rId106" Type="http://schemas.openxmlformats.org/officeDocument/2006/relationships/hyperlink" Target="https://xrspace.atlassian.net/issues/?jql=created+%3E%3D+2025-01-01+AND+created+%3C%3D+2025-12-31+AND+type+%3D+Bug+AND+project+%3D+SOVA+AND+Sprint+%3D+3873+AND+status+%3D+%22IN+REVIEW+%2880%25%29%2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33A42-966D-5F4E-B061-B304543CE88E}">
  <dimension ref="A1:E19"/>
  <sheetViews>
    <sheetView zoomScaleNormal="100" workbookViewId="0">
      <selection activeCell="G16" sqref="G16"/>
    </sheetView>
  </sheetViews>
  <sheetFormatPr defaultColWidth="11.5546875" defaultRowHeight="15"/>
  <cols>
    <col min="1" max="1" width="8.77734375" customWidth="1"/>
    <col min="2" max="2" width="12.6640625" customWidth="1"/>
    <col min="3" max="3" width="18.88671875" customWidth="1"/>
    <col min="4" max="5" width="15.77734375" customWidth="1"/>
  </cols>
  <sheetData>
    <row r="1" spans="1:5" ht="20.100000000000001" customHeight="1">
      <c r="A1" s="1" t="s">
        <v>59</v>
      </c>
      <c r="B1" s="2" t="s">
        <v>5</v>
      </c>
      <c r="C1" s="2" t="s">
        <v>6</v>
      </c>
      <c r="D1" s="2" t="s">
        <v>0</v>
      </c>
      <c r="E1" s="2" t="s">
        <v>7</v>
      </c>
    </row>
    <row r="2" spans="1:5" ht="20.100000000000001" customHeight="1">
      <c r="A2" t="s">
        <v>1</v>
      </c>
      <c r="B2">
        <v>2</v>
      </c>
      <c r="C2">
        <v>1</v>
      </c>
      <c r="D2">
        <v>115</v>
      </c>
      <c r="E2">
        <f>SUM(Table2[[#This Row],[Done]:[TODO (P1)]])</f>
        <v>118</v>
      </c>
    </row>
    <row r="3" spans="1:5" ht="20.100000000000001" customHeight="1">
      <c r="A3" t="s">
        <v>2</v>
      </c>
      <c r="B3">
        <v>3</v>
      </c>
      <c r="C3">
        <v>1</v>
      </c>
      <c r="D3">
        <v>114</v>
      </c>
      <c r="E3">
        <f>SUM(Table2[[#This Row],[Done]:[TODO (P1)]])</f>
        <v>118</v>
      </c>
    </row>
    <row r="4" spans="1:5" ht="20.100000000000001" customHeight="1">
      <c r="A4" t="s">
        <v>3</v>
      </c>
      <c r="B4">
        <v>3</v>
      </c>
      <c r="C4">
        <v>6</v>
      </c>
      <c r="D4">
        <v>109</v>
      </c>
      <c r="E4">
        <f>SUM(Table2[[#This Row],[Done]:[TODO (P1)]])</f>
        <v>118</v>
      </c>
    </row>
    <row r="5" spans="1:5" ht="20.100000000000001" customHeight="1">
      <c r="A5" t="s">
        <v>4</v>
      </c>
      <c r="B5">
        <v>4</v>
      </c>
      <c r="C5">
        <v>6</v>
      </c>
      <c r="D5">
        <v>108</v>
      </c>
      <c r="E5">
        <f>SUM(Table2[[#This Row],[Done]:[TODO (P1)]])</f>
        <v>118</v>
      </c>
    </row>
    <row r="6" spans="1:5" ht="20.100000000000001" customHeight="1">
      <c r="A6" t="s">
        <v>8</v>
      </c>
      <c r="B6">
        <v>8</v>
      </c>
      <c r="C6">
        <v>6</v>
      </c>
      <c r="D6">
        <v>104</v>
      </c>
      <c r="E6">
        <f>SUM(Table2[[#This Row],[Done]:[TODO (P1)]])</f>
        <v>118</v>
      </c>
    </row>
    <row r="7" spans="1:5" ht="20.100000000000001" customHeight="1">
      <c r="A7" t="s">
        <v>9</v>
      </c>
      <c r="B7">
        <v>10</v>
      </c>
      <c r="C7">
        <v>10</v>
      </c>
      <c r="D7">
        <v>228</v>
      </c>
      <c r="E7">
        <f>SUM(Table2[[#This Row],[Done]:[TODO (P1)]])</f>
        <v>248</v>
      </c>
    </row>
    <row r="8" spans="1:5" ht="20.100000000000001" customHeight="1">
      <c r="A8" t="s">
        <v>10</v>
      </c>
      <c r="B8">
        <v>12</v>
      </c>
      <c r="C8">
        <v>12</v>
      </c>
      <c r="D8">
        <v>224</v>
      </c>
      <c r="E8">
        <f>SUM(Table2[[#This Row],[Done]:[TODO (P1)]])</f>
        <v>248</v>
      </c>
    </row>
    <row r="9" spans="1:5" ht="20.100000000000001" customHeight="1">
      <c r="A9" t="s">
        <v>61</v>
      </c>
      <c r="B9">
        <v>15</v>
      </c>
      <c r="C9">
        <v>13</v>
      </c>
      <c r="D9">
        <v>220</v>
      </c>
      <c r="E9">
        <f>SUM(Table2[[#This Row],[Done]:[TODO (P1)]])</f>
        <v>248</v>
      </c>
    </row>
    <row r="10" spans="1:5" ht="20.100000000000001" customHeight="1">
      <c r="A10" t="s">
        <v>66</v>
      </c>
      <c r="B10">
        <v>15</v>
      </c>
      <c r="C10">
        <v>14</v>
      </c>
      <c r="D10">
        <v>219</v>
      </c>
      <c r="E10">
        <f>SUM(Table2[[#This Row],[Done]:[TODO (P1)]])</f>
        <v>248</v>
      </c>
    </row>
    <row r="11" spans="1:5" ht="20.100000000000001" customHeight="1">
      <c r="A11" t="s">
        <v>68</v>
      </c>
      <c r="B11">
        <v>12</v>
      </c>
      <c r="C11">
        <v>11</v>
      </c>
      <c r="D11">
        <v>173</v>
      </c>
      <c r="E11">
        <f>SUM(Table2[[#This Row],[Done]:[TODO (P1)]])</f>
        <v>196</v>
      </c>
    </row>
    <row r="12" spans="1:5" ht="20.100000000000001" customHeight="1">
      <c r="A12" t="s">
        <v>69</v>
      </c>
      <c r="B12">
        <v>13</v>
      </c>
      <c r="C12">
        <v>11</v>
      </c>
      <c r="D12">
        <v>172</v>
      </c>
      <c r="E12" s="13">
        <f>SUM(Table2[[#This Row],[Done]:[TODO (P1)]])</f>
        <v>196</v>
      </c>
    </row>
    <row r="13" spans="1:5" ht="20.100000000000001" customHeight="1">
      <c r="A13" t="s">
        <v>72</v>
      </c>
      <c r="B13">
        <v>15</v>
      </c>
      <c r="C13">
        <v>12</v>
      </c>
      <c r="D13">
        <v>168</v>
      </c>
      <c r="E13" s="13">
        <f>SUM(Table2[[#This Row],[Done]:[TODO (P1)]])</f>
        <v>195</v>
      </c>
    </row>
    <row r="14" spans="1:5" ht="20.100000000000001" customHeight="1">
      <c r="A14" t="s">
        <v>74</v>
      </c>
      <c r="B14">
        <v>18</v>
      </c>
      <c r="C14">
        <v>11</v>
      </c>
      <c r="D14">
        <v>166</v>
      </c>
      <c r="E14" s="13">
        <f>SUM(Table2[[#This Row],[Done]:[TODO (P1)]])</f>
        <v>195</v>
      </c>
    </row>
    <row r="15" spans="1:5" ht="20.100000000000001" customHeight="1">
      <c r="A15" t="s">
        <v>77</v>
      </c>
      <c r="B15">
        <v>21</v>
      </c>
      <c r="C15">
        <v>14</v>
      </c>
      <c r="D15">
        <v>160</v>
      </c>
      <c r="E15" s="13">
        <f>SUM(Table2[[#This Row],[Done]:[TODO (P1)]])</f>
        <v>195</v>
      </c>
    </row>
    <row r="16" spans="1:5" ht="20.100000000000001" customHeight="1">
      <c r="A16" t="s">
        <v>79</v>
      </c>
      <c r="B16">
        <v>22</v>
      </c>
      <c r="C16">
        <v>14</v>
      </c>
      <c r="D16">
        <v>160</v>
      </c>
      <c r="E16" s="13">
        <f>SUM(Table2[[#This Row],[Done]:[TODO (P1)]])</f>
        <v>196</v>
      </c>
    </row>
    <row r="17" spans="1:5" ht="20.100000000000001" customHeight="1">
      <c r="A17" t="s">
        <v>81</v>
      </c>
      <c r="B17">
        <v>25</v>
      </c>
      <c r="C17">
        <v>10</v>
      </c>
      <c r="D17">
        <v>161</v>
      </c>
      <c r="E17" s="13">
        <f>SUM(Table2[[#This Row],[Done]:[TODO (P1)]])</f>
        <v>196</v>
      </c>
    </row>
    <row r="18" spans="1:5" ht="20.100000000000001" customHeight="1">
      <c r="A18" t="s">
        <v>84</v>
      </c>
      <c r="B18">
        <v>28</v>
      </c>
      <c r="C18">
        <v>8</v>
      </c>
      <c r="D18">
        <v>160</v>
      </c>
      <c r="E18" s="13">
        <f>SUM(Table2[[#This Row],[Done]:[TODO (P1)]])</f>
        <v>196</v>
      </c>
    </row>
    <row r="19" spans="1:5" ht="20.100000000000001" customHeight="1">
      <c r="A19" t="s">
        <v>85</v>
      </c>
      <c r="B19">
        <v>30</v>
      </c>
      <c r="C19">
        <v>6</v>
      </c>
      <c r="D19">
        <v>160</v>
      </c>
      <c r="E19" s="13">
        <f>SUM(Table2[[#This Row],[Done]:[TODO (P1)]])</f>
        <v>196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9633B-8BD2-084C-8C0F-75969053522F}">
  <dimension ref="A1:H15"/>
  <sheetViews>
    <sheetView zoomScaleNormal="100" workbookViewId="0">
      <selection activeCell="G15" sqref="G15"/>
    </sheetView>
  </sheetViews>
  <sheetFormatPr defaultColWidth="11.5546875" defaultRowHeight="15"/>
  <cols>
    <col min="1" max="1" width="15.77734375" customWidth="1"/>
    <col min="2" max="2" width="11.77734375" customWidth="1"/>
    <col min="3" max="8" width="15.77734375" customWidth="1"/>
  </cols>
  <sheetData>
    <row r="1" spans="1:8" ht="20.100000000000001" customHeight="1">
      <c r="A1" s="2" t="s">
        <v>49</v>
      </c>
      <c r="B1" s="2" t="s">
        <v>18</v>
      </c>
      <c r="C1" s="2" t="s">
        <v>27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7</v>
      </c>
    </row>
    <row r="2" spans="1:8" ht="21.95" customHeight="1">
      <c r="A2" t="s">
        <v>11</v>
      </c>
      <c r="B2">
        <v>421</v>
      </c>
      <c r="C2">
        <v>0</v>
      </c>
      <c r="D2">
        <v>12</v>
      </c>
      <c r="E2">
        <v>8</v>
      </c>
      <c r="F2">
        <v>1</v>
      </c>
      <c r="G2">
        <v>0</v>
      </c>
      <c r="H2">
        <f>SUM(B2:G2)</f>
        <v>442</v>
      </c>
    </row>
    <row r="3" spans="1:8" ht="21.95" customHeight="1">
      <c r="A3" t="s">
        <v>12</v>
      </c>
      <c r="B3">
        <v>402</v>
      </c>
      <c r="C3">
        <v>0</v>
      </c>
      <c r="D3">
        <v>10</v>
      </c>
      <c r="E3">
        <v>2</v>
      </c>
      <c r="F3">
        <v>0</v>
      </c>
      <c r="G3">
        <v>0</v>
      </c>
      <c r="H3">
        <f t="shared" ref="H3:H8" si="0">SUM(B3:G3)</f>
        <v>414</v>
      </c>
    </row>
    <row r="4" spans="1:8" ht="21.95" customHeight="1">
      <c r="A4" t="s">
        <v>13</v>
      </c>
      <c r="B4">
        <v>1195</v>
      </c>
      <c r="C4">
        <v>0</v>
      </c>
      <c r="D4">
        <v>16</v>
      </c>
      <c r="E4">
        <v>0</v>
      </c>
      <c r="F4">
        <v>0</v>
      </c>
      <c r="G4">
        <v>0</v>
      </c>
      <c r="H4">
        <f t="shared" si="0"/>
        <v>1211</v>
      </c>
    </row>
    <row r="5" spans="1:8" ht="21.95" customHeight="1">
      <c r="A5" t="s">
        <v>14</v>
      </c>
      <c r="B5">
        <v>2583</v>
      </c>
      <c r="C5">
        <v>0</v>
      </c>
      <c r="D5">
        <v>13</v>
      </c>
      <c r="E5">
        <v>0</v>
      </c>
      <c r="F5">
        <v>0</v>
      </c>
      <c r="G5">
        <v>0</v>
      </c>
      <c r="H5">
        <f t="shared" si="0"/>
        <v>2596</v>
      </c>
    </row>
    <row r="6" spans="1:8" ht="21.95" customHeight="1">
      <c r="A6" t="s">
        <v>15</v>
      </c>
      <c r="B6">
        <v>2263</v>
      </c>
      <c r="C6">
        <v>0</v>
      </c>
      <c r="D6">
        <v>3</v>
      </c>
      <c r="E6">
        <v>0</v>
      </c>
      <c r="F6">
        <v>0</v>
      </c>
      <c r="G6">
        <v>0</v>
      </c>
      <c r="H6">
        <f t="shared" si="0"/>
        <v>2266</v>
      </c>
    </row>
    <row r="7" spans="1:8" ht="21.95" customHeight="1">
      <c r="A7" t="s">
        <v>16</v>
      </c>
      <c r="B7">
        <v>2719</v>
      </c>
      <c r="C7">
        <v>0</v>
      </c>
      <c r="D7">
        <v>4</v>
      </c>
      <c r="E7">
        <v>0</v>
      </c>
      <c r="F7">
        <v>0</v>
      </c>
      <c r="G7">
        <v>0</v>
      </c>
      <c r="H7">
        <f t="shared" si="0"/>
        <v>2723</v>
      </c>
    </row>
    <row r="8" spans="1:8" ht="21.95" customHeight="1">
      <c r="A8" t="s">
        <v>17</v>
      </c>
      <c r="B8">
        <v>2515</v>
      </c>
      <c r="C8">
        <v>0</v>
      </c>
      <c r="D8">
        <v>16</v>
      </c>
      <c r="E8">
        <v>0</v>
      </c>
      <c r="F8">
        <v>0</v>
      </c>
      <c r="G8">
        <v>0</v>
      </c>
      <c r="H8">
        <f t="shared" si="0"/>
        <v>2531</v>
      </c>
    </row>
    <row r="9" spans="1:8" ht="21.95" customHeight="1">
      <c r="A9" t="s">
        <v>60</v>
      </c>
      <c r="B9">
        <v>1399</v>
      </c>
      <c r="C9">
        <v>0</v>
      </c>
      <c r="D9">
        <v>1</v>
      </c>
      <c r="E9">
        <v>0</v>
      </c>
      <c r="F9">
        <v>0</v>
      </c>
      <c r="G9">
        <v>1</v>
      </c>
      <c r="H9">
        <f>SUM(B9:G9)</f>
        <v>1401</v>
      </c>
    </row>
    <row r="10" spans="1:8" ht="21.95" customHeight="1">
      <c r="A10" t="s">
        <v>67</v>
      </c>
      <c r="B10">
        <v>1271</v>
      </c>
      <c r="C10">
        <v>0</v>
      </c>
      <c r="D10">
        <v>2</v>
      </c>
      <c r="E10">
        <v>0</v>
      </c>
      <c r="F10">
        <v>0</v>
      </c>
      <c r="G10">
        <v>0</v>
      </c>
      <c r="H10">
        <f>SUM(B10:G10)</f>
        <v>1273</v>
      </c>
    </row>
    <row r="11" spans="1:8" ht="21.95" customHeight="1">
      <c r="A11" t="s">
        <v>70</v>
      </c>
      <c r="B11">
        <v>1333</v>
      </c>
      <c r="C11">
        <v>0</v>
      </c>
      <c r="D11">
        <v>7</v>
      </c>
      <c r="E11">
        <v>0</v>
      </c>
      <c r="F11">
        <v>0</v>
      </c>
      <c r="G11">
        <v>1</v>
      </c>
      <c r="H11">
        <v>1341</v>
      </c>
    </row>
    <row r="12" spans="1:8" ht="21.95" customHeight="1">
      <c r="A12" t="s">
        <v>75</v>
      </c>
      <c r="B12">
        <v>1475</v>
      </c>
      <c r="C12">
        <v>0</v>
      </c>
      <c r="D12">
        <v>6</v>
      </c>
      <c r="E12">
        <v>0</v>
      </c>
      <c r="F12">
        <v>4</v>
      </c>
      <c r="G12">
        <v>0</v>
      </c>
      <c r="H12">
        <v>1341</v>
      </c>
    </row>
    <row r="13" spans="1:8" ht="21.95" customHeight="1">
      <c r="A13" t="s">
        <v>76</v>
      </c>
      <c r="B13">
        <v>2031</v>
      </c>
      <c r="C13">
        <v>0</v>
      </c>
      <c r="D13">
        <v>0</v>
      </c>
      <c r="E13">
        <v>0</v>
      </c>
      <c r="F13">
        <v>5</v>
      </c>
      <c r="G13">
        <v>1</v>
      </c>
      <c r="H13">
        <f>SUM(Table1[[#This Row],[Passed]:[Untested]])</f>
        <v>2037</v>
      </c>
    </row>
    <row r="14" spans="1:8" ht="21.95" customHeight="1">
      <c r="A14" t="s">
        <v>80</v>
      </c>
      <c r="B14">
        <v>1755</v>
      </c>
      <c r="C14">
        <v>0</v>
      </c>
      <c r="D14">
        <v>6</v>
      </c>
      <c r="E14">
        <v>0</v>
      </c>
      <c r="F14">
        <v>0</v>
      </c>
      <c r="G14">
        <v>0</v>
      </c>
      <c r="H14">
        <f>SUM(Table1[[#This Row],[Passed]:[Untested]])</f>
        <v>1761</v>
      </c>
    </row>
    <row r="15" spans="1:8" ht="21.95" customHeight="1"/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6EDF6-834F-DA49-B3FC-BFE1673433AB}">
  <dimension ref="A1:H24"/>
  <sheetViews>
    <sheetView zoomScaleNormal="100" workbookViewId="0">
      <selection activeCell="D26" sqref="D26"/>
    </sheetView>
  </sheetViews>
  <sheetFormatPr defaultColWidth="11.5546875" defaultRowHeight="15"/>
  <cols>
    <col min="1" max="1" width="12.21875" customWidth="1"/>
    <col min="2" max="7" width="15.77734375" customWidth="1"/>
  </cols>
  <sheetData>
    <row r="1" spans="1:8" ht="20.100000000000001" customHeight="1">
      <c r="A1" s="2" t="s">
        <v>49</v>
      </c>
      <c r="B1" s="2" t="s">
        <v>18</v>
      </c>
      <c r="C1" s="2" t="s">
        <v>27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7</v>
      </c>
    </row>
    <row r="2" spans="1:8" ht="21.95" customHeight="1">
      <c r="A2" s="3" t="s">
        <v>23</v>
      </c>
      <c r="B2">
        <v>38</v>
      </c>
      <c r="C2">
        <v>1</v>
      </c>
      <c r="D2">
        <v>0</v>
      </c>
      <c r="E2">
        <v>4</v>
      </c>
      <c r="F2">
        <v>11</v>
      </c>
      <c r="G2">
        <v>0</v>
      </c>
      <c r="H2">
        <f>SUM(Table3[[#This Row],[Passed]:[Untested]])</f>
        <v>54</v>
      </c>
    </row>
    <row r="3" spans="1:8" ht="21.95" customHeight="1">
      <c r="A3" s="3" t="s">
        <v>24</v>
      </c>
    </row>
    <row r="4" spans="1:8" ht="21.95" customHeight="1">
      <c r="A4" s="3" t="s">
        <v>25</v>
      </c>
      <c r="B4">
        <v>43</v>
      </c>
      <c r="C4">
        <v>0</v>
      </c>
      <c r="D4">
        <v>10</v>
      </c>
      <c r="E4">
        <v>0</v>
      </c>
      <c r="F4">
        <v>1</v>
      </c>
      <c r="G4">
        <v>0</v>
      </c>
      <c r="H4">
        <f>SUM(Table3[[#This Row],[Passed]:[Untested]])</f>
        <v>54</v>
      </c>
    </row>
    <row r="5" spans="1:8" ht="21.95" customHeight="1">
      <c r="A5" s="3" t="s">
        <v>26</v>
      </c>
    </row>
    <row r="6" spans="1:8" ht="21.95" customHeight="1">
      <c r="A6" s="3" t="s">
        <v>1</v>
      </c>
      <c r="B6">
        <v>58</v>
      </c>
      <c r="C6">
        <v>0</v>
      </c>
      <c r="D6">
        <v>2</v>
      </c>
      <c r="E6">
        <v>2</v>
      </c>
      <c r="F6">
        <v>5</v>
      </c>
      <c r="G6">
        <v>0</v>
      </c>
      <c r="H6">
        <f>SUM(Table3[[#This Row],[Passed]:[Untested]])</f>
        <v>67</v>
      </c>
    </row>
    <row r="7" spans="1:8" ht="21.95" customHeight="1">
      <c r="A7" s="3" t="s">
        <v>2</v>
      </c>
    </row>
    <row r="8" spans="1:8" ht="21.95" customHeight="1">
      <c r="A8" s="3" t="s">
        <v>3</v>
      </c>
      <c r="B8">
        <v>76</v>
      </c>
      <c r="C8">
        <v>0</v>
      </c>
      <c r="D8">
        <v>7</v>
      </c>
      <c r="E8">
        <v>5</v>
      </c>
      <c r="F8">
        <v>2</v>
      </c>
      <c r="G8">
        <v>0</v>
      </c>
      <c r="H8">
        <f>SUM(Table3[[#This Row],[Passed]:[Untested]])</f>
        <v>90</v>
      </c>
    </row>
    <row r="9" spans="1:8" ht="21.95" customHeight="1">
      <c r="A9" s="3" t="s">
        <v>4</v>
      </c>
    </row>
    <row r="10" spans="1:8" ht="21.95" customHeight="1">
      <c r="A10" s="3" t="s">
        <v>8</v>
      </c>
      <c r="B10">
        <v>121</v>
      </c>
      <c r="C10">
        <v>1</v>
      </c>
      <c r="D10">
        <v>9</v>
      </c>
      <c r="E10">
        <v>10</v>
      </c>
      <c r="F10">
        <v>4</v>
      </c>
      <c r="G10">
        <v>0</v>
      </c>
      <c r="H10">
        <f>SUM(Table3[[#This Row],[Passed]:[Untested]])</f>
        <v>145</v>
      </c>
    </row>
    <row r="11" spans="1:8" ht="21.95" customHeight="1">
      <c r="A11" s="3" t="s">
        <v>9</v>
      </c>
    </row>
    <row r="12" spans="1:8" ht="21.95" customHeight="1">
      <c r="A12" s="3" t="s">
        <v>10</v>
      </c>
      <c r="B12">
        <v>148</v>
      </c>
      <c r="C12">
        <v>0</v>
      </c>
      <c r="D12">
        <v>6</v>
      </c>
      <c r="E12">
        <v>3</v>
      </c>
      <c r="F12">
        <v>4</v>
      </c>
      <c r="G12">
        <v>0</v>
      </c>
      <c r="H12">
        <f>SUM(Table3[[#This Row],[Passed]:[Untested]])</f>
        <v>161</v>
      </c>
    </row>
    <row r="13" spans="1:8" ht="21.95" customHeight="1">
      <c r="A13" s="3" t="s">
        <v>61</v>
      </c>
    </row>
    <row r="14" spans="1:8" ht="21.95" customHeight="1">
      <c r="A14" s="3" t="s">
        <v>66</v>
      </c>
      <c r="B14" s="10">
        <v>148</v>
      </c>
      <c r="C14" s="10">
        <v>1</v>
      </c>
      <c r="D14" s="10">
        <v>15</v>
      </c>
      <c r="E14" s="10">
        <v>2</v>
      </c>
      <c r="F14" s="10">
        <v>1</v>
      </c>
      <c r="G14" s="10">
        <v>0</v>
      </c>
      <c r="H14" s="11">
        <f>SUM(Table3[[#This Row],[Passed]:[Untested]])</f>
        <v>167</v>
      </c>
    </row>
    <row r="15" spans="1:8" ht="21.95" customHeight="1">
      <c r="A15" s="3" t="s">
        <v>68</v>
      </c>
      <c r="H15" s="13"/>
    </row>
    <row r="16" spans="1:8" ht="21.95" customHeight="1">
      <c r="A16" s="3" t="s">
        <v>69</v>
      </c>
      <c r="B16">
        <v>231</v>
      </c>
      <c r="C16">
        <v>3</v>
      </c>
      <c r="D16">
        <v>16</v>
      </c>
      <c r="E16">
        <v>8</v>
      </c>
      <c r="F16">
        <v>1</v>
      </c>
      <c r="G16">
        <v>0</v>
      </c>
      <c r="H16" s="13">
        <f>SUM(Table3[[#This Row],[Passed]:[Untested]])</f>
        <v>259</v>
      </c>
    </row>
    <row r="17" spans="1:8" ht="21.95" customHeight="1">
      <c r="A17" s="3" t="s">
        <v>72</v>
      </c>
      <c r="H17" s="13"/>
    </row>
    <row r="18" spans="1:8" ht="21.95" customHeight="1">
      <c r="A18" s="3" t="s">
        <v>74</v>
      </c>
      <c r="B18">
        <v>249</v>
      </c>
      <c r="C18">
        <v>19</v>
      </c>
      <c r="D18">
        <v>8</v>
      </c>
      <c r="E18">
        <v>9</v>
      </c>
      <c r="F18">
        <v>0</v>
      </c>
      <c r="G18">
        <v>0</v>
      </c>
      <c r="H18" s="13">
        <f>SUM(Table3[[#This Row],[Passed]:[Untested]])</f>
        <v>285</v>
      </c>
    </row>
    <row r="19" spans="1:8" ht="21.95" customHeight="1">
      <c r="A19" s="3" t="s">
        <v>77</v>
      </c>
      <c r="B19">
        <v>155</v>
      </c>
      <c r="C19">
        <v>0</v>
      </c>
      <c r="D19">
        <v>2</v>
      </c>
      <c r="E19">
        <v>5</v>
      </c>
      <c r="F19">
        <v>0</v>
      </c>
      <c r="G19">
        <v>0</v>
      </c>
      <c r="H19" s="13">
        <f>SUM(Table3[[#This Row],[Passed]:[Untested]])</f>
        <v>162</v>
      </c>
    </row>
    <row r="20" spans="1:8" ht="21.95" customHeight="1">
      <c r="A20" s="3" t="s">
        <v>79</v>
      </c>
      <c r="B20">
        <v>225</v>
      </c>
      <c r="C20">
        <v>1</v>
      </c>
      <c r="D20">
        <v>7</v>
      </c>
      <c r="E20">
        <v>11</v>
      </c>
      <c r="F20">
        <v>2</v>
      </c>
      <c r="G20">
        <v>0</v>
      </c>
      <c r="H20" s="13">
        <f>SUM(Table3[[#This Row],[Passed]:[Untested]])</f>
        <v>246</v>
      </c>
    </row>
    <row r="21" spans="1:8" ht="21.95" customHeight="1">
      <c r="A21" s="3" t="s">
        <v>81</v>
      </c>
      <c r="B21">
        <v>281</v>
      </c>
      <c r="C21">
        <v>2</v>
      </c>
      <c r="D21">
        <v>10</v>
      </c>
      <c r="E21">
        <v>8</v>
      </c>
      <c r="F21">
        <v>2</v>
      </c>
      <c r="G21">
        <v>0</v>
      </c>
      <c r="H21" s="13">
        <f>SUM(Table3[[#This Row],[Passed]:[Untested]])</f>
        <v>303</v>
      </c>
    </row>
    <row r="22" spans="1:8" ht="21.95" customHeight="1">
      <c r="A22" s="3" t="s">
        <v>83</v>
      </c>
      <c r="B22">
        <v>291</v>
      </c>
      <c r="C22">
        <v>20</v>
      </c>
      <c r="D22">
        <v>1</v>
      </c>
      <c r="E22">
        <v>16</v>
      </c>
      <c r="F22">
        <v>3</v>
      </c>
      <c r="G22">
        <v>0</v>
      </c>
      <c r="H22" s="13">
        <f>SUM(Table3[[#This Row],[Passed]:[Untested]])</f>
        <v>331</v>
      </c>
    </row>
    <row r="23" spans="1:8" ht="21.95" customHeight="1">
      <c r="A23" s="3" t="s">
        <v>84</v>
      </c>
      <c r="B23">
        <v>267</v>
      </c>
      <c r="C23">
        <v>0</v>
      </c>
      <c r="D23">
        <v>3</v>
      </c>
      <c r="E23">
        <v>8</v>
      </c>
      <c r="F23">
        <v>1</v>
      </c>
      <c r="G23">
        <v>0</v>
      </c>
      <c r="H23" s="13">
        <f>SUM(Table3[[#This Row],[Passed]:[Untested]])</f>
        <v>279</v>
      </c>
    </row>
    <row r="24" spans="1:8" ht="21.95" customHeight="1">
      <c r="A24" s="3" t="s">
        <v>85</v>
      </c>
      <c r="B24">
        <v>343</v>
      </c>
      <c r="C24">
        <v>0</v>
      </c>
      <c r="D24">
        <v>8</v>
      </c>
      <c r="E24">
        <v>7</v>
      </c>
      <c r="F24">
        <v>4</v>
      </c>
      <c r="G24">
        <v>0</v>
      </c>
      <c r="H24" s="13">
        <f>SUM(Table3[[#This Row],[Passed]:[Untested]])</f>
        <v>362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79DB4-6EC1-E840-9DE9-46C117A6F960}">
  <dimension ref="A1:H21"/>
  <sheetViews>
    <sheetView zoomScaleNormal="100" workbookViewId="0">
      <selection activeCell="I10" sqref="I10"/>
    </sheetView>
  </sheetViews>
  <sheetFormatPr defaultColWidth="11.5546875" defaultRowHeight="15"/>
  <cols>
    <col min="1" max="1" width="15.33203125" customWidth="1"/>
    <col min="2" max="2" width="15.77734375" customWidth="1"/>
    <col min="3" max="4" width="17.21875" customWidth="1"/>
    <col min="5" max="5" width="15.88671875" customWidth="1"/>
    <col min="6" max="6" width="15" customWidth="1"/>
    <col min="7" max="7" width="14.33203125" customWidth="1"/>
    <col min="8" max="8" width="15.44140625" customWidth="1"/>
  </cols>
  <sheetData>
    <row r="1" spans="1:8">
      <c r="A1" t="s">
        <v>37</v>
      </c>
      <c r="B1" s="3" t="s">
        <v>29</v>
      </c>
      <c r="C1" s="3" t="s">
        <v>58</v>
      </c>
      <c r="D1" s="3" t="s">
        <v>28</v>
      </c>
      <c r="E1" s="3" t="s">
        <v>62</v>
      </c>
      <c r="F1" s="3" t="s">
        <v>63</v>
      </c>
      <c r="G1" s="3" t="s">
        <v>5</v>
      </c>
      <c r="H1" s="3" t="s">
        <v>7</v>
      </c>
    </row>
    <row r="2" spans="1:8">
      <c r="A2" t="s">
        <v>30</v>
      </c>
      <c r="B2">
        <v>9</v>
      </c>
      <c r="C2">
        <v>0</v>
      </c>
      <c r="D2">
        <v>0</v>
      </c>
      <c r="E2">
        <v>0</v>
      </c>
      <c r="F2" s="3">
        <v>0</v>
      </c>
      <c r="G2">
        <v>92</v>
      </c>
      <c r="H2">
        <f>SUM(Table7[[#This Row],[To Do]:[Done]])</f>
        <v>101</v>
      </c>
    </row>
    <row r="3" spans="1:8">
      <c r="A3" t="s">
        <v>31</v>
      </c>
      <c r="B3">
        <v>7</v>
      </c>
      <c r="C3">
        <v>0</v>
      </c>
      <c r="D3">
        <v>0</v>
      </c>
      <c r="E3">
        <v>0</v>
      </c>
      <c r="F3" s="3">
        <v>0</v>
      </c>
      <c r="G3">
        <v>59</v>
      </c>
      <c r="H3">
        <f>SUM(Table7[[#This Row],[To Do]:[Done]])</f>
        <v>66</v>
      </c>
    </row>
    <row r="4" spans="1:8">
      <c r="A4" t="s">
        <v>32</v>
      </c>
      <c r="B4">
        <v>25</v>
      </c>
      <c r="C4">
        <v>0</v>
      </c>
      <c r="D4">
        <v>0</v>
      </c>
      <c r="E4">
        <v>0</v>
      </c>
      <c r="F4" s="3">
        <v>0</v>
      </c>
      <c r="G4">
        <v>168</v>
      </c>
      <c r="H4">
        <f>SUM(Table7[[#This Row],[To Do]:[Done]])</f>
        <v>193</v>
      </c>
    </row>
    <row r="5" spans="1:8">
      <c r="A5" t="s">
        <v>33</v>
      </c>
      <c r="B5">
        <v>31</v>
      </c>
      <c r="C5">
        <v>0</v>
      </c>
      <c r="D5">
        <v>0</v>
      </c>
      <c r="E5">
        <v>0</v>
      </c>
      <c r="F5" s="3">
        <v>0</v>
      </c>
      <c r="G5">
        <v>156</v>
      </c>
      <c r="H5">
        <f>SUM(Table7[[#This Row],[To Do]:[Done]])</f>
        <v>187</v>
      </c>
    </row>
    <row r="6" spans="1:8">
      <c r="A6" t="s">
        <v>34</v>
      </c>
      <c r="B6">
        <v>15</v>
      </c>
      <c r="C6">
        <v>0</v>
      </c>
      <c r="D6">
        <v>0</v>
      </c>
      <c r="E6">
        <v>0</v>
      </c>
      <c r="F6" s="3">
        <v>0</v>
      </c>
      <c r="G6">
        <v>76</v>
      </c>
      <c r="H6">
        <f>SUM(Table7[[#This Row],[To Do]:[Done]])</f>
        <v>91</v>
      </c>
    </row>
    <row r="7" spans="1:8">
      <c r="A7" t="s">
        <v>35</v>
      </c>
      <c r="B7">
        <v>15</v>
      </c>
      <c r="C7">
        <v>0</v>
      </c>
      <c r="D7">
        <v>1</v>
      </c>
      <c r="E7">
        <v>0</v>
      </c>
      <c r="F7" s="3">
        <v>0</v>
      </c>
      <c r="G7">
        <v>61</v>
      </c>
      <c r="H7">
        <f>SUM(Table7[[#This Row],[To Do]:[Done]])</f>
        <v>77</v>
      </c>
    </row>
    <row r="8" spans="1:8">
      <c r="A8" t="s">
        <v>36</v>
      </c>
      <c r="B8">
        <v>7</v>
      </c>
      <c r="C8">
        <v>0</v>
      </c>
      <c r="D8">
        <v>0</v>
      </c>
      <c r="E8">
        <v>0</v>
      </c>
      <c r="F8" s="3">
        <v>0</v>
      </c>
      <c r="G8">
        <v>46</v>
      </c>
      <c r="H8">
        <f>SUM(Table7[[#This Row],[To Do]:[Done]])</f>
        <v>53</v>
      </c>
    </row>
    <row r="9" spans="1:8">
      <c r="A9" t="s">
        <v>11</v>
      </c>
      <c r="B9">
        <v>18</v>
      </c>
      <c r="C9">
        <v>0</v>
      </c>
      <c r="D9">
        <v>2</v>
      </c>
      <c r="E9">
        <v>0</v>
      </c>
      <c r="F9" s="3">
        <v>0</v>
      </c>
      <c r="G9">
        <v>42</v>
      </c>
      <c r="H9">
        <f>SUM(Table7[[#This Row],[To Do]:[Done]])</f>
        <v>62</v>
      </c>
    </row>
    <row r="10" spans="1:8">
      <c r="A10" t="s">
        <v>12</v>
      </c>
      <c r="B10">
        <v>17</v>
      </c>
      <c r="C10">
        <v>0</v>
      </c>
      <c r="D10">
        <v>1</v>
      </c>
      <c r="E10">
        <v>0</v>
      </c>
      <c r="F10" s="3">
        <v>0</v>
      </c>
      <c r="G10">
        <v>33</v>
      </c>
      <c r="H10">
        <f>SUM(Table7[[#This Row],[To Do]:[Done]])</f>
        <v>51</v>
      </c>
    </row>
    <row r="11" spans="1:8">
      <c r="A11" t="s">
        <v>13</v>
      </c>
      <c r="B11">
        <v>26</v>
      </c>
      <c r="C11">
        <v>0</v>
      </c>
      <c r="D11">
        <v>0</v>
      </c>
      <c r="E11">
        <v>0</v>
      </c>
      <c r="F11" s="3">
        <v>0</v>
      </c>
      <c r="G11">
        <v>25</v>
      </c>
      <c r="H11">
        <f>SUM(Table7[[#This Row],[To Do]:[Done]])</f>
        <v>51</v>
      </c>
    </row>
    <row r="12" spans="1:8">
      <c r="A12" t="s">
        <v>14</v>
      </c>
      <c r="B12">
        <v>15</v>
      </c>
      <c r="C12">
        <v>0</v>
      </c>
      <c r="D12">
        <v>0</v>
      </c>
      <c r="E12">
        <v>0</v>
      </c>
      <c r="F12" s="3">
        <v>0</v>
      </c>
      <c r="G12">
        <v>55</v>
      </c>
      <c r="H12">
        <f>SUM(Table7[[#This Row],[To Do]:[Done]])</f>
        <v>70</v>
      </c>
    </row>
    <row r="13" spans="1:8">
      <c r="A13" t="s">
        <v>15</v>
      </c>
      <c r="B13">
        <v>9</v>
      </c>
      <c r="C13">
        <v>0</v>
      </c>
      <c r="D13">
        <v>0</v>
      </c>
      <c r="E13">
        <v>1</v>
      </c>
      <c r="F13" s="3">
        <v>0</v>
      </c>
      <c r="G13">
        <v>38</v>
      </c>
      <c r="H13">
        <f>SUM(Table7[[#This Row],[To Do]:[Done]])</f>
        <v>48</v>
      </c>
    </row>
    <row r="14" spans="1:8">
      <c r="A14" t="s">
        <v>16</v>
      </c>
      <c r="B14">
        <v>5</v>
      </c>
      <c r="C14">
        <v>0</v>
      </c>
      <c r="D14">
        <v>0</v>
      </c>
      <c r="E14">
        <v>0</v>
      </c>
      <c r="F14" s="3">
        <v>0</v>
      </c>
      <c r="G14">
        <v>33</v>
      </c>
      <c r="H14">
        <f>SUM(Table7[[#This Row],[To Do]:[Done]])</f>
        <v>38</v>
      </c>
    </row>
    <row r="15" spans="1:8">
      <c r="A15" t="s">
        <v>17</v>
      </c>
      <c r="B15">
        <v>11</v>
      </c>
      <c r="C15">
        <v>1</v>
      </c>
      <c r="D15">
        <v>0</v>
      </c>
      <c r="E15">
        <v>0</v>
      </c>
      <c r="F15" s="3">
        <v>0</v>
      </c>
      <c r="G15">
        <v>28</v>
      </c>
      <c r="H15">
        <f>SUM(Table7[[#This Row],[To Do]:[Done]])</f>
        <v>40</v>
      </c>
    </row>
    <row r="16" spans="1:8">
      <c r="A16" t="s">
        <v>60</v>
      </c>
      <c r="B16">
        <v>2</v>
      </c>
      <c r="C16">
        <v>0</v>
      </c>
      <c r="D16">
        <v>0</v>
      </c>
      <c r="E16">
        <v>0</v>
      </c>
      <c r="F16" s="3">
        <v>0</v>
      </c>
      <c r="G16">
        <v>1</v>
      </c>
      <c r="H16">
        <f>SUM(Table7[[#This Row],[To Do]:[Done]])</f>
        <v>3</v>
      </c>
    </row>
    <row r="17" spans="1:8">
      <c r="A17" t="s">
        <v>67</v>
      </c>
      <c r="B17">
        <v>15</v>
      </c>
      <c r="C17">
        <v>0</v>
      </c>
      <c r="D17">
        <v>0</v>
      </c>
      <c r="E17">
        <v>0</v>
      </c>
      <c r="F17" s="3">
        <v>0</v>
      </c>
      <c r="G17">
        <v>7</v>
      </c>
      <c r="H17">
        <f>SUM(Table7[[#This Row],[To Do]:[Done]])</f>
        <v>22</v>
      </c>
    </row>
    <row r="18" spans="1:8">
      <c r="A18" t="s">
        <v>70</v>
      </c>
      <c r="B18">
        <v>1</v>
      </c>
      <c r="C18">
        <v>0</v>
      </c>
      <c r="D18">
        <v>0</v>
      </c>
      <c r="E18">
        <v>0</v>
      </c>
      <c r="F18" s="3">
        <v>0</v>
      </c>
      <c r="G18">
        <v>11</v>
      </c>
      <c r="H18">
        <f>SUM(Table7[[#This Row],[To Do]:[Done]])</f>
        <v>12</v>
      </c>
    </row>
    <row r="19" spans="1:8">
      <c r="A19" t="s">
        <v>75</v>
      </c>
      <c r="B19">
        <v>5</v>
      </c>
      <c r="C19">
        <v>0</v>
      </c>
      <c r="D19">
        <v>0</v>
      </c>
      <c r="E19">
        <v>0</v>
      </c>
      <c r="F19" s="3">
        <v>0</v>
      </c>
      <c r="G19">
        <v>8</v>
      </c>
      <c r="H19" s="12">
        <f>SUM(Table7[[#This Row],[To Do]:[Done]])</f>
        <v>13</v>
      </c>
    </row>
    <row r="20" spans="1:8">
      <c r="A20" t="s">
        <v>76</v>
      </c>
      <c r="B20">
        <v>18</v>
      </c>
      <c r="C20">
        <v>1</v>
      </c>
      <c r="D20">
        <v>0</v>
      </c>
      <c r="E20">
        <v>2</v>
      </c>
      <c r="F20" s="3">
        <v>0</v>
      </c>
      <c r="G20">
        <v>26</v>
      </c>
      <c r="H20" s="12">
        <f>SUM(Table7[[#This Row],[To Do]:[Done]])</f>
        <v>47</v>
      </c>
    </row>
    <row r="21" spans="1:8">
      <c r="A21" t="s">
        <v>80</v>
      </c>
      <c r="B21">
        <v>11</v>
      </c>
      <c r="C21">
        <v>1</v>
      </c>
      <c r="D21">
        <v>1</v>
      </c>
      <c r="E21">
        <v>0</v>
      </c>
      <c r="F21" s="3">
        <v>0</v>
      </c>
      <c r="G21">
        <v>25</v>
      </c>
      <c r="H21" s="12">
        <f>SUM(Table7[[#This Row],[To Do]:[Done]])</f>
        <v>38</v>
      </c>
    </row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87DEB-55FC-DC4E-A4B1-F7171B8F3237}">
  <dimension ref="A1:H20"/>
  <sheetViews>
    <sheetView zoomScaleNormal="100" workbookViewId="0">
      <selection activeCell="G20" sqref="G2:G20"/>
    </sheetView>
  </sheetViews>
  <sheetFormatPr defaultColWidth="11.5546875" defaultRowHeight="15"/>
  <cols>
    <col min="1" max="1" width="18.21875" customWidth="1"/>
    <col min="2" max="2" width="14.44140625" customWidth="1"/>
    <col min="3" max="3" width="23.21875" customWidth="1"/>
    <col min="4" max="4" width="23.109375" customWidth="1"/>
    <col min="5" max="5" width="18.109375" customWidth="1"/>
    <col min="6" max="7" width="20.109375" customWidth="1"/>
    <col min="8" max="8" width="14.21875" customWidth="1"/>
  </cols>
  <sheetData>
    <row r="1" spans="1:8" ht="21" thickBot="1">
      <c r="A1" s="6" t="s">
        <v>38</v>
      </c>
      <c r="B1" s="7" t="s">
        <v>39</v>
      </c>
      <c r="C1" s="7" t="s">
        <v>43</v>
      </c>
      <c r="D1" s="7" t="s">
        <v>64</v>
      </c>
      <c r="E1" s="7" t="s">
        <v>41</v>
      </c>
      <c r="F1" s="7" t="s">
        <v>40</v>
      </c>
      <c r="G1" s="8" t="s">
        <v>42</v>
      </c>
      <c r="H1" s="9" t="s">
        <v>7</v>
      </c>
    </row>
    <row r="2" spans="1:8" ht="18" thickBot="1">
      <c r="A2" s="4" t="s">
        <v>52</v>
      </c>
      <c r="B2" s="5">
        <v>0</v>
      </c>
      <c r="C2" s="5">
        <v>0</v>
      </c>
      <c r="D2" s="5">
        <v>0</v>
      </c>
      <c r="E2" s="5">
        <v>0</v>
      </c>
      <c r="F2" s="5">
        <v>20</v>
      </c>
      <c r="G2" s="5">
        <v>3</v>
      </c>
      <c r="H2" s="5">
        <f>SUM(Table5[[#This Row],[To Do (0%)]:[WON''T DO (100%)]])</f>
        <v>23</v>
      </c>
    </row>
    <row r="3" spans="1:8" ht="18" thickBot="1">
      <c r="A3" s="4" t="s">
        <v>53</v>
      </c>
      <c r="B3" s="5">
        <v>0</v>
      </c>
      <c r="C3" s="5">
        <v>0</v>
      </c>
      <c r="D3" s="5">
        <v>0</v>
      </c>
      <c r="E3" s="5">
        <v>0</v>
      </c>
      <c r="F3" s="5">
        <v>20</v>
      </c>
      <c r="G3" s="5">
        <v>2</v>
      </c>
      <c r="H3" s="5">
        <f>SUM(Table5[[#This Row],[To Do (0%)]:[WON''T DO (100%)]])</f>
        <v>22</v>
      </c>
    </row>
    <row r="4" spans="1:8" ht="18" thickBot="1">
      <c r="A4" s="4" t="s">
        <v>54</v>
      </c>
      <c r="B4" s="5">
        <v>0</v>
      </c>
      <c r="C4" s="5">
        <v>0</v>
      </c>
      <c r="D4" s="5">
        <v>0</v>
      </c>
      <c r="E4" s="5">
        <v>0</v>
      </c>
      <c r="F4" s="5">
        <v>16</v>
      </c>
      <c r="G4" s="5">
        <v>2</v>
      </c>
      <c r="H4" s="5">
        <f>SUM(Table5[[#This Row],[To Do (0%)]:[WON''T DO (100%)]])</f>
        <v>18</v>
      </c>
    </row>
    <row r="5" spans="1:8" ht="18" thickBot="1">
      <c r="A5" s="4" t="s">
        <v>55</v>
      </c>
      <c r="B5" s="5">
        <v>0</v>
      </c>
      <c r="C5" s="5">
        <v>0</v>
      </c>
      <c r="D5" s="5">
        <v>0</v>
      </c>
      <c r="E5" s="5">
        <v>0</v>
      </c>
      <c r="F5" s="5">
        <v>16</v>
      </c>
      <c r="G5" s="5">
        <v>2</v>
      </c>
      <c r="H5" s="5">
        <f>SUM(Table5[[#This Row],[To Do (0%)]:[WON''T DO (100%)]])</f>
        <v>18</v>
      </c>
    </row>
    <row r="6" spans="1:8" ht="18" thickBot="1">
      <c r="A6" s="4" t="s">
        <v>56</v>
      </c>
      <c r="B6" s="5">
        <v>0</v>
      </c>
      <c r="C6" s="5">
        <v>0</v>
      </c>
      <c r="D6" s="5">
        <v>0</v>
      </c>
      <c r="E6" s="5">
        <v>0</v>
      </c>
      <c r="F6" s="5">
        <v>55</v>
      </c>
      <c r="G6" s="5">
        <v>4</v>
      </c>
      <c r="H6" s="5">
        <f>SUM(Table5[[#This Row],[To Do (0%)]:[WON''T DO (100%)]])</f>
        <v>59</v>
      </c>
    </row>
    <row r="7" spans="1:8" ht="18" thickBot="1">
      <c r="A7" s="4" t="s">
        <v>57</v>
      </c>
      <c r="B7" s="5">
        <v>0</v>
      </c>
      <c r="C7" s="5">
        <v>0</v>
      </c>
      <c r="D7" s="5">
        <v>0</v>
      </c>
      <c r="E7" s="5">
        <v>0</v>
      </c>
      <c r="F7" s="5">
        <v>35</v>
      </c>
      <c r="G7" s="5">
        <v>4</v>
      </c>
      <c r="H7" s="5">
        <f>SUM(Table5[[#This Row],[To Do (0%)]:[WON''T DO (100%)]])</f>
        <v>39</v>
      </c>
    </row>
    <row r="8" spans="1:8" ht="18" thickBot="1">
      <c r="A8" s="4" t="s">
        <v>44</v>
      </c>
      <c r="B8" s="5">
        <v>0</v>
      </c>
      <c r="C8" s="5">
        <v>1</v>
      </c>
      <c r="D8" s="5">
        <v>0</v>
      </c>
      <c r="E8" s="5">
        <v>0</v>
      </c>
      <c r="F8" s="5">
        <v>39</v>
      </c>
      <c r="G8" s="5">
        <v>2</v>
      </c>
      <c r="H8" s="5">
        <f>SUM(Table5[[#This Row],[To Do (0%)]:[WON''T DO (100%)]])</f>
        <v>42</v>
      </c>
    </row>
    <row r="9" spans="1:8" ht="18" thickBot="1">
      <c r="A9" s="4" t="s">
        <v>45</v>
      </c>
      <c r="B9" s="5">
        <v>0</v>
      </c>
      <c r="C9" s="5">
        <v>1</v>
      </c>
      <c r="D9" s="5">
        <v>0</v>
      </c>
      <c r="E9" s="5">
        <v>0</v>
      </c>
      <c r="F9" s="5">
        <v>39</v>
      </c>
      <c r="G9" s="5">
        <v>6</v>
      </c>
      <c r="H9" s="5">
        <f>SUM(Table5[[#This Row],[To Do (0%)]:[WON''T DO (100%)]])</f>
        <v>46</v>
      </c>
    </row>
    <row r="10" spans="1:8" ht="18" thickBot="1">
      <c r="A10" s="4" t="s">
        <v>46</v>
      </c>
      <c r="B10" s="5">
        <v>0</v>
      </c>
      <c r="C10" s="5">
        <v>1</v>
      </c>
      <c r="D10" s="5">
        <v>0</v>
      </c>
      <c r="E10" s="5">
        <v>0</v>
      </c>
      <c r="F10" s="5">
        <v>45</v>
      </c>
      <c r="G10" s="5">
        <v>7</v>
      </c>
      <c r="H10" s="5">
        <f>SUM(Table5[[#This Row],[To Do (0%)]:[WON''T DO (100%)]])</f>
        <v>53</v>
      </c>
    </row>
    <row r="11" spans="1:8" ht="18" thickBot="1">
      <c r="A11" s="4" t="s">
        <v>47</v>
      </c>
      <c r="B11" s="5">
        <v>0</v>
      </c>
      <c r="C11" s="5">
        <v>1</v>
      </c>
      <c r="D11" s="5">
        <v>0</v>
      </c>
      <c r="E11" s="5">
        <v>0</v>
      </c>
      <c r="F11" s="5">
        <v>18</v>
      </c>
      <c r="G11" s="5">
        <v>1</v>
      </c>
      <c r="H11" s="5">
        <f>SUM(Table5[[#This Row],[To Do (0%)]:[WON''T DO (100%)]])</f>
        <v>20</v>
      </c>
    </row>
    <row r="12" spans="1:8" ht="18" thickBot="1">
      <c r="A12" s="4" t="s">
        <v>48</v>
      </c>
      <c r="B12" s="5">
        <v>2</v>
      </c>
      <c r="C12" s="5">
        <v>1</v>
      </c>
      <c r="D12" s="5">
        <v>0</v>
      </c>
      <c r="E12" s="5">
        <v>0</v>
      </c>
      <c r="F12" s="5">
        <v>25</v>
      </c>
      <c r="G12" s="5">
        <v>4</v>
      </c>
      <c r="H12" s="5">
        <f>SUM(Table5[[#This Row],[To Do (0%)]:[WON''T DO (100%)]])</f>
        <v>32</v>
      </c>
    </row>
    <row r="13" spans="1:8" ht="18" thickBot="1">
      <c r="A13" s="4" t="s">
        <v>50</v>
      </c>
      <c r="B13" s="5">
        <v>3</v>
      </c>
      <c r="C13" s="5">
        <v>0</v>
      </c>
      <c r="D13" s="5">
        <v>0</v>
      </c>
      <c r="E13" s="5">
        <v>0</v>
      </c>
      <c r="F13" s="5">
        <v>45</v>
      </c>
      <c r="G13" s="5">
        <v>5</v>
      </c>
      <c r="H13" s="5">
        <f>SUM(Table5[[#This Row],[To Do (0%)]:[WON''T DO (100%)]])</f>
        <v>53</v>
      </c>
    </row>
    <row r="14" spans="1:8" ht="18" thickBot="1">
      <c r="A14" s="4" t="s">
        <v>51</v>
      </c>
      <c r="B14" s="5">
        <v>0</v>
      </c>
      <c r="C14" s="5">
        <v>0</v>
      </c>
      <c r="D14" s="5">
        <v>0</v>
      </c>
      <c r="E14" s="5">
        <v>0</v>
      </c>
      <c r="F14" s="5">
        <v>24</v>
      </c>
      <c r="G14" s="5">
        <v>1</v>
      </c>
      <c r="H14" s="5">
        <f>SUM(Table5[[#This Row],[To Do (0%)]:[WON''T DO (100%)]])</f>
        <v>25</v>
      </c>
    </row>
    <row r="15" spans="1:8" ht="18" thickBot="1">
      <c r="A15" s="4" t="s">
        <v>65</v>
      </c>
      <c r="B15" s="5">
        <v>0</v>
      </c>
      <c r="C15" s="5">
        <v>0</v>
      </c>
      <c r="D15" s="5">
        <v>0</v>
      </c>
      <c r="E15" s="5">
        <v>0</v>
      </c>
      <c r="F15" s="5">
        <v>43</v>
      </c>
      <c r="G15" s="5">
        <v>0</v>
      </c>
      <c r="H15" s="5">
        <f>SUM(Table5[[#This Row],[To Do (0%)]:[WON''T DO (100%)]])</f>
        <v>43</v>
      </c>
    </row>
    <row r="16" spans="1:8" ht="18" thickBot="1">
      <c r="A16" s="4" t="s">
        <v>71</v>
      </c>
      <c r="B16" s="5">
        <v>0</v>
      </c>
      <c r="C16" s="5">
        <v>0</v>
      </c>
      <c r="D16" s="5">
        <v>0</v>
      </c>
      <c r="E16" s="5">
        <v>0</v>
      </c>
      <c r="F16" s="5">
        <v>35</v>
      </c>
      <c r="G16" s="5">
        <v>0</v>
      </c>
      <c r="H16" s="5">
        <f>SUM(Table5[[#This Row],[To Do (0%)]:[WON''T DO (100%)]])</f>
        <v>35</v>
      </c>
    </row>
    <row r="17" spans="1:8" ht="18" thickBot="1">
      <c r="A17" s="4" t="s">
        <v>73</v>
      </c>
      <c r="B17" s="5">
        <v>0</v>
      </c>
      <c r="C17" s="5">
        <v>0</v>
      </c>
      <c r="D17" s="5">
        <v>0</v>
      </c>
      <c r="E17" s="5">
        <v>0</v>
      </c>
      <c r="F17" s="5">
        <v>28</v>
      </c>
      <c r="G17" s="5">
        <v>0</v>
      </c>
      <c r="H17" s="5">
        <f>SUM(Table5[[#This Row],[To Do (0%)]:[WON''T DO (100%)]])</f>
        <v>28</v>
      </c>
    </row>
    <row r="18" spans="1:8" ht="18" thickBot="1">
      <c r="A18" s="4" t="s">
        <v>78</v>
      </c>
      <c r="B18" s="5">
        <v>9</v>
      </c>
      <c r="C18" s="5">
        <v>1</v>
      </c>
      <c r="D18" s="5">
        <v>1</v>
      </c>
      <c r="E18" s="5">
        <v>0</v>
      </c>
      <c r="F18" s="5">
        <v>32</v>
      </c>
      <c r="G18" s="5">
        <v>0</v>
      </c>
      <c r="H18" s="5">
        <f>SUM(Table5[[#This Row],[To Do (0%)]:[WON''T DO (100%)]])</f>
        <v>43</v>
      </c>
    </row>
    <row r="19" spans="1:8" ht="18" thickBot="1">
      <c r="A19" s="4" t="s">
        <v>82</v>
      </c>
      <c r="B19" s="5">
        <v>18</v>
      </c>
      <c r="C19" s="5">
        <v>2</v>
      </c>
      <c r="D19" s="5">
        <v>2</v>
      </c>
      <c r="E19" s="5">
        <v>4</v>
      </c>
      <c r="F19" s="5">
        <v>5</v>
      </c>
      <c r="G19" s="5">
        <v>0</v>
      </c>
      <c r="H19" s="5">
        <f>SUM(Table5[[#This Row],[To Do (0%)]:[WON''T DO (100%)]])</f>
        <v>31</v>
      </c>
    </row>
    <row r="20" spans="1:8" ht="18" thickBot="1">
      <c r="A20" s="4" t="s">
        <v>86</v>
      </c>
      <c r="B20" s="5">
        <v>3</v>
      </c>
      <c r="C20" s="5">
        <v>0</v>
      </c>
      <c r="D20" s="5">
        <v>0</v>
      </c>
      <c r="E20" s="5">
        <v>0</v>
      </c>
      <c r="F20" s="5">
        <v>0</v>
      </c>
      <c r="G20" s="5">
        <v>0</v>
      </c>
      <c r="H20" s="5">
        <f>SUM(Table5[[#This Row],[To Do (0%)]:[WON''T DO (100%)]])</f>
        <v>3</v>
      </c>
    </row>
  </sheetData>
  <phoneticPr fontId="1" type="noConversion"/>
  <hyperlinks>
    <hyperlink ref="B2" r:id="rId1" display="https://xrspace.atlassian.net/issues/?jql=created+%3E%3D+2025-01-01+AND+created+%3C%3D+2025-12-31+AND+type+%3D+Bug+AND+project+%3D+SOVA+AND+Sprint+%3D+1463+AND+status+%3D+%22To+Do+%280%25%29%22" xr:uid="{6B276DC7-C78E-4167-85B8-8A2835283720}"/>
    <hyperlink ref="D2" r:id="rId2" display="https://xrspace.atlassian.net/issues/?jql=created+%3E%3D+2025-01-01+AND+created+%3C%3D+2025-12-31+AND+type+%3D+Bug+AND+project+%3D+SOVA+AND+Sprint+%3D+1463+AND+status+%3D+%22In+Progress+%2850+%7E+70%25%29%22" xr:uid="{E29B1C67-9E94-4FCE-90CB-D988C804D61E}"/>
    <hyperlink ref="F2" r:id="rId3" display="https://xrspace.atlassian.net/issues/?jql=created+%3E%3D+2025-01-01+AND+created+%3C%3D+2025-12-31+AND+type+%3D+Bug+AND+project+%3D+SOVA+AND+Sprint+%3D+1463+AND+status+%3D+%22Done+%28100%25%29%22" xr:uid="{F9CFA3EB-B84D-457B-977E-B571E4B8272F}"/>
    <hyperlink ref="E2" r:id="rId4" display="https://xrspace.atlassian.net/issues/?jql=created+%3E%3D+2025-01-01+AND+created+%3C%3D+2025-12-31+AND+type+%3D+Bug+AND+project+%3D+SOVA+AND+Sprint+%3D+1463+AND+status+%3D+%22IN+REVIEW+%2880%25%29%22" xr:uid="{0D7FA82B-D715-4616-88C6-7C8ED70A50A8}"/>
    <hyperlink ref="G2" r:id="rId5" display="https://xrspace.atlassian.net/issues/?jql=created+%3E%3D+2025-01-01+AND+created+%3C%3D+2025-12-31+AND+type+%3D+Bug+AND+project+%3D+SOVA+AND+Sprint+%3D+1463+AND+status+%3D+%22WON%27T+DO+%28100%25%29%22" xr:uid="{8DAB2971-CD07-4B4E-8C55-9E76BB9C6C93}"/>
    <hyperlink ref="C2" r:id="rId6" display="https://xrspace.atlassian.net/issues/?jql=created+%3E%3D+2025-01-01+AND+created+%3C%3D+2025-12-31+AND+type+%3D+Bug+AND+project+%3D+SOVA+AND+Sprint+%3D+1463+AND+status+%3D+%22STARTING+%2810+%7E+40%25%29%22" xr:uid="{77C0E040-0F89-47C0-ADB2-F099766EC8B4}"/>
    <hyperlink ref="B3" r:id="rId7" display="https://xrspace.atlassian.net/issues/?jql=created+%3E%3D+2025-01-01+AND+created+%3C%3D+2025-12-31+AND+type+%3D+Bug+AND+project+%3D+SOVA+AND+Sprint+%3D+1466+AND+status+%3D+%22To+Do+%280%25%29%22" xr:uid="{B4AF9E9E-B92E-4158-93A6-9DD528DA41B3}"/>
    <hyperlink ref="D3" r:id="rId8" display="https://xrspace.atlassian.net/issues/?jql=created+%3E%3D+2025-01-01+AND+created+%3C%3D+2025-12-31+AND+type+%3D+Bug+AND+project+%3D+SOVA+AND+Sprint+%3D+1466+AND+status+%3D+%22In+Progress+%2850+%7E+70%25%29%22" xr:uid="{339C2A19-1408-4D95-914C-6DEE2B0B478A}"/>
    <hyperlink ref="F3" r:id="rId9" display="https://xrspace.atlassian.net/issues/?jql=created+%3E%3D+2025-01-01+AND+created+%3C%3D+2025-12-31+AND+type+%3D+Bug+AND+project+%3D+SOVA+AND+Sprint+%3D+1466+AND+status+%3D+%22Done+%28100%25%29%22" xr:uid="{F9EC1512-EB1F-4E69-9820-84B9C70D9EF4}"/>
    <hyperlink ref="E3" r:id="rId10" display="https://xrspace.atlassian.net/issues/?jql=created+%3E%3D+2025-01-01+AND+created+%3C%3D+2025-12-31+AND+type+%3D+Bug+AND+project+%3D+SOVA+AND+Sprint+%3D+1466+AND+status+%3D+%22IN+REVIEW+%2880%25%29%22" xr:uid="{4EC8179C-9B06-481F-A155-79D9CCB66049}"/>
    <hyperlink ref="G3" r:id="rId11" display="https://xrspace.atlassian.net/issues/?jql=created+%3E%3D+2025-01-01+AND+created+%3C%3D+2025-12-31+AND+type+%3D+Bug+AND+project+%3D+SOVA+AND+Sprint+%3D+1466+AND+status+%3D+%22WON%27T+DO+%28100%25%29%22" xr:uid="{539FD4B6-55EC-4965-B0CD-9D4D15BA2DE1}"/>
    <hyperlink ref="C3" r:id="rId12" display="https://xrspace.atlassian.net/issues/?jql=created+%3E%3D+2025-01-01+AND+created+%3C%3D+2025-12-31+AND+type+%3D+Bug+AND+project+%3D+SOVA+AND+Sprint+%3D+1466+AND+status+%3D+%22STARTING+%2810+%7E+40%25%29%22" xr:uid="{2CCFE4E4-5731-4F8A-9B0B-5DCEBFC7D0FC}"/>
    <hyperlink ref="B4" r:id="rId13" display="https://xrspace.atlassian.net/issues/?jql=created+%3E%3D+2025-01-01+AND+created+%3C%3D+2025-12-31+AND+type+%3D+Bug+AND+project+%3D+SOVA+AND+Sprint+%3D+1496+AND+status+%3D+%22To+Do+%280%25%29%22" xr:uid="{B0666F7F-4F76-474E-9666-E72438E8216E}"/>
    <hyperlink ref="D4" r:id="rId14" display="https://xrspace.atlassian.net/issues/?jql=created+%3E%3D+2025-01-01+AND+created+%3C%3D+2025-12-31+AND+type+%3D+Bug+AND+project+%3D+SOVA+AND+Sprint+%3D+1496+AND+status+%3D+%22In+Progress+%2850+%7E+70%25%29%22" xr:uid="{0ED8F35B-355A-4AFA-8F5E-CE0BB226C839}"/>
    <hyperlink ref="F4" r:id="rId15" display="https://xrspace.atlassian.net/issues/?jql=created+%3E%3D+2025-01-01+AND+created+%3C%3D+2025-12-31+AND+type+%3D+Bug+AND+project+%3D+SOVA+AND+Sprint+%3D+1496+AND+status+%3D+%22Done+%28100%25%29%22" xr:uid="{34FD45F5-95DD-4D4B-AA65-1C32D860D72A}"/>
    <hyperlink ref="E4" r:id="rId16" display="https://xrspace.atlassian.net/issues/?jql=created+%3E%3D+2025-01-01+AND+created+%3C%3D+2025-12-31+AND+type+%3D+Bug+AND+project+%3D+SOVA+AND+Sprint+%3D+1496+AND+status+%3D+%22IN+REVIEW+%2880%25%29%22" xr:uid="{0B7F9220-742E-411D-BE4E-714C4C2E13BE}"/>
    <hyperlink ref="G4" r:id="rId17" display="https://xrspace.atlassian.net/issues/?jql=created+%3E%3D+2025-01-01+AND+created+%3C%3D+2025-12-31+AND+type+%3D+Bug+AND+project+%3D+SOVA+AND+Sprint+%3D+1496+AND+status+%3D+%22WON%27T+DO+%28100%25%29%22" xr:uid="{A3D98DBF-38D1-41AE-8196-41C4C0B63FA5}"/>
    <hyperlink ref="C4" r:id="rId18" display="https://xrspace.atlassian.net/issues/?jql=created+%3E%3D+2025-01-01+AND+created+%3C%3D+2025-12-31+AND+type+%3D+Bug+AND+project+%3D+SOVA+AND+Sprint+%3D+1496+AND+status+%3D+%22STARTING+%2810+%7E+40%25%29%22" xr:uid="{AE40AB1E-867E-4CC3-91EB-9E74DC02F262}"/>
    <hyperlink ref="B5" r:id="rId19" display="https://xrspace.atlassian.net/issues/?jql=created+%3E%3D+2025-01-01+AND+created+%3C%3D+2025-12-31+AND+type+%3D+Bug+AND+project+%3D+SOVA+AND+Sprint+%3D+1497+AND+status+%3D+%22To+Do+%280%25%29%22" xr:uid="{A0B23E5C-FE73-4C69-B467-269576B8DA5A}"/>
    <hyperlink ref="D5" r:id="rId20" display="https://xrspace.atlassian.net/issues/?jql=created+%3E%3D+2025-01-01+AND+created+%3C%3D+2025-12-31+AND+type+%3D+Bug+AND+project+%3D+SOVA+AND+Sprint+%3D+1497+AND+status+%3D+%22In+Progress+%2850+%7E+70%25%29%22" xr:uid="{6AAD1ED9-1D2E-404E-A26D-B351CF80AF22}"/>
    <hyperlink ref="F5" r:id="rId21" display="https://xrspace.atlassian.net/issues/?jql=created+%3E%3D+2025-01-01+AND+created+%3C%3D+2025-12-31+AND+type+%3D+Bug+AND+project+%3D+SOVA+AND+Sprint+%3D+1497+AND+status+%3D+%22Done+%28100%25%29%22" xr:uid="{371190CE-8EF2-44A1-84BE-D30BA3B194EF}"/>
    <hyperlink ref="E5" r:id="rId22" display="https://xrspace.atlassian.net/issues/?jql=created+%3E%3D+2025-01-01+AND+created+%3C%3D+2025-12-31+AND+type+%3D+Bug+AND+project+%3D+SOVA+AND+Sprint+%3D+1497+AND+status+%3D+%22IN+REVIEW+%2880%25%29%22" xr:uid="{C1F15355-B763-4A20-AB01-7FAE1755B939}"/>
    <hyperlink ref="G5" r:id="rId23" display="https://xrspace.atlassian.net/issues/?jql=created+%3E%3D+2025-01-01+AND+created+%3C%3D+2025-12-31+AND+type+%3D+Bug+AND+project+%3D+SOVA+AND+Sprint+%3D+1497+AND+status+%3D+%22WON%27T+DO+%28100%25%29%22" xr:uid="{EE93956B-AA87-4D83-A060-EE17D321DBDA}"/>
    <hyperlink ref="C5" r:id="rId24" display="https://xrspace.atlassian.net/issues/?jql=created+%3E%3D+2025-01-01+AND+created+%3C%3D+2025-12-31+AND+type+%3D+Bug+AND+project+%3D+SOVA+AND+Sprint+%3D+1497+AND+status+%3D+%22STARTING+%2810+%7E+40%25%29%22" xr:uid="{6A8333C1-A359-460D-9A42-D38ED2EAC302}"/>
    <hyperlink ref="B6" r:id="rId25" display="https://xrspace.atlassian.net/issues/?jql=created+%3E%3D+2025-01-01+AND+created+%3C%3D+2025-12-31+AND+type+%3D+Bug+AND+project+%3D+SOVA+AND+Sprint+%3D+1498+AND+status+%3D+%22To+Do+%280%25%29%22" xr:uid="{C74417EF-160C-4BDF-B96D-0D63DADD2F4E}"/>
    <hyperlink ref="D6" r:id="rId26" display="https://xrspace.atlassian.net/issues/?jql=created+%3E%3D+2025-01-01+AND+created+%3C%3D+2025-12-31+AND+type+%3D+Bug+AND+project+%3D+SOVA+AND+Sprint+%3D+1498+AND+status+%3D+%22In+Progress+%2850+%7E+70%25%29%22" xr:uid="{1AF67228-403A-4ED6-8D8E-126736CC71E8}"/>
    <hyperlink ref="F6" r:id="rId27" display="https://xrspace.atlassian.net/issues/?jql=created+%3E%3D+2025-01-01+AND+created+%3C%3D+2025-12-31+AND+type+%3D+Bug+AND+project+%3D+SOVA+AND+Sprint+%3D+1498+AND+status+%3D+%22Done+%28100%25%29%22" xr:uid="{BC65B6BB-ADFB-4B81-92D8-07F406A50B49}"/>
    <hyperlink ref="E6" r:id="rId28" display="https://xrspace.atlassian.net/issues/?jql=created+%3E%3D+2025-01-01+AND+created+%3C%3D+2025-12-31+AND+type+%3D+Bug+AND+project+%3D+SOVA+AND+Sprint+%3D+1498+AND+status+%3D+%22IN+REVIEW+%2880%25%29%22" xr:uid="{ECAE9E95-3E3B-4C90-83D6-E6C20E58C723}"/>
    <hyperlink ref="G6" r:id="rId29" display="https://xrspace.atlassian.net/issues/?jql=created+%3E%3D+2025-01-01+AND+created+%3C%3D+2025-12-31+AND+type+%3D+Bug+AND+project+%3D+SOVA+AND+Sprint+%3D+1498+AND+status+%3D+%22WON%27T+DO+%28100%25%29%22" xr:uid="{10D3EA53-C391-48E3-82A7-0313C4F27FCF}"/>
    <hyperlink ref="C6" r:id="rId30" display="https://xrspace.atlassian.net/issues/?jql=created+%3E%3D+2025-01-01+AND+created+%3C%3D+2025-12-31+AND+type+%3D+Bug+AND+project+%3D+SOVA+AND+Sprint+%3D+1498+AND+status+%3D+%22STARTING+%2810+%7E+40%25%29%22" xr:uid="{6C09088A-A0E1-410F-8F8E-704F577602EB}"/>
    <hyperlink ref="B7" r:id="rId31" display="https://xrspace.atlassian.net/issues/?jql=created+%3E%3D+2025-01-01+AND+created+%3C%3D+2025-12-31+AND+type+%3D+Bug+AND+project+%3D+SOVA+AND+Sprint+%3D+1499+AND+status+%3D+%22To+Do+%280%25%29%22" xr:uid="{E94E588F-2AFD-4121-9EDC-349FADEFD452}"/>
    <hyperlink ref="D7" r:id="rId32" display="https://xrspace.atlassian.net/issues/?jql=created+%3E%3D+2025-01-01+AND+created+%3C%3D+2025-12-31+AND+type+%3D+Bug+AND+project+%3D+SOVA+AND+Sprint+%3D+1499+AND+status+%3D+%22In+Progress+%2850+%7E+70%25%29%22" xr:uid="{4424555B-2492-4E40-9A29-4266820AF4AA}"/>
    <hyperlink ref="F7" r:id="rId33" display="https://xrspace.atlassian.net/issues/?jql=created+%3E%3D+2025-01-01+AND+created+%3C%3D+2025-12-31+AND+type+%3D+Bug+AND+project+%3D+SOVA+AND+Sprint+%3D+1499+AND+status+%3D+%22Done+%28100%25%29%22" xr:uid="{4A600E39-F13C-40C8-A510-DFDEF8AFB9AC}"/>
    <hyperlink ref="E7" r:id="rId34" display="https://xrspace.atlassian.net/issues/?jql=created+%3E%3D+2025-01-01+AND+created+%3C%3D+2025-12-31+AND+type+%3D+Bug+AND+project+%3D+SOVA+AND+Sprint+%3D+1499+AND+status+%3D+%22IN+REVIEW+%2880%25%29%22" xr:uid="{5E2B3914-52C4-40FE-8F5E-552762489FDF}"/>
    <hyperlink ref="G7" r:id="rId35" display="https://xrspace.atlassian.net/issues/?jql=created+%3E%3D+2025-01-01+AND+created+%3C%3D+2025-12-31+AND+type+%3D+Bug+AND+project+%3D+SOVA+AND+Sprint+%3D+1499+AND+status+%3D+%22WON%27T+DO+%28100%25%29%22" xr:uid="{220F41A6-E7BC-44CA-B377-969B9CCC0788}"/>
    <hyperlink ref="C7" r:id="rId36" display="https://xrspace.atlassian.net/issues/?jql=created+%3E%3D+2025-01-01+AND+created+%3C%3D+2025-12-31+AND+type+%3D+Bug+AND+project+%3D+SOVA+AND+Sprint+%3D+1499+AND+status+%3D+%22STARTING+%2810+%7E+40%25%29%22" xr:uid="{FAFAD400-95AE-43D5-B332-1F7E19925E17}"/>
    <hyperlink ref="B8" r:id="rId37" display="https://xrspace.atlassian.net/issues/?jql=created+%3E%3D+2025-01-01+AND+created+%3C%3D+2025-12-31+AND+type+%3D+Bug+AND+project+%3D+SOVA+AND+Sprint+%3D+2156+AND+status+%3D+%22To+Do+%280%25%29%22" xr:uid="{319031C9-0119-447B-B5AB-E5F50B2BF308}"/>
    <hyperlink ref="D8" r:id="rId38" display="https://xrspace.atlassian.net/issues/?jql=created+%3E%3D+2025-01-01+AND+created+%3C%3D+2025-12-31+AND+type+%3D+Bug+AND+project+%3D+SOVA+AND+Sprint+%3D+2156+AND+status+%3D+%22In+Progress+%2850+%7E+70%25%29%22" xr:uid="{A3B60962-3376-4068-8568-3561C8FC3153}"/>
    <hyperlink ref="F8" r:id="rId39" display="https://xrspace.atlassian.net/issues/?jql=created+%3E%3D+2025-01-01+AND+created+%3C%3D+2025-12-31+AND+type+%3D+Bug+AND+project+%3D+SOVA+AND+Sprint+%3D+2156+AND+status+%3D+%22Done+%28100%25%29%22" xr:uid="{D439E31A-7E13-4CCB-BBB6-5AC4DC0826D4}"/>
    <hyperlink ref="E8" r:id="rId40" display="https://xrspace.atlassian.net/issues/?jql=created+%3E%3D+2025-01-01+AND+created+%3C%3D+2025-12-31+AND+type+%3D+Bug+AND+project+%3D+SOVA+AND+Sprint+%3D+2156+AND+status+%3D+%22IN+REVIEW+%2880%25%29%22" xr:uid="{86CED9D6-9E79-4E20-A43B-E75A4E295F86}"/>
    <hyperlink ref="G8" r:id="rId41" display="https://xrspace.atlassian.net/issues/?jql=created+%3E%3D+2025-01-01+AND+created+%3C%3D+2025-12-31+AND+type+%3D+Bug+AND+project+%3D+SOVA+AND+Sprint+%3D+2156+AND+status+%3D+%22WON%27T+DO+%28100%25%29%22" xr:uid="{FAE81A31-304D-4C51-899F-BBFB3C040571}"/>
    <hyperlink ref="C8" r:id="rId42" display="https://xrspace.atlassian.net/issues/?jql=created+%3E%3D+2025-01-01+AND+created+%3C%3D+2025-12-31+AND+type+%3D+Bug+AND+project+%3D+SOVA+AND+Sprint+%3D+2156+AND+status+%3D+%22STARTING+%2810+%7E+40%25%29%22" xr:uid="{C00624D5-9244-45D9-BD03-2970C261108A}"/>
    <hyperlink ref="B9" r:id="rId43" display="https://xrspace.atlassian.net/issues/?jql=created+%3E%3D+2025-01-01+AND+created+%3C%3D+2025-12-31+AND+type+%3D+Bug+AND+project+%3D+SOVA+AND+Sprint+%3D+2157+AND+status+%3D+%22To+Do+%280%25%29%22" xr:uid="{1EE8EA0F-8C1D-4FF4-9753-8BE286C0022B}"/>
    <hyperlink ref="D9" r:id="rId44" display="https://xrspace.atlassian.net/issues/?jql=created+%3E%3D+2025-01-01+AND+created+%3C%3D+2025-12-31+AND+type+%3D+Bug+AND+project+%3D+SOVA+AND+Sprint+%3D+2157+AND+status+%3D+%22In+Progress+%2850+%7E+70%25%29%22" xr:uid="{2CD208BB-B8F6-4BB0-964D-62B8186DD80F}"/>
    <hyperlink ref="F9" r:id="rId45" display="https://xrspace.atlassian.net/issues/?jql=created+%3E%3D+2025-01-01+AND+created+%3C%3D+2025-12-31+AND+type+%3D+Bug+AND+project+%3D+SOVA+AND+Sprint+%3D+2157+AND+status+%3D+%22Done+%28100%25%29%22" xr:uid="{45A1724F-306C-4200-9106-B400A934DF40}"/>
    <hyperlink ref="E9" r:id="rId46" display="https://xrspace.atlassian.net/issues/?jql=created+%3E%3D+2025-01-01+AND+created+%3C%3D+2025-12-31+AND+type+%3D+Bug+AND+project+%3D+SOVA+AND+Sprint+%3D+2157+AND+status+%3D+%22IN+REVIEW+%2880%25%29%22" xr:uid="{74E9BA2B-12A4-4BFD-BC36-D0668F259887}"/>
    <hyperlink ref="G9" r:id="rId47" display="https://xrspace.atlassian.net/issues/?jql=created+%3E%3D+2025-01-01+AND+created+%3C%3D+2025-12-31+AND+type+%3D+Bug+AND+project+%3D+SOVA+AND+Sprint+%3D+2157+AND+status+%3D+%22WON%27T+DO+%28100%25%29%22" xr:uid="{0CBD8C98-51D9-41C6-B5B8-DDE4913C7A4F}"/>
    <hyperlink ref="C9" r:id="rId48" display="https://xrspace.atlassian.net/issues/?jql=created+%3E%3D+2025-01-01+AND+created+%3C%3D+2025-12-31+AND+type+%3D+Bug+AND+project+%3D+SOVA+AND+Sprint+%3D+2157+AND+status+%3D+%22STARTING+%2810+%7E+40%25%29%22" xr:uid="{4681E444-7910-4978-8041-9B36C2B3D8E6}"/>
    <hyperlink ref="B10" r:id="rId49" display="https://xrspace.atlassian.net/issues/?jql=created+%3E%3D+2025-01-01+AND+created+%3C%3D+2025-12-31+AND+type+%3D+Bug+AND+project+%3D+SOVA+AND+Sprint+%3D+2618+AND+status+%3D+%22To+Do+%280%25%29%22" xr:uid="{5CB01564-6C1C-4622-A25D-205CDC1343A7}"/>
    <hyperlink ref="D10" r:id="rId50" display="https://xrspace.atlassian.net/issues/?jql=created+%3E%3D+2025-01-01+AND+created+%3C%3D+2025-12-31+AND+type+%3D+Bug+AND+project+%3D+SOVA+AND+Sprint+%3D+2618+AND+status+%3D+%22In+Progress+%2850+%7E+70%25%29%22" xr:uid="{A2570AC5-BA3A-40EE-BC69-3ADFBAD70B8D}"/>
    <hyperlink ref="F10" r:id="rId51" display="https://xrspace.atlassian.net/issues/?jql=created+%3E%3D+2025-01-01+AND+created+%3C%3D+2025-12-31+AND+type+%3D+Bug+AND+project+%3D+SOVA+AND+Sprint+%3D+2618+AND+status+%3D+%22Done+%28100%25%29%22" xr:uid="{E3D01F61-B2D0-417D-B4FB-977220DCA931}"/>
    <hyperlink ref="E10" r:id="rId52" display="https://xrspace.atlassian.net/issues/?jql=created+%3E%3D+2025-01-01+AND+created+%3C%3D+2025-12-31+AND+type+%3D+Bug+AND+project+%3D+SOVA+AND+Sprint+%3D+2618+AND+status+%3D+%22IN+REVIEW+%2880%25%29%22" xr:uid="{0F6ED643-3895-4FCE-8D17-F4FDCD5A991B}"/>
    <hyperlink ref="G10" r:id="rId53" display="https://xrspace.atlassian.net/issues/?jql=created+%3E%3D+2025-01-01+AND+created+%3C%3D+2025-12-31+AND+type+%3D+Bug+AND+project+%3D+SOVA+AND+Sprint+%3D+2618+AND+status+%3D+%22WON%27T+DO+%28100%25%29%22" xr:uid="{4455F7A1-F6FD-46F7-B8A8-8ABE333F29D6}"/>
    <hyperlink ref="C10" r:id="rId54" display="https://xrspace.atlassian.net/issues/?jql=created+%3E%3D+2025-01-01+AND+created+%3C%3D+2025-12-31+AND+type+%3D+Bug+AND+project+%3D+SOVA+AND+Sprint+%3D+2618+AND+status+%3D+%22STARTING+%2810+%7E+40%25%29%22" xr:uid="{AC6B3F05-B3A8-4C3C-9542-45D852577865}"/>
    <hyperlink ref="B11" r:id="rId55" display="https://xrspace.atlassian.net/issues/?jql=created+%3E%3D+2025-01-01+AND+created+%3C%3D+2025-12-31+AND+type+%3D+Bug+AND+project+%3D+SOVA+AND+Sprint+%3D+2619+AND+status+%3D+%22To+Do+%280%25%29%22" xr:uid="{632F7492-9B28-4836-AB50-BE28F5359C26}"/>
    <hyperlink ref="D11" r:id="rId56" display="https://xrspace.atlassian.net/issues/?jql=created+%3E%3D+2025-01-01+AND+created+%3C%3D+2025-12-31+AND+type+%3D+Bug+AND+project+%3D+SOVA+AND+Sprint+%3D+2619+AND+status+%3D+%22In+Progress+%2850+%7E+70%25%29%22" xr:uid="{9A1D93A4-4193-4ECC-9BDD-9F4B2BFA3F82}"/>
    <hyperlink ref="F11" r:id="rId57" display="https://xrspace.atlassian.net/issues/?jql=created+%3E%3D+2025-01-01+AND+created+%3C%3D+2025-12-31+AND+type+%3D+Bug+AND+project+%3D+SOVA+AND+Sprint+%3D+2619+AND+status+%3D+%22Done+%28100%25%29%22" xr:uid="{37F15DD1-C77E-410A-AF42-BFBB0315BB20}"/>
    <hyperlink ref="E11" r:id="rId58" display="https://xrspace.atlassian.net/issues/?jql=created+%3E%3D+2025-01-01+AND+created+%3C%3D+2025-12-31+AND+type+%3D+Bug+AND+project+%3D+SOVA+AND+Sprint+%3D+2619+AND+status+%3D+%22IN+REVIEW+%2880%25%29%22" xr:uid="{5DC4ED8C-820F-4A38-8E1C-326815A3C888}"/>
    <hyperlink ref="G11" r:id="rId59" display="https://xrspace.atlassian.net/issues/?jql=created+%3E%3D+2025-01-01+AND+created+%3C%3D+2025-12-31+AND+type+%3D+Bug+AND+project+%3D+SOVA+AND+Sprint+%3D+2619+AND+status+%3D+%22WON%27T+DO+%28100%25%29%22" xr:uid="{03BDF476-D3C7-4FA8-8E67-AA63089A1E6B}"/>
    <hyperlink ref="C11" r:id="rId60" display="https://xrspace.atlassian.net/issues/?jql=created+%3E%3D+2025-01-01+AND+created+%3C%3D+2025-12-31+AND+type+%3D+Bug+AND+project+%3D+SOVA+AND+Sprint+%3D+2619+AND+status+%3D+%22STARTING+%2810+%7E+40%25%29%22" xr:uid="{0FCE1655-A44A-4E9E-83C6-073F1FF82D9C}"/>
    <hyperlink ref="B12" r:id="rId61" display="https://xrspace.atlassian.net/issues/?jql=created+%3E%3D+2025-01-01+AND+created+%3C%3D+2025-12-31+AND+type+%3D+Bug+AND+project+%3D+SOVA+AND+Sprint+%3D+2882+AND+status+%3D+%22To+Do+%280%25%29%22" xr:uid="{29BE7C5D-F17E-4B7C-80B5-0348727E4BFD}"/>
    <hyperlink ref="D12" r:id="rId62" display="https://xrspace.atlassian.net/issues/?jql=created+%3E%3D+2025-01-01+AND+created+%3C%3D+2025-12-31+AND+type+%3D+Bug+AND+project+%3D+SOVA+AND+Sprint+%3D+2882+AND+status+%3D+%22In+Progress+%2850+%7E+70%25%29%22" xr:uid="{C608D601-3F6D-4FC8-8FB5-0F091526B702}"/>
    <hyperlink ref="F12" r:id="rId63" display="https://xrspace.atlassian.net/issues/?jql=created+%3E%3D+2025-01-01+AND+created+%3C%3D+2025-12-31+AND+type+%3D+Bug+AND+project+%3D+SOVA+AND+Sprint+%3D+2882+AND+status+%3D+%22Done+%28100%25%29%22" xr:uid="{A607651F-2801-4E15-9152-9843A758F235}"/>
    <hyperlink ref="E12" r:id="rId64" display="https://xrspace.atlassian.net/issues/?jql=created+%3E%3D+2025-01-01+AND+created+%3C%3D+2025-12-31+AND+type+%3D+Bug+AND+project+%3D+SOVA+AND+Sprint+%3D+2882+AND+status+%3D+%22IN+REVIEW+%2880%25%29%22" xr:uid="{5B7F28C0-1D31-41CF-90D4-9C216CC84A85}"/>
    <hyperlink ref="G12" r:id="rId65" display="https://xrspace.atlassian.net/issues/?jql=created+%3E%3D+2025-01-01+AND+created+%3C%3D+2025-12-31+AND+type+%3D+Bug+AND+project+%3D+SOVA+AND+Sprint+%3D+2882+AND+status+%3D+%22WON%27T+DO+%28100%25%29%22" xr:uid="{842EA941-17FA-4C56-ABFE-4B6A56890486}"/>
    <hyperlink ref="C12" r:id="rId66" display="https://xrspace.atlassian.net/issues/?jql=created+%3E%3D+2025-01-01+AND+created+%3C%3D+2025-12-31+AND+type+%3D+Bug+AND+project+%3D+SOVA+AND+Sprint+%3D+2882+AND+status+%3D+%22STARTING+%2810+%7E+40%25%29%22" xr:uid="{6FC18DBC-0F1F-4210-8086-9A08FD589B0D}"/>
    <hyperlink ref="B13" r:id="rId67" display="https://xrspace.atlassian.net/issues/?jql=created+%3E%3D+2025-01-01+AND+created+%3C%3D+2025-12-31+AND+type+%3D+Bug+AND+project+%3D+SOVA+AND+Sprint+%3D+3213+AND+status+%3D+%22To+Do+%280%25%29%22" xr:uid="{DFCE26F1-9B7D-4B2E-A03F-E8C6EB7F9406}"/>
    <hyperlink ref="D13" r:id="rId68" display="https://xrspace.atlassian.net/issues/?jql=created+%3E%3D+2025-01-01+AND+created+%3C%3D+2025-12-31+AND+type+%3D+Bug+AND+project+%3D+SOVA+AND+Sprint+%3D+3213+AND+status+%3D+%22In+Progress+%2850+%7E+70%25%29%22" xr:uid="{D3AF5F72-CC32-4CD5-B5DF-1E62220E3730}"/>
    <hyperlink ref="F13" r:id="rId69" display="https://xrspace.atlassian.net/issues/?jql=created+%3E%3D+2025-01-01+AND+created+%3C%3D+2025-12-31+AND+type+%3D+Bug+AND+project+%3D+SOVA+AND+Sprint+%3D+3213+AND+status+%3D+%22Done+%28100%25%29%22" xr:uid="{1CFE3354-5D08-4CEA-A64E-84BCDD718CB7}"/>
    <hyperlink ref="E13" r:id="rId70" display="https://xrspace.atlassian.net/issues/?jql=created+%3E%3D+2025-01-01+AND+created+%3C%3D+2025-12-31+AND+type+%3D+Bug+AND+project+%3D+SOVA+AND+Sprint+%3D+3213+AND+status+%3D+%22IN+REVIEW+%2880%25%29%22" xr:uid="{7004B4FB-940C-46CE-85FB-57E63BAE952D}"/>
    <hyperlink ref="G13" r:id="rId71" display="https://xrspace.atlassian.net/issues/?jql=created+%3E%3D+2025-01-01+AND+created+%3C%3D+2025-12-31+AND+type+%3D+Bug+AND+project+%3D+SOVA+AND+Sprint+%3D+3213+AND+status+%3D+%22WON%27T+DO+%28100%25%29%22" xr:uid="{E044F677-CAAD-4150-BF1B-0C83D1583ABB}"/>
    <hyperlink ref="C13" r:id="rId72" display="https://xrspace.atlassian.net/issues/?jql=created+%3E%3D+2025-01-01+AND+created+%3C%3D+2025-12-31+AND+type+%3D+Bug+AND+project+%3D+SOVA+AND+Sprint+%3D+3213+AND+status+%3D+%22STARTING+%2810+%7E+40%25%29%22" xr:uid="{3BCA0E56-C78F-45A4-9062-F8586D9A77D4}"/>
    <hyperlink ref="B14" r:id="rId73" display="https://xrspace.atlassian.net/issues/?jql=created+%3E%3D+2025-01-01+AND+created+%3C%3D+2025-12-31+AND+type+%3D+Bug+AND+project+%3D+SOVA+AND+Sprint+%3D+3245+AND+status+%3D+%22To+Do+%280%25%29%22" xr:uid="{6F34C9BB-27F5-4E3B-BE7E-48997D3132DE}"/>
    <hyperlink ref="D14" r:id="rId74" display="https://xrspace.atlassian.net/issues/?jql=created+%3E%3D+2025-01-01+AND+created+%3C%3D+2025-12-31+AND+type+%3D+Bug+AND+project+%3D+SOVA+AND+Sprint+%3D+3245+AND+status+%3D+%22In+Progress+%2850+%7E+70%25%29%22" xr:uid="{790BF583-F649-4D33-9F01-D11CC45DA16C}"/>
    <hyperlink ref="F14" r:id="rId75" display="https://xrspace.atlassian.net/issues/?jql=created+%3E%3D+2025-01-01+AND+created+%3C%3D+2025-12-31+AND+type+%3D+Bug+AND+project+%3D+SOVA+AND+Sprint+%3D+3245+AND+status+%3D+%22Done+%28100%25%29%22" xr:uid="{D048A0C5-EBE3-4A38-8516-A839BEFDD034}"/>
    <hyperlink ref="E14" r:id="rId76" display="https://xrspace.atlassian.net/issues/?jql=created+%3E%3D+2025-01-01+AND+created+%3C%3D+2025-12-31+AND+type+%3D+Bug+AND+project+%3D+SOVA+AND+Sprint+%3D+3245+AND+status+%3D+%22IN+REVIEW+%2880%25%29%22" xr:uid="{8D62E2F0-97C6-4837-A642-32027DB553B1}"/>
    <hyperlink ref="G14" r:id="rId77" display="https://xrspace.atlassian.net/issues/?jql=created+%3E%3D+2025-01-01+AND+created+%3C%3D+2025-12-31+AND+type+%3D+Bug+AND+project+%3D+SOVA+AND+Sprint+%3D+3245+AND+status+%3D+%22WON%27T+DO+%28100%25%29%22" xr:uid="{89E0D8D0-EC64-46E0-AFAD-20774F98C5F6}"/>
    <hyperlink ref="C14" r:id="rId78" display="https://xrspace.atlassian.net/issues/?jql=created+%3E%3D+2025-01-01+AND+created+%3C%3D+2025-12-31+AND+type+%3D+Bug+AND+project+%3D+SOVA+AND+Sprint+%3D+3245+AND+status+%3D+%22STARTING+%2810+%7E+40%25%29%22" xr:uid="{CDDF2027-B910-4B4D-A3BB-2BEA19FB2A83}"/>
    <hyperlink ref="B15" r:id="rId79" display="https://xrspace.atlassian.net/issues/?jql=created+%3E%3D+2025-01-01+AND+created+%3C%3D+2025-12-31+AND+type+%3D+Bug+AND+project+%3D+SOVA+AND+Sprint+%3D+3246+AND+status+%3D+%22To+Do+%280%25%29%22" xr:uid="{6A2D69AC-F67F-4016-8517-9D49F1C2746F}"/>
    <hyperlink ref="D15" r:id="rId80" display="https://xrspace.atlassian.net/issues/?jql=created+%3E%3D+2025-01-01+AND+created+%3C%3D+2025-12-31+AND+type+%3D+Bug+AND+project+%3D+SOVA+AND+Sprint+%3D+3246+AND+status+%3D+%22In+Progress+%2850+%7E+70%25%29%22" xr:uid="{6256B5F9-6646-4480-90DE-DA29D2B9450A}"/>
    <hyperlink ref="F15" r:id="rId81" display="https://xrspace.atlassian.net/issues/?jql=created+%3E%3D+2025-01-01+AND+created+%3C%3D+2025-12-31+AND+type+%3D+Bug+AND+project+%3D+SOVA+AND+Sprint+%3D+3246+AND+status+%3D+%22Done+%28100%25%29%22" xr:uid="{6FF7E2C8-54D3-4680-86BB-76FE900AB0CB}"/>
    <hyperlink ref="E15" r:id="rId82" display="https://xrspace.atlassian.net/issues/?jql=created+%3E%3D+2025-01-01+AND+created+%3C%3D+2025-12-31+AND+type+%3D+Bug+AND+project+%3D+SOVA+AND+Sprint+%3D+3246+AND+status+%3D+%22IN+REVIEW+%2880%25%29%22" xr:uid="{9026382C-61BC-483F-96C6-6031ACF34FE7}"/>
    <hyperlink ref="G15" r:id="rId83" display="https://xrspace.atlassian.net/issues/?jql=created+%3E%3D+2025-01-01+AND+created+%3C%3D+2025-12-31+AND+type+%3D+Bug+AND+project+%3D+SOVA+AND+Sprint+%3D+3246+AND+status+%3D+%22WON%27T+DO+%28100%25%29%22" xr:uid="{91F3E71D-7BE1-407C-ADE7-D84870069A3C}"/>
    <hyperlink ref="C15" r:id="rId84" display="https://xrspace.atlassian.net/issues/?jql=created+%3E%3D+2025-01-01+AND+created+%3C%3D+2025-12-31+AND+type+%3D+Bug+AND+project+%3D+SOVA+AND+Sprint+%3D+3246+AND+status+%3D+%22STARTING+%2810+%7E+40%25%29%22" xr:uid="{715842AC-760B-4E92-A5C3-CF9EA5B415CB}"/>
    <hyperlink ref="B16" r:id="rId85" display="https://xrspace.atlassian.net/issues/?jql=created+%3E%3D+2025-01-01+AND+created+%3C%3D+2025-12-31+AND+type+%3D+Bug+AND+project+%3D+SOVA+AND+Sprint+%3D+3575+AND+status+%3D+%22To+Do+%280%25%29%22" xr:uid="{EAC696CC-8B63-4201-876E-6B95EE00E3C5}"/>
    <hyperlink ref="D16" r:id="rId86" display="https://xrspace.atlassian.net/issues/?jql=created+%3E%3D+2025-01-01+AND+created+%3C%3D+2025-12-31+AND+type+%3D+Bug+AND+project+%3D+SOVA+AND+Sprint+%3D+3575+AND+status+%3D+%22In+Progress+%2850+%7E+70%25%29%22" xr:uid="{CE558492-EFF1-43F4-9D7E-EED76AD31926}"/>
    <hyperlink ref="F16" r:id="rId87" display="https://xrspace.atlassian.net/issues/?jql=created+%3E%3D+2025-01-01+AND+created+%3C%3D+2025-12-31+AND+type+%3D+Bug+AND+project+%3D+SOVA+AND+Sprint+%3D+3575+AND+status+%3D+%22Done+%28100%25%29%22" xr:uid="{C390F378-C78B-4B5E-896C-4D678FC81CB1}"/>
    <hyperlink ref="E16" r:id="rId88" display="https://xrspace.atlassian.net/issues/?jql=created+%3E%3D+2025-01-01+AND+created+%3C%3D+2025-12-31+AND+type+%3D+Bug+AND+project+%3D+SOVA+AND+Sprint+%3D+3575+AND+status+%3D+%22IN+REVIEW+%2880%25%29%22" xr:uid="{6CFE40B3-F287-4D7B-83F2-B647E49F13C0}"/>
    <hyperlink ref="G16" r:id="rId89" display="https://xrspace.atlassian.net/issues/?jql=created+%3E%3D+2025-01-01+AND+created+%3C%3D+2025-12-31+AND+type+%3D+Bug+AND+project+%3D+SOVA+AND+Sprint+%3D+3575+AND+status+%3D+%22WON%27T+DO+%28100%25%29%22" xr:uid="{1A5C5F0A-D468-4DB2-B4F4-D3CE1F34DAA1}"/>
    <hyperlink ref="C16" r:id="rId90" display="https://xrspace.atlassian.net/issues/?jql=created+%3E%3D+2025-01-01+AND+created+%3C%3D+2025-12-31+AND+type+%3D+Bug+AND+project+%3D+SOVA+AND+Sprint+%3D+3575+AND+status+%3D+%22STARTING+%2810+%7E+40%25%29%22" xr:uid="{3AD629C7-A195-4BFE-8440-6770D1324764}"/>
    <hyperlink ref="B17" r:id="rId91" display="https://xrspace.atlassian.net/issues/?jql=created+%3E%3D+2025-01-01+AND+created+%3C%3D+2025-12-31+AND+type+%3D+Bug+AND+project+%3D+SOVA+AND+Sprint+%3D+3608+AND+status+%3D+%22To+Do+%280%25%29%22" xr:uid="{D1B0EFAA-0F1C-49BA-AFE1-0A7E2A1F2509}"/>
    <hyperlink ref="D17" r:id="rId92" display="https://xrspace.atlassian.net/issues/?jql=created+%3E%3D+2025-01-01+AND+created+%3C%3D+2025-12-31+AND+type+%3D+Bug+AND+project+%3D+SOVA+AND+Sprint+%3D+3608+AND+status+%3D+%22In+Progress+%2850+%7E+70%25%29%22" xr:uid="{0E22EC06-C222-4153-BE78-B849D9403BC1}"/>
    <hyperlink ref="F17" r:id="rId93" display="https://xrspace.atlassian.net/issues/?jql=created+%3E%3D+2025-01-01+AND+created+%3C%3D+2025-12-31+AND+type+%3D+Bug+AND+project+%3D+SOVA+AND+Sprint+%3D+3608+AND+status+%3D+%22Done+%28100%25%29%22" xr:uid="{713F89AD-7ACB-43F4-AE64-0D21AB36190C}"/>
    <hyperlink ref="E17" r:id="rId94" display="https://xrspace.atlassian.net/issues/?jql=created+%3E%3D+2025-01-01+AND+created+%3C%3D+2025-12-31+AND+type+%3D+Bug+AND+project+%3D+SOVA+AND+Sprint+%3D+3608+AND+status+%3D+%22IN+REVIEW+%2880%25%29%22" xr:uid="{FCCA044D-9E76-41AC-AF48-BF74F1958B46}"/>
    <hyperlink ref="G17" r:id="rId95" display="https://xrspace.atlassian.net/issues/?jql=created+%3E%3D+2025-01-01+AND+created+%3C%3D+2025-12-31+AND+type+%3D+Bug+AND+project+%3D+SOVA+AND+Sprint+%3D+3608+AND+status+%3D+%22WON%27T+DO+%28100%25%29%22" xr:uid="{285996DD-1D9E-4DAE-9851-44210EF30623}"/>
    <hyperlink ref="C17" r:id="rId96" display="https://xrspace.atlassian.net/issues/?jql=created+%3E%3D+2025-01-01+AND+created+%3C%3D+2025-12-31+AND+type+%3D+Bug+AND+project+%3D+SOVA+AND+Sprint+%3D+3608+AND+status+%3D+%22STARTING+%2810+%7E+40%25%29%22" xr:uid="{F962E5D0-BB06-4334-BFD7-F6EBB409EA2F}"/>
    <hyperlink ref="B18" r:id="rId97" display="https://xrspace.atlassian.net/issues/?jql=created+%3E%3D+2025-01-01+AND+created+%3C%3D+2025-12-31+AND+type+%3D+Bug+AND+project+%3D+SOVA+AND+Sprint+%3D+3872+AND+status+%3D+%22To+Do+%280%25%29%22" xr:uid="{E33FD577-48FF-4F49-A2DC-BEA4986BAF60}"/>
    <hyperlink ref="D18" r:id="rId98" display="https://xrspace.atlassian.net/issues/?jql=created+%3E%3D+2025-01-01+AND+created+%3C%3D+2025-12-31+AND+type+%3D+Bug+AND+project+%3D+SOVA+AND+Sprint+%3D+3872+AND+status+%3D+%22In+Progress+%2850+%7E+70%25%29%22" xr:uid="{3BAB3104-916E-4AC8-948B-6F0A2117FCAD}"/>
    <hyperlink ref="F18" r:id="rId99" display="https://xrspace.atlassian.net/issues/?jql=created+%3E%3D+2025-01-01+AND+created+%3C%3D+2025-12-31+AND+type+%3D+Bug+AND+project+%3D+SOVA+AND+Sprint+%3D+3872+AND+status+%3D+%22Done+%28100%25%29%22" xr:uid="{29A68E16-3A3D-4F22-AC0B-9A9C5B62E6E0}"/>
    <hyperlink ref="E18" r:id="rId100" display="https://xrspace.atlassian.net/issues/?jql=created+%3E%3D+2025-01-01+AND+created+%3C%3D+2025-12-31+AND+type+%3D+Bug+AND+project+%3D+SOVA+AND+Sprint+%3D+3872+AND+status+%3D+%22IN+REVIEW+%2880%25%29%22" xr:uid="{C601D95E-2EBB-4494-938C-011B6644D7DE}"/>
    <hyperlink ref="G18" r:id="rId101" display="https://xrspace.atlassian.net/issues/?jql=created+%3E%3D+2025-01-01+AND+created+%3C%3D+2025-12-31+AND+type+%3D+Bug+AND+project+%3D+SOVA+AND+Sprint+%3D+3872+AND+status+%3D+%22WON%27T+DO+%28100%25%29%22" xr:uid="{8B9BAB89-98E7-47A6-B46E-258722273355}"/>
    <hyperlink ref="C18" r:id="rId102" display="https://xrspace.atlassian.net/issues/?jql=created+%3E%3D+2025-01-01+AND+created+%3C%3D+2025-12-31+AND+type+%3D+Bug+AND+project+%3D+SOVA+AND+Sprint+%3D+3872+AND+status+%3D+%22STARTING+%2810+%7E+40%25%29%22" xr:uid="{3F146745-FB0C-4766-AFDB-49A9A207646E}"/>
    <hyperlink ref="B19" r:id="rId103" display="https://xrspace.atlassian.net/issues/?jql=created+%3E%3D+2025-01-01+AND+created+%3C%3D+2025-12-31+AND+type+%3D+Bug+AND+project+%3D+SOVA+AND+Sprint+%3D+3873+AND+status+%3D+%22To+Do+%280%25%29%22" xr:uid="{584A49FE-7324-47A5-9BF4-4FB8C4553CD8}"/>
    <hyperlink ref="D19" r:id="rId104" display="https://xrspace.atlassian.net/issues/?jql=created+%3E%3D+2025-01-01+AND+created+%3C%3D+2025-12-31+AND+type+%3D+Bug+AND+project+%3D+SOVA+AND+Sprint+%3D+3873+AND+status+%3D+%22In+Progress+%2850+%7E+70%25%29%22" xr:uid="{DB6B0015-D4BE-4A78-9F2D-96941C933A71}"/>
    <hyperlink ref="F19" r:id="rId105" display="https://xrspace.atlassian.net/issues/?jql=created+%3E%3D+2025-01-01+AND+created+%3C%3D+2025-12-31+AND+type+%3D+Bug+AND+project+%3D+SOVA+AND+Sprint+%3D+3873+AND+status+%3D+%22Done+%28100%25%29%22" xr:uid="{819D7D0E-1642-43AB-A440-D704A364682B}"/>
    <hyperlink ref="E19" r:id="rId106" display="https://xrspace.atlassian.net/issues/?jql=created+%3E%3D+2025-01-01+AND+created+%3C%3D+2025-12-31+AND+type+%3D+Bug+AND+project+%3D+SOVA+AND+Sprint+%3D+3873+AND+status+%3D+%22IN+REVIEW+%2880%25%29%22" xr:uid="{FD0C68CC-CDFA-456F-8EE3-8CCD07BAF33B}"/>
    <hyperlink ref="G19" r:id="rId107" display="https://xrspace.atlassian.net/issues/?jql=created+%3E%3D+2025-01-01+AND+created+%3C%3D+2025-12-31+AND+type+%3D+Bug+AND+project+%3D+SOVA+AND+Sprint+%3D+3873+AND+status+%3D+%22WON%27T+DO+%28100%25%29%22" xr:uid="{37237F2B-3C3E-4C12-B858-12A2D4E1B03F}"/>
    <hyperlink ref="C19" r:id="rId108" display="https://xrspace.atlassian.net/issues/?jql=created+%3E%3D+2025-01-01+AND+created+%3C%3D+2025-12-31+AND+type+%3D+Bug+AND+project+%3D+SOVA+AND+Sprint+%3D+3873+AND+status+%3D+%22STARTING+%2810+%7E+40%25%29%22" xr:uid="{69227B2B-CBA2-4810-8015-3E4D078EC833}"/>
    <hyperlink ref="B20" r:id="rId109" display="https://xrspace.atlassian.net/issues/?jql=created+%3E%3D+2025-01-01+AND+created+%3C%3D+2025-12-31+AND+type+%3D+Bug+AND+project+%3D+SOVA+AND+Sprint+%3D+4140+AND+status+%3D+%22To+Do+%280%25%29%22" xr:uid="{9C1E7725-8439-4D85-A28D-B1DEF2963481}"/>
    <hyperlink ref="D20" r:id="rId110" display="https://xrspace.atlassian.net/issues/?jql=created+%3E%3D+2025-01-01+AND+created+%3C%3D+2025-12-31+AND+type+%3D+Bug+AND+project+%3D+SOVA+AND+Sprint+%3D+4140+AND+status+%3D+%22In+Progress+%2850+%7E+70%25%29%22" xr:uid="{4E3BB454-DD50-4E5D-AA2B-27FB293F9828}"/>
    <hyperlink ref="F20" r:id="rId111" display="https://xrspace.atlassian.net/issues/?jql=created+%3E%3D+2025-01-01+AND+created+%3C%3D+2025-12-31+AND+type+%3D+Bug+AND+project+%3D+SOVA+AND+Sprint+%3D+4140+AND+status+%3D+%22Done+%28100%25%29%22" xr:uid="{BBE75336-898D-4075-80F8-5A59D9A10261}"/>
    <hyperlink ref="E20" r:id="rId112" display="https://xrspace.atlassian.net/issues/?jql=created+%3E%3D+2025-01-01+AND+created+%3C%3D+2025-12-31+AND+type+%3D+Bug+AND+project+%3D+SOVA+AND+Sprint+%3D+4140+AND+status+%3D+%22IN+REVIEW+%2880%25%29%22" xr:uid="{263F49DC-BAAF-4AFE-B57F-1A5404766DAC}"/>
    <hyperlink ref="G20" r:id="rId113" display="https://xrspace.atlassian.net/issues/?jql=created+%3E%3D+2025-01-01+AND+created+%3C%3D+2025-12-31+AND+type+%3D+Bug+AND+project+%3D+SOVA+AND+Sprint+%3D+4140+AND+status+%3D+%22WON%27T+DO+%28100%25%29%22" xr:uid="{B892FE6F-AE90-42C4-98DC-5C50B95637EF}"/>
    <hyperlink ref="C20" r:id="rId114" display="https://xrspace.atlassian.net/issues/?jql=created+%3E%3D+2025-01-01+AND+created+%3C%3D+2025-12-31+AND+type+%3D+Bug+AND+project+%3D+SOVA+AND+Sprint+%3D+4140+AND+status+%3D+%22STARTING+%2810+%7E+40%25%29%22" xr:uid="{D984E97A-A7BE-4867-B3D1-4F952063D814}"/>
  </hyperlinks>
  <pageMargins left="0.7" right="0.7" top="0.75" bottom="0.75" header="0.3" footer="0.3"/>
  <pageSetup orientation="portrait" r:id="rId115"/>
  <drawing r:id="rId116"/>
  <tableParts count="1">
    <tablePart r:id="rId11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3F3FC-17EF-4D6A-9290-8FAFFC789915}">
  <dimension ref="A1:E11"/>
  <sheetViews>
    <sheetView tabSelected="1" workbookViewId="0">
      <selection activeCell="A12" sqref="A12:XFD12"/>
    </sheetView>
  </sheetViews>
  <sheetFormatPr defaultRowHeight="15"/>
  <cols>
    <col min="1" max="1" width="9.5546875" customWidth="1"/>
    <col min="2" max="5" width="20.77734375" customWidth="1"/>
  </cols>
  <sheetData>
    <row r="1" spans="1:5">
      <c r="A1" s="2" t="s">
        <v>59</v>
      </c>
      <c r="B1" s="2" t="s">
        <v>5</v>
      </c>
      <c r="C1" s="2" t="s">
        <v>6</v>
      </c>
      <c r="D1" s="2" t="s">
        <v>0</v>
      </c>
      <c r="E1" s="2" t="s">
        <v>7</v>
      </c>
    </row>
    <row r="2" spans="1:5" ht="20.100000000000001" customHeight="1">
      <c r="A2" s="2" t="s">
        <v>68</v>
      </c>
      <c r="B2" s="14">
        <v>0</v>
      </c>
      <c r="C2" s="14">
        <v>0</v>
      </c>
      <c r="D2" s="14">
        <v>91</v>
      </c>
      <c r="E2" s="14">
        <f>SUM(Table25[[#This Row],[Done]:[TODO (P1)]])</f>
        <v>91</v>
      </c>
    </row>
    <row r="3" spans="1:5" ht="20.100000000000001" customHeight="1">
      <c r="A3" s="3" t="s">
        <v>69</v>
      </c>
      <c r="B3" s="15">
        <v>0</v>
      </c>
      <c r="C3" s="15">
        <v>1</v>
      </c>
      <c r="D3" s="15">
        <v>90</v>
      </c>
      <c r="E3" s="15">
        <f>SUM(Table25[[#This Row],[Done]:[TODO (P1)]])</f>
        <v>91</v>
      </c>
    </row>
    <row r="4" spans="1:5" ht="20.100000000000001" customHeight="1">
      <c r="A4" s="2" t="s">
        <v>72</v>
      </c>
      <c r="B4" s="15">
        <v>0</v>
      </c>
      <c r="C4" s="15">
        <v>1</v>
      </c>
      <c r="D4" s="15">
        <v>90</v>
      </c>
      <c r="E4" s="15">
        <f>SUM(Table25[[#This Row],[Done]:[TODO (P1)]])</f>
        <v>91</v>
      </c>
    </row>
    <row r="5" spans="1:5" ht="20.100000000000001" customHeight="1">
      <c r="A5" s="3" t="s">
        <v>74</v>
      </c>
      <c r="B5" s="15">
        <v>0</v>
      </c>
      <c r="C5" s="15">
        <v>1</v>
      </c>
      <c r="D5" s="15">
        <v>90</v>
      </c>
      <c r="E5" s="15">
        <f>SUM(Table25[[#This Row],[Done]:[TODO (P1)]])</f>
        <v>91</v>
      </c>
    </row>
    <row r="6" spans="1:5" ht="20.100000000000001" customHeight="1">
      <c r="A6" s="3" t="s">
        <v>77</v>
      </c>
      <c r="B6" s="15">
        <v>5</v>
      </c>
      <c r="C6" s="15">
        <v>0</v>
      </c>
      <c r="D6" s="15">
        <v>77</v>
      </c>
      <c r="E6" s="15">
        <f>SUM(Table25[[#This Row],[Done]:[TODO (P1)]])</f>
        <v>82</v>
      </c>
    </row>
    <row r="7" spans="1:5" ht="20.100000000000001" customHeight="1">
      <c r="A7" s="3" t="s">
        <v>79</v>
      </c>
      <c r="B7" s="15">
        <v>5</v>
      </c>
      <c r="C7" s="15">
        <v>0</v>
      </c>
      <c r="D7" s="15">
        <v>77</v>
      </c>
      <c r="E7" s="15">
        <f>SUM(Table25[[#This Row],[Done]:[TODO (P1)]])</f>
        <v>82</v>
      </c>
    </row>
    <row r="8" spans="1:5" ht="20.100000000000001" customHeight="1">
      <c r="A8" s="3" t="s">
        <v>81</v>
      </c>
      <c r="B8" s="15">
        <v>5</v>
      </c>
      <c r="C8" s="15">
        <v>1</v>
      </c>
      <c r="D8" s="15">
        <v>76</v>
      </c>
      <c r="E8" s="15">
        <f>SUM(Table25[[#This Row],[Done]:[TODO (P1)]])</f>
        <v>82</v>
      </c>
    </row>
    <row r="9" spans="1:5" ht="20.100000000000001" customHeight="1">
      <c r="A9" s="3" t="s">
        <v>83</v>
      </c>
      <c r="B9" s="15">
        <v>6</v>
      </c>
      <c r="C9" s="15">
        <v>1</v>
      </c>
      <c r="D9" s="15">
        <v>76</v>
      </c>
      <c r="E9" s="15">
        <f>SUM(Table25[[#This Row],[Done]:[TODO (P1)]])</f>
        <v>83</v>
      </c>
    </row>
    <row r="10" spans="1:5" ht="20.100000000000001" customHeight="1">
      <c r="A10" s="3" t="s">
        <v>84</v>
      </c>
      <c r="B10" s="15">
        <v>6</v>
      </c>
      <c r="C10" s="15">
        <v>1</v>
      </c>
      <c r="D10" s="15">
        <v>76</v>
      </c>
      <c r="E10" s="15">
        <f>SUM(Table25[[#This Row],[Done]:[TODO (P1)]])</f>
        <v>83</v>
      </c>
    </row>
    <row r="11" spans="1:5" ht="20.100000000000001" customHeight="1">
      <c r="A11" s="3" t="s">
        <v>85</v>
      </c>
      <c r="B11" s="15">
        <v>12</v>
      </c>
      <c r="C11" s="15">
        <v>0</v>
      </c>
      <c r="D11" s="15">
        <v>77</v>
      </c>
      <c r="E11" s="15">
        <v>89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8DEA836-90D3-4533-84B8-03F1DE36876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TestAutomationProgress</vt:lpstr>
      <vt:lpstr>Humi-TestResult</vt:lpstr>
      <vt:lpstr>SOVA-TestResult</vt:lpstr>
      <vt:lpstr>Humi-BugTrend</vt:lpstr>
      <vt:lpstr>SOVA-BugTrend</vt:lpstr>
      <vt:lpstr>SOVA-UIAutomation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Hsu</dc:creator>
  <cp:lastModifiedBy>William Hsu</cp:lastModifiedBy>
  <dcterms:created xsi:type="dcterms:W3CDTF">2025-08-28T03:22:38Z</dcterms:created>
  <dcterms:modified xsi:type="dcterms:W3CDTF">2025-12-12T09:27:50Z</dcterms:modified>
</cp:coreProperties>
</file>