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HSU\Desktop\Workspace\CycleView\data\"/>
    </mc:Choice>
  </mc:AlternateContent>
  <xr:revisionPtr revIDLastSave="0" documentId="13_ncr:1_{60A4CAD3-E2F6-4831-85DB-A1B0A6E06F16}" xr6:coauthVersionLast="47" xr6:coauthVersionMax="47" xr10:uidLastSave="{00000000-0000-0000-0000-000000000000}"/>
  <bookViews>
    <workbookView xWindow="-120" yWindow="-120" windowWidth="29040" windowHeight="15720" activeTab="5" xr2:uid="{EB11FF79-EF06-B64E-AA6A-0CFF391A8BD1}"/>
  </bookViews>
  <sheets>
    <sheet name="TestAutomationProgress" sheetId="1" r:id="rId1"/>
    <sheet name="Humi-TestResult" sheetId="4" r:id="rId2"/>
    <sheet name="SOVA-TestResult" sheetId="2" r:id="rId3"/>
    <sheet name="Humi-BugTrend" sheetId="3" r:id="rId4"/>
    <sheet name="SOVA-BugTrend" sheetId="5" r:id="rId5"/>
    <sheet name="SOVA-UIAutom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4" i="6" l="1"/>
  <c r="H15" i="4"/>
  <c r="H27" i="2"/>
  <c r="E22" i="1"/>
  <c r="E13" i="6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H21" i="3"/>
  <c r="H22" i="3"/>
  <c r="H23" i="3"/>
  <c r="H25" i="2"/>
  <c r="E21" i="1"/>
  <c r="E12" i="6"/>
  <c r="E20" i="1"/>
  <c r="H11" i="4"/>
  <c r="H12" i="4"/>
  <c r="H13" i="4"/>
  <c r="H14" i="4"/>
  <c r="E19" i="1"/>
  <c r="H24" i="2"/>
  <c r="H23" i="2"/>
  <c r="E18" i="1"/>
  <c r="E10" i="6"/>
  <c r="E17" i="1"/>
  <c r="H26" i="2"/>
  <c r="E9" i="6"/>
  <c r="H22" i="2"/>
  <c r="H21" i="2"/>
  <c r="E8" i="6"/>
  <c r="H19" i="2"/>
  <c r="E6" i="6"/>
  <c r="E15" i="1"/>
  <c r="E5" i="6"/>
  <c r="E16" i="1"/>
  <c r="H18" i="2"/>
  <c r="E7" i="6"/>
  <c r="E14" i="1"/>
  <c r="H20" i="2"/>
  <c r="E13" i="1"/>
  <c r="E12" i="1"/>
  <c r="E3" i="6"/>
  <c r="E2" i="6"/>
  <c r="E4" i="6"/>
  <c r="H16" i="2"/>
  <c r="H20" i="3"/>
  <c r="E2" i="1"/>
  <c r="E3" i="1"/>
  <c r="E4" i="1"/>
  <c r="E5" i="1"/>
  <c r="E6" i="1"/>
  <c r="E7" i="1"/>
  <c r="E8" i="1"/>
  <c r="E9" i="1"/>
  <c r="E10" i="1"/>
  <c r="E11" i="1"/>
  <c r="H10" i="4"/>
  <c r="H19" i="3"/>
  <c r="H14" i="2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6" i="2"/>
  <c r="H2" i="2"/>
  <c r="H4" i="2"/>
  <c r="H8" i="2"/>
  <c r="H10" i="2"/>
  <c r="H12" i="2"/>
  <c r="H9" i="4"/>
  <c r="H3" i="4"/>
  <c r="H4" i="4"/>
  <c r="H5" i="4"/>
  <c r="H6" i="4"/>
  <c r="H7" i="4"/>
  <c r="H8" i="4"/>
  <c r="H2" i="4"/>
</calcChain>
</file>

<file path=xl/sharedStrings.xml><?xml version="1.0" encoding="utf-8"?>
<sst xmlns="http://schemas.openxmlformats.org/spreadsheetml/2006/main" count="159" uniqueCount="95">
  <si>
    <t>TODO (P1)</t>
  </si>
  <si>
    <t>Done</t>
  </si>
  <si>
    <t>In Review/Progress</t>
  </si>
  <si>
    <t>Total</t>
  </si>
  <si>
    <t>v1.22</t>
  </si>
  <si>
    <t>v1.23</t>
  </si>
  <si>
    <t>v1.24</t>
  </si>
  <si>
    <t>v1.25</t>
  </si>
  <si>
    <t>v1.26</t>
  </si>
  <si>
    <t>v1.27</t>
  </si>
  <si>
    <t>v1.28</t>
  </si>
  <si>
    <t>Passed</t>
  </si>
  <si>
    <t>Known Issue</t>
  </si>
  <si>
    <t>Failed</t>
  </si>
  <si>
    <t>Partially Failed</t>
  </si>
  <si>
    <t>Untested</t>
  </si>
  <si>
    <t>Blocked</t>
  </si>
  <si>
    <t>In Review</t>
  </si>
  <si>
    <t>To Do</t>
  </si>
  <si>
    <t>v1.15</t>
  </si>
  <si>
    <t>v1.16</t>
  </si>
  <si>
    <t>v1.17</t>
  </si>
  <si>
    <t>v1.18</t>
  </si>
  <si>
    <t>v1.19</t>
  </si>
  <si>
    <t>v1.20</t>
  </si>
  <si>
    <t>v1.21</t>
  </si>
  <si>
    <t>Version</t>
  </si>
  <si>
    <t>Sprint</t>
  </si>
  <si>
    <t>To Do (0%)</t>
  </si>
  <si>
    <t>Done (100%)</t>
  </si>
  <si>
    <t>IN REVIEW (80%)</t>
  </si>
  <si>
    <t>WON'T DO (100%)</t>
  </si>
  <si>
    <t>STARTING (10 ~ 40%)</t>
  </si>
  <si>
    <t>y25w28</t>
  </si>
  <si>
    <t>y25w30</t>
  </si>
  <si>
    <t>y25w32</t>
  </si>
  <si>
    <t>y25w34</t>
  </si>
  <si>
    <t>y25w36</t>
  </si>
  <si>
    <t>Versions</t>
  </si>
  <si>
    <t>y25w38</t>
  </si>
  <si>
    <t>y25w40</t>
  </si>
  <si>
    <t>y25w16</t>
  </si>
  <si>
    <t>y25w18</t>
  </si>
  <si>
    <t>y25w20</t>
  </si>
  <si>
    <t>y25w22</t>
  </si>
  <si>
    <t>y25w24</t>
  </si>
  <si>
    <t>y25w26</t>
  </si>
  <si>
    <t>In Progress</t>
  </si>
  <si>
    <t>Week</t>
  </si>
  <si>
    <t>v1.29</t>
  </si>
  <si>
    <t>In QA</t>
  </si>
  <si>
    <t>Internal Test</t>
  </si>
  <si>
    <t>In Progress (50 ~ 70%)</t>
  </si>
  <si>
    <t>y25w42</t>
  </si>
  <si>
    <t>v1.30</t>
  </si>
  <si>
    <t>v1.31</t>
  </si>
  <si>
    <t>y25w44</t>
  </si>
  <si>
    <t>y25w46</t>
  </si>
  <si>
    <t>v1.32</t>
  </si>
  <si>
    <t>v1.33</t>
  </si>
  <si>
    <t>y25w48</t>
  </si>
  <si>
    <t>v1.34</t>
  </si>
  <si>
    <t>y25w50</t>
  </si>
  <si>
    <t>y25w52</t>
  </si>
  <si>
    <t>v1.35</t>
  </si>
  <si>
    <t>v1.36</t>
  </si>
  <si>
    <t>READY FOR TESTING (90%)</t>
  </si>
  <si>
    <t>y26w2</t>
  </si>
  <si>
    <t>26W01</t>
  </si>
  <si>
    <t>25W41</t>
  </si>
  <si>
    <t>25W42</t>
  </si>
  <si>
    <t>25W43</t>
  </si>
  <si>
    <t>25W44</t>
  </si>
  <si>
    <t>25W45</t>
  </si>
  <si>
    <t>25W46</t>
  </si>
  <si>
    <t>25W47</t>
  </si>
  <si>
    <t>25W48</t>
  </si>
  <si>
    <t>25W49</t>
  </si>
  <si>
    <t>25W50</t>
  </si>
  <si>
    <t>25W51</t>
  </si>
  <si>
    <t>25W52</t>
  </si>
  <si>
    <t>26W02</t>
  </si>
  <si>
    <t>25W32</t>
  </si>
  <si>
    <t>25W33</t>
  </si>
  <si>
    <t>25W34</t>
  </si>
  <si>
    <t>25W35</t>
  </si>
  <si>
    <t>25W36</t>
  </si>
  <si>
    <t>25W37</t>
  </si>
  <si>
    <t>25W38</t>
  </si>
  <si>
    <t>25W39</t>
  </si>
  <si>
    <t>25W40</t>
  </si>
  <si>
    <t>25W28</t>
  </si>
  <si>
    <t>25W29</t>
  </si>
  <si>
    <t>25W30</t>
  </si>
  <si>
    <t>25W31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</si>
</sst>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292A2E"/>
      <name val="Segoe UI"/>
      <family val="2"/>
    </font>
    <font>
      <sz val="16"/>
      <color theme="0"/>
      <name val="Helvetica Neue"/>
      <family val="2"/>
    </font>
    <font>
      <sz val="11"/>
      <color theme="0"/>
      <name val="Helvetica Neue"/>
      <family val="2"/>
    </font>
    <font>
      <sz val="12"/>
      <color theme="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NumberFormat="1" applyAlignment="1">
      <alignment horizontal="right" vertical="center"/>
    </xf>
    <xf numFmtId="1" fontId="0" fillId="0" borderId="0" xfId="0" applyNumberFormat="1"/>
    <xf numFmtId="0" fontId="0" fillId="0" borderId="0" xfId="0" applyNumberFormat="1"/>
    <xf numFmtId="0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  <xf numFmtId="0" fontId="2" fillId="2" borderId="4" xfId="1" applyNumberForma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35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92A2E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0"/>
        <name val="Helvetica Neue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1" formatCode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P1 Test Case - Automation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TestAutomationProgress!$B$1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TestAutomationProgress!$A$2:$A$22</c:f>
              <c:strCache>
                <c:ptCount val="21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26W02</c:v>
                </c:pt>
              </c:strCache>
            </c:strRef>
          </c:cat>
          <c:val>
            <c:numRef>
              <c:f>TestAutomationProgress!$B$2:$B$22</c:f>
              <c:numCache>
                <c:formatCode>General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15</c:v>
                </c:pt>
                <c:pt idx="8">
                  <c:v>15</c:v>
                </c:pt>
                <c:pt idx="9">
                  <c:v>12</c:v>
                </c:pt>
                <c:pt idx="10">
                  <c:v>13</c:v>
                </c:pt>
                <c:pt idx="11">
                  <c:v>15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28</c:v>
                </c:pt>
                <c:pt idx="17">
                  <c:v>30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B-2048-A315-E1CB7BE52497}"/>
            </c:ext>
          </c:extLst>
        </c:ser>
        <c:ser>
          <c:idx val="1"/>
          <c:order val="1"/>
          <c:tx>
            <c:strRef>
              <c:f>TestAutomationProgress!$C$1</c:f>
              <c:strCache>
                <c:ptCount val="1"/>
                <c:pt idx="0">
                  <c:v>In Review/Progress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TestAutomationProgress!$A$2:$A$22</c:f>
              <c:strCache>
                <c:ptCount val="21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26W02</c:v>
                </c:pt>
              </c:strCache>
            </c:strRef>
          </c:cat>
          <c:val>
            <c:numRef>
              <c:f>TestAutomationProgress!$C$2:$C$22</c:f>
              <c:numCache>
                <c:formatCode>General</c:formatCode>
                <c:ptCount val="21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11</c:v>
                </c:pt>
                <c:pt idx="10">
                  <c:v>11</c:v>
                </c:pt>
                <c:pt idx="11">
                  <c:v>12</c:v>
                </c:pt>
                <c:pt idx="12">
                  <c:v>11</c:v>
                </c:pt>
                <c:pt idx="13">
                  <c:v>14</c:v>
                </c:pt>
                <c:pt idx="14">
                  <c:v>14</c:v>
                </c:pt>
                <c:pt idx="15">
                  <c:v>10</c:v>
                </c:pt>
                <c:pt idx="16">
                  <c:v>8</c:v>
                </c:pt>
                <c:pt idx="17">
                  <c:v>6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B-2048-A315-E1CB7BE52497}"/>
            </c:ext>
          </c:extLst>
        </c:ser>
        <c:ser>
          <c:idx val="2"/>
          <c:order val="2"/>
          <c:tx>
            <c:strRef>
              <c:f>TestAutomationProgress!$D$1</c:f>
              <c:strCache>
                <c:ptCount val="1"/>
                <c:pt idx="0">
                  <c:v>TODO (P1)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TestAutomationProgress!$A$2:$A$22</c:f>
              <c:strCache>
                <c:ptCount val="21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26W02</c:v>
                </c:pt>
              </c:strCache>
            </c:strRef>
          </c:cat>
          <c:val>
            <c:numRef>
              <c:f>TestAutomationProgress!$D$2:$D$22</c:f>
              <c:numCache>
                <c:formatCode>General</c:formatCode>
                <c:ptCount val="21"/>
                <c:pt idx="0">
                  <c:v>115</c:v>
                </c:pt>
                <c:pt idx="1">
                  <c:v>114</c:v>
                </c:pt>
                <c:pt idx="2">
                  <c:v>109</c:v>
                </c:pt>
                <c:pt idx="3">
                  <c:v>108</c:v>
                </c:pt>
                <c:pt idx="4">
                  <c:v>104</c:v>
                </c:pt>
                <c:pt idx="5">
                  <c:v>228</c:v>
                </c:pt>
                <c:pt idx="6">
                  <c:v>224</c:v>
                </c:pt>
                <c:pt idx="7">
                  <c:v>220</c:v>
                </c:pt>
                <c:pt idx="8">
                  <c:v>219</c:v>
                </c:pt>
                <c:pt idx="9">
                  <c:v>173</c:v>
                </c:pt>
                <c:pt idx="10">
                  <c:v>172</c:v>
                </c:pt>
                <c:pt idx="11">
                  <c:v>168</c:v>
                </c:pt>
                <c:pt idx="12">
                  <c:v>166</c:v>
                </c:pt>
                <c:pt idx="13">
                  <c:v>160</c:v>
                </c:pt>
                <c:pt idx="14">
                  <c:v>160</c:v>
                </c:pt>
                <c:pt idx="15">
                  <c:v>161</c:v>
                </c:pt>
                <c:pt idx="16">
                  <c:v>160</c:v>
                </c:pt>
                <c:pt idx="17">
                  <c:v>160</c:v>
                </c:pt>
                <c:pt idx="18">
                  <c:v>160</c:v>
                </c:pt>
                <c:pt idx="19">
                  <c:v>160</c:v>
                </c:pt>
                <c:pt idx="20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0B-2048-A315-E1CB7BE5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470416"/>
        <c:axId val="382472128"/>
      </c:barChart>
      <c:catAx>
        <c:axId val="3824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2128"/>
        <c:crosses val="autoZero"/>
        <c:auto val="1"/>
        <c:lblAlgn val="ctr"/>
        <c:lblOffset val="100"/>
        <c:noMultiLvlLbl val="0"/>
      </c:catAx>
      <c:valAx>
        <c:axId val="3824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[Humi] Test</a:t>
            </a:r>
            <a:r>
              <a:rPr lang="en-US" baseline="0"/>
              <a:t> Result - Per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'Humi-TestResult'!$B$1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'Humi-TestResult'!$B$2:$B$15</c:f>
              <c:numCache>
                <c:formatCode>General</c:formatCode>
                <c:ptCount val="14"/>
                <c:pt idx="0">
                  <c:v>421</c:v>
                </c:pt>
                <c:pt idx="1">
                  <c:v>402</c:v>
                </c:pt>
                <c:pt idx="2">
                  <c:v>1195</c:v>
                </c:pt>
                <c:pt idx="3">
                  <c:v>2583</c:v>
                </c:pt>
                <c:pt idx="4">
                  <c:v>2263</c:v>
                </c:pt>
                <c:pt idx="5">
                  <c:v>2719</c:v>
                </c:pt>
                <c:pt idx="6">
                  <c:v>2515</c:v>
                </c:pt>
                <c:pt idx="7">
                  <c:v>1399</c:v>
                </c:pt>
                <c:pt idx="8">
                  <c:v>1271</c:v>
                </c:pt>
                <c:pt idx="9">
                  <c:v>1333</c:v>
                </c:pt>
                <c:pt idx="10">
                  <c:v>1475</c:v>
                </c:pt>
                <c:pt idx="11">
                  <c:v>2031</c:v>
                </c:pt>
                <c:pt idx="12">
                  <c:v>1755</c:v>
                </c:pt>
                <c:pt idx="13">
                  <c:v>1892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2-504A-9943-B371AA86C87B}"/>
            </c:ext>
          </c:extLst>
        </c:ser>
        <c:ser>
          <c:idx val="1"/>
          <c:order val="1"/>
          <c:tx>
            <c:strRef>
              <c:f>'Humi-TestResult'!$C$1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'Humi-TestResult'!$C$2:$C$15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2-504A-9943-B371AA86C87B}"/>
            </c:ext>
          </c:extLst>
        </c:ser>
        <c:ser>
          <c:idx val="2"/>
          <c:order val="2"/>
          <c:tx>
            <c:strRef>
              <c:f>'Humi-TestResult'!$D$1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>
              <a:outerShdw blurRad="50800" dist="50800" dir="5400000" algn="ctr" rotWithShape="0">
                <a:schemeClr val="accent4">
                  <a:lumMod val="75000"/>
                </a:schemeClr>
              </a:outerShdw>
            </a:effectLst>
          </c:spPr>
          <c:invertIfNegative val="0"/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'Humi-TestResult'!$D$2:$D$15</c:f>
              <c:numCache>
                <c:formatCode>General</c:formatCode>
                <c:ptCount val="14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</c:v>
                </c:pt>
                <c:pt idx="8">
                  <c:v>2</c:v>
                </c:pt>
                <c:pt idx="9">
                  <c:v>7</c:v>
                </c:pt>
                <c:pt idx="10">
                  <c:v>6</c:v>
                </c:pt>
                <c:pt idx="11">
                  <c:v>0</c:v>
                </c:pt>
                <c:pt idx="12">
                  <c:v>6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2-504A-9943-B371AA86C87B}"/>
            </c:ext>
          </c:extLst>
        </c:ser>
        <c:ser>
          <c:idx val="3"/>
          <c:order val="3"/>
          <c:tx>
            <c:strRef>
              <c:f>'Humi-TestResult'!$E$1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'Humi-TestResult'!$E$2:$E$15</c:f>
              <c:numCache>
                <c:formatCode>General</c:formatCode>
                <c:ptCount val="14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92-504A-9943-B371AA86C87B}"/>
            </c:ext>
          </c:extLst>
        </c:ser>
        <c:ser>
          <c:idx val="4"/>
          <c:order val="4"/>
          <c:tx>
            <c:strRef>
              <c:f>'Humi-TestResult'!$F$1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'Humi-TestResult'!$F$2:$F$15</c:f>
              <c:numCache>
                <c:formatCode>General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5</c:v>
                </c:pt>
                <c:pt idx="12">
                  <c:v>0</c:v>
                </c:pt>
                <c:pt idx="1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92-504A-9943-B371AA86C87B}"/>
            </c:ext>
          </c:extLst>
        </c:ser>
        <c:ser>
          <c:idx val="5"/>
          <c:order val="5"/>
          <c:tx>
            <c:strRef>
              <c:f>'Humi-TestResult'!$G$1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'Humi-TestResult'!$G$2:$G$15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019631"/>
        <c:axId val="2014101087"/>
      </c:barChart>
      <c:lineChart>
        <c:grouping val="standard"/>
        <c:varyColors val="0"/>
        <c:ser>
          <c:idx val="6"/>
          <c:order val="6"/>
          <c:tx>
            <c:strRef>
              <c:f>'Humi-TestResult'!$H$1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'Humi-TestResult'!$H$2:$H$15</c:f>
              <c:numCache>
                <c:formatCode>General</c:formatCode>
                <c:ptCount val="14"/>
                <c:pt idx="0">
                  <c:v>442</c:v>
                </c:pt>
                <c:pt idx="1">
                  <c:v>414</c:v>
                </c:pt>
                <c:pt idx="2">
                  <c:v>1211</c:v>
                </c:pt>
                <c:pt idx="3">
                  <c:v>2596</c:v>
                </c:pt>
                <c:pt idx="4">
                  <c:v>2266</c:v>
                </c:pt>
                <c:pt idx="5">
                  <c:v>2723</c:v>
                </c:pt>
                <c:pt idx="6">
                  <c:v>2531</c:v>
                </c:pt>
                <c:pt idx="7">
                  <c:v>1401</c:v>
                </c:pt>
                <c:pt idx="8">
                  <c:v>1273</c:v>
                </c:pt>
                <c:pt idx="9">
                  <c:v>1341</c:v>
                </c:pt>
                <c:pt idx="10">
                  <c:v>1485</c:v>
                </c:pt>
                <c:pt idx="11">
                  <c:v>2037</c:v>
                </c:pt>
                <c:pt idx="12">
                  <c:v>1761</c:v>
                </c:pt>
                <c:pt idx="13">
                  <c:v>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4019631"/>
        <c:axId val="2014101087"/>
      </c:lineChart>
      <c:catAx>
        <c:axId val="2014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101087"/>
        <c:crosses val="autoZero"/>
        <c:auto val="1"/>
        <c:lblAlgn val="ctr"/>
        <c:lblOffset val="100"/>
        <c:noMultiLvlLbl val="0"/>
      </c:catAx>
      <c:valAx>
        <c:axId val="20141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[SOVA] Test Result -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'SOVA-TestResult'!$A$2:$A$26</c:f>
              <c:strCache>
                <c:ptCount val="2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</c:strCache>
            </c:strRef>
          </c:cat>
          <c:val>
            <c:numRef>
              <c:f>'SOVA-TestResult'!$B$2:$B$26</c:f>
              <c:numCache>
                <c:formatCode>General</c:formatCode>
                <c:ptCount val="25"/>
                <c:pt idx="0">
                  <c:v>38</c:v>
                </c:pt>
                <c:pt idx="2">
                  <c:v>43</c:v>
                </c:pt>
                <c:pt idx="4">
                  <c:v>58</c:v>
                </c:pt>
                <c:pt idx="6">
                  <c:v>76</c:v>
                </c:pt>
                <c:pt idx="8">
                  <c:v>121</c:v>
                </c:pt>
                <c:pt idx="10">
                  <c:v>148</c:v>
                </c:pt>
                <c:pt idx="12">
                  <c:v>148</c:v>
                </c:pt>
                <c:pt idx="14">
                  <c:v>231</c:v>
                </c:pt>
                <c:pt idx="16">
                  <c:v>249</c:v>
                </c:pt>
                <c:pt idx="17">
                  <c:v>155</c:v>
                </c:pt>
                <c:pt idx="18">
                  <c:v>225</c:v>
                </c:pt>
                <c:pt idx="19">
                  <c:v>281</c:v>
                </c:pt>
                <c:pt idx="20">
                  <c:v>291</c:v>
                </c:pt>
                <c:pt idx="21">
                  <c:v>267</c:v>
                </c:pt>
                <c:pt idx="22">
                  <c:v>343</c:v>
                </c:pt>
                <c:pt idx="23">
                  <c:v>351</c:v>
                </c:pt>
                <c:pt idx="24">
                  <c:v>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6-0841-9E09-1415898952C6}"/>
            </c:ext>
          </c:extLst>
        </c:ser>
        <c:ser>
          <c:idx val="1"/>
          <c:order val="1"/>
          <c:tx>
            <c:strRef>
              <c:f>'SOVA-TestResult'!$C$1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'SOVA-TestResult'!$A$2:$A$26</c:f>
              <c:strCache>
                <c:ptCount val="2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</c:strCache>
            </c:strRef>
          </c:cat>
          <c:val>
            <c:numRef>
              <c:f>'SOVA-TestResult'!$C$2:$C$26</c:f>
              <c:numCache>
                <c:formatCode>General</c:formatCode>
                <c:ptCount val="25"/>
                <c:pt idx="0">
                  <c:v>1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1</c:v>
                </c:pt>
                <c:pt idx="10">
                  <c:v>0</c:v>
                </c:pt>
                <c:pt idx="12">
                  <c:v>1</c:v>
                </c:pt>
                <c:pt idx="14">
                  <c:v>3</c:v>
                </c:pt>
                <c:pt idx="16">
                  <c:v>19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20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6-0841-9E09-1415898952C6}"/>
            </c:ext>
          </c:extLst>
        </c:ser>
        <c:ser>
          <c:idx val="2"/>
          <c:order val="2"/>
          <c:tx>
            <c:strRef>
              <c:f>'SOVA-TestResult'!$D$1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'SOVA-TestResult'!$A$2:$A$26</c:f>
              <c:strCache>
                <c:ptCount val="2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</c:strCache>
            </c:strRef>
          </c:cat>
          <c:val>
            <c:numRef>
              <c:f>'SOVA-TestResult'!$D$2:$D$26</c:f>
              <c:numCache>
                <c:formatCode>General</c:formatCode>
                <c:ptCount val="25"/>
                <c:pt idx="0">
                  <c:v>0</c:v>
                </c:pt>
                <c:pt idx="2">
                  <c:v>10</c:v>
                </c:pt>
                <c:pt idx="4">
                  <c:v>2</c:v>
                </c:pt>
                <c:pt idx="6">
                  <c:v>7</c:v>
                </c:pt>
                <c:pt idx="8">
                  <c:v>9</c:v>
                </c:pt>
                <c:pt idx="10">
                  <c:v>6</c:v>
                </c:pt>
                <c:pt idx="12">
                  <c:v>15</c:v>
                </c:pt>
                <c:pt idx="14">
                  <c:v>16</c:v>
                </c:pt>
                <c:pt idx="16">
                  <c:v>8</c:v>
                </c:pt>
                <c:pt idx="17">
                  <c:v>2</c:v>
                </c:pt>
                <c:pt idx="18">
                  <c:v>7</c:v>
                </c:pt>
                <c:pt idx="19">
                  <c:v>10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8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6-0841-9E09-1415898952C6}"/>
            </c:ext>
          </c:extLst>
        </c:ser>
        <c:ser>
          <c:idx val="3"/>
          <c:order val="3"/>
          <c:tx>
            <c:strRef>
              <c:f>'SOVA-TestResult'!$E$1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'SOVA-TestResult'!$A$2:$A$26</c:f>
              <c:strCache>
                <c:ptCount val="2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</c:strCache>
            </c:strRef>
          </c:cat>
          <c:val>
            <c:numRef>
              <c:f>'SOVA-TestResult'!$E$2:$E$26</c:f>
              <c:numCache>
                <c:formatCode>General</c:formatCode>
                <c:ptCount val="25"/>
                <c:pt idx="0">
                  <c:v>4</c:v>
                </c:pt>
                <c:pt idx="2">
                  <c:v>0</c:v>
                </c:pt>
                <c:pt idx="4">
                  <c:v>2</c:v>
                </c:pt>
                <c:pt idx="6">
                  <c:v>5</c:v>
                </c:pt>
                <c:pt idx="8">
                  <c:v>10</c:v>
                </c:pt>
                <c:pt idx="10">
                  <c:v>3</c:v>
                </c:pt>
                <c:pt idx="12">
                  <c:v>2</c:v>
                </c:pt>
                <c:pt idx="14">
                  <c:v>8</c:v>
                </c:pt>
                <c:pt idx="16">
                  <c:v>9</c:v>
                </c:pt>
                <c:pt idx="17">
                  <c:v>5</c:v>
                </c:pt>
                <c:pt idx="18">
                  <c:v>11</c:v>
                </c:pt>
                <c:pt idx="19">
                  <c:v>8</c:v>
                </c:pt>
                <c:pt idx="20">
                  <c:v>16</c:v>
                </c:pt>
                <c:pt idx="21">
                  <c:v>8</c:v>
                </c:pt>
                <c:pt idx="22">
                  <c:v>7</c:v>
                </c:pt>
                <c:pt idx="23">
                  <c:v>1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6-0841-9E09-14158989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67472959"/>
        <c:axId val="1167191519"/>
      </c:barChart>
      <c:lineChart>
        <c:grouping val="standard"/>
        <c:varyColors val="0"/>
        <c:ser>
          <c:idx val="4"/>
          <c:order val="4"/>
          <c:tx>
            <c:strRef>
              <c:f>'SOVA-TestResult'!$F$1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'SOVA-TestResult'!$A$2:$A$26</c:f>
              <c:strCache>
                <c:ptCount val="2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</c:strCache>
            </c:strRef>
          </c:cat>
          <c:val>
            <c:numRef>
              <c:f>'SOVA-TestResult'!$F$2:$F$26</c:f>
              <c:numCache>
                <c:formatCode>General</c:formatCode>
                <c:ptCount val="25"/>
                <c:pt idx="0">
                  <c:v>11</c:v>
                </c:pt>
                <c:pt idx="2">
                  <c:v>1</c:v>
                </c:pt>
                <c:pt idx="4">
                  <c:v>5</c:v>
                </c:pt>
                <c:pt idx="6">
                  <c:v>2</c:v>
                </c:pt>
                <c:pt idx="8">
                  <c:v>4</c:v>
                </c:pt>
                <c:pt idx="10">
                  <c:v>4</c:v>
                </c:pt>
                <c:pt idx="12">
                  <c:v>1</c:v>
                </c:pt>
                <c:pt idx="14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1</c:v>
                </c:pt>
                <c:pt idx="22">
                  <c:v>4</c:v>
                </c:pt>
                <c:pt idx="23">
                  <c:v>15</c:v>
                </c:pt>
                <c:pt idx="2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B6-0841-9E09-1415898952C6}"/>
            </c:ext>
          </c:extLst>
        </c:ser>
        <c:ser>
          <c:idx val="5"/>
          <c:order val="5"/>
          <c:tx>
            <c:strRef>
              <c:f>'SOVA-TestResult'!$G$1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'SOVA-TestResult'!$A$2:$A$26</c:f>
              <c:strCache>
                <c:ptCount val="2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</c:strCache>
            </c:strRef>
          </c:cat>
          <c:val>
            <c:numRef>
              <c:f>'SOVA-TestResult'!$G$2:$G$26</c:f>
              <c:numCache>
                <c:formatCode>General</c:formatCode>
                <c:ptCount val="25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1B6-0841-9E09-1415898952C6}"/>
            </c:ext>
          </c:extLst>
        </c:ser>
        <c:ser>
          <c:idx val="6"/>
          <c:order val="6"/>
          <c:tx>
            <c:strRef>
              <c:f>'SOVA-TestResult'!$H$1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'SOVA-TestResult'!$A$2:$A$26</c:f>
              <c:strCache>
                <c:ptCount val="25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</c:strCache>
            </c:strRef>
          </c:cat>
          <c:val>
            <c:numRef>
              <c:f>'SOVA-TestResult'!$H$2:$H$26</c:f>
              <c:numCache>
                <c:formatCode>General</c:formatCode>
                <c:ptCount val="25"/>
                <c:pt idx="0">
                  <c:v>54</c:v>
                </c:pt>
                <c:pt idx="2">
                  <c:v>54</c:v>
                </c:pt>
                <c:pt idx="4">
                  <c:v>67</c:v>
                </c:pt>
                <c:pt idx="6">
                  <c:v>90</c:v>
                </c:pt>
                <c:pt idx="8">
                  <c:v>145</c:v>
                </c:pt>
                <c:pt idx="10">
                  <c:v>161</c:v>
                </c:pt>
                <c:pt idx="12">
                  <c:v>167</c:v>
                </c:pt>
                <c:pt idx="14">
                  <c:v>259</c:v>
                </c:pt>
                <c:pt idx="16">
                  <c:v>285</c:v>
                </c:pt>
                <c:pt idx="17">
                  <c:v>162</c:v>
                </c:pt>
                <c:pt idx="18">
                  <c:v>246</c:v>
                </c:pt>
                <c:pt idx="19">
                  <c:v>303</c:v>
                </c:pt>
                <c:pt idx="20">
                  <c:v>331</c:v>
                </c:pt>
                <c:pt idx="21">
                  <c:v>279</c:v>
                </c:pt>
                <c:pt idx="22">
                  <c:v>362</c:v>
                </c:pt>
                <c:pt idx="23">
                  <c:v>378</c:v>
                </c:pt>
                <c:pt idx="24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4-450E-8791-12BF1634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7472959"/>
        <c:axId val="1167191519"/>
      </c:lineChart>
      <c:catAx>
        <c:axId val="1167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191519"/>
        <c:crosses val="autoZero"/>
        <c:auto val="1"/>
        <c:lblAlgn val="ctr"/>
        <c:lblOffset val="100"/>
        <c:noMultiLvlLbl val="0"/>
      </c:catAx>
      <c:valAx>
        <c:axId val="116719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Humi - Bug trend (Per version)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'Humi-BugTrend'!$B$1</c:f>
              <c:strCache>
                <c:ptCount val="1"/>
                <c:pt idx="0">
                  <c:v>To Do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'Humi-BugTrend'!$A$2:$A$23</c:f>
              <c:strCache>
                <c:ptCount val="22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</c:strCache>
            </c:strRef>
          </c:cat>
          <c:val>
            <c:numRef>
              <c:f>'Humi-BugTrend'!$B$2:$B$23</c:f>
              <c:numCache>
                <c:formatCode>General</c:formatCode>
                <c:ptCount val="22"/>
                <c:pt idx="0">
                  <c:v>9</c:v>
                </c:pt>
                <c:pt idx="1">
                  <c:v>7</c:v>
                </c:pt>
                <c:pt idx="2">
                  <c:v>25</c:v>
                </c:pt>
                <c:pt idx="3">
                  <c:v>31</c:v>
                </c:pt>
                <c:pt idx="4">
                  <c:v>15</c:v>
                </c:pt>
                <c:pt idx="5">
                  <c:v>15</c:v>
                </c:pt>
                <c:pt idx="6">
                  <c:v>7</c:v>
                </c:pt>
                <c:pt idx="7">
                  <c:v>18</c:v>
                </c:pt>
                <c:pt idx="8">
                  <c:v>17</c:v>
                </c:pt>
                <c:pt idx="9">
                  <c:v>26</c:v>
                </c:pt>
                <c:pt idx="10">
                  <c:v>15</c:v>
                </c:pt>
                <c:pt idx="11">
                  <c:v>9</c:v>
                </c:pt>
                <c:pt idx="12">
                  <c:v>6</c:v>
                </c:pt>
                <c:pt idx="13">
                  <c:v>11</c:v>
                </c:pt>
                <c:pt idx="14">
                  <c:v>2</c:v>
                </c:pt>
                <c:pt idx="15">
                  <c:v>14</c:v>
                </c:pt>
                <c:pt idx="16">
                  <c:v>1</c:v>
                </c:pt>
                <c:pt idx="17">
                  <c:v>5</c:v>
                </c:pt>
                <c:pt idx="18">
                  <c:v>17</c:v>
                </c:pt>
                <c:pt idx="19">
                  <c:v>7</c:v>
                </c:pt>
                <c:pt idx="20">
                  <c:v>9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754E-8A07-C86B0F993C4F}"/>
            </c:ext>
          </c:extLst>
        </c:ser>
        <c:ser>
          <c:idx val="1"/>
          <c:order val="1"/>
          <c:tx>
            <c:strRef>
              <c:f>'Humi-BugTrend'!$C$1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</c:strCache>
            </c:strRef>
          </c:cat>
          <c:val>
            <c:numRef>
              <c:f>'Humi-BugTrend'!$C$2:$C$23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754E-8A07-C86B0F993C4F}"/>
            </c:ext>
          </c:extLst>
        </c:ser>
        <c:ser>
          <c:idx val="2"/>
          <c:order val="2"/>
          <c:tx>
            <c:strRef>
              <c:f>'Humi-BugTrend'!$D$1</c:f>
              <c:strCache>
                <c:ptCount val="1"/>
                <c:pt idx="0">
                  <c:v>In Review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</c:strCache>
            </c:strRef>
          </c:cat>
          <c:val>
            <c:numRef>
              <c:f>'Humi-BugTrend'!$D$2:$D$23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0-754E-8A07-C86B0F993C4F}"/>
            </c:ext>
          </c:extLst>
        </c:ser>
        <c:ser>
          <c:idx val="3"/>
          <c:order val="3"/>
          <c:tx>
            <c:strRef>
              <c:f>'Humi-BugTrend'!$E$1</c:f>
              <c:strCache>
                <c:ptCount val="1"/>
                <c:pt idx="0">
                  <c:v>In QA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</c:strCache>
            </c:strRef>
          </c:cat>
          <c:val>
            <c:numRef>
              <c:f>'Humi-BugTrend'!$E$2:$E$23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0-754E-8A07-C86B0F993C4F}"/>
            </c:ext>
          </c:extLst>
        </c:ser>
        <c:ser>
          <c:idx val="4"/>
          <c:order val="4"/>
          <c:tx>
            <c:strRef>
              <c:f>'Humi-BugTrend'!$F$1</c:f>
              <c:strCache>
                <c:ptCount val="1"/>
                <c:pt idx="0">
                  <c:v>Internal 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</c:strCache>
            </c:strRef>
          </c:cat>
          <c:val>
            <c:numRef>
              <c:f>'Humi-BugTrend'!$F$2:$F$23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EE-4236-973E-E208D437CE39}"/>
            </c:ext>
          </c:extLst>
        </c:ser>
        <c:ser>
          <c:idx val="5"/>
          <c:order val="5"/>
          <c:tx>
            <c:strRef>
              <c:f>'Humi-BugTrend'!$G$1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</c:strCache>
            </c:strRef>
          </c:cat>
          <c:val>
            <c:numRef>
              <c:f>'Humi-BugTrend'!$G$2:$G$23</c:f>
              <c:numCache>
                <c:formatCode>General</c:formatCode>
                <c:ptCount val="22"/>
                <c:pt idx="0">
                  <c:v>92</c:v>
                </c:pt>
                <c:pt idx="1">
                  <c:v>59</c:v>
                </c:pt>
                <c:pt idx="2">
                  <c:v>168</c:v>
                </c:pt>
                <c:pt idx="3">
                  <c:v>156</c:v>
                </c:pt>
                <c:pt idx="4">
                  <c:v>76</c:v>
                </c:pt>
                <c:pt idx="5">
                  <c:v>61</c:v>
                </c:pt>
                <c:pt idx="6">
                  <c:v>46</c:v>
                </c:pt>
                <c:pt idx="7">
                  <c:v>42</c:v>
                </c:pt>
                <c:pt idx="8">
                  <c:v>33</c:v>
                </c:pt>
                <c:pt idx="9">
                  <c:v>25</c:v>
                </c:pt>
                <c:pt idx="10">
                  <c:v>55</c:v>
                </c:pt>
                <c:pt idx="11">
                  <c:v>40</c:v>
                </c:pt>
                <c:pt idx="12">
                  <c:v>33</c:v>
                </c:pt>
                <c:pt idx="13">
                  <c:v>28</c:v>
                </c:pt>
                <c:pt idx="14">
                  <c:v>1</c:v>
                </c:pt>
                <c:pt idx="15">
                  <c:v>7</c:v>
                </c:pt>
                <c:pt idx="16">
                  <c:v>12</c:v>
                </c:pt>
                <c:pt idx="17">
                  <c:v>8</c:v>
                </c:pt>
                <c:pt idx="18">
                  <c:v>35</c:v>
                </c:pt>
                <c:pt idx="19">
                  <c:v>34</c:v>
                </c:pt>
                <c:pt idx="20">
                  <c:v>27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1-4D16-B4F6-2327529C3DB3}"/>
            </c:ext>
          </c:extLst>
        </c:ser>
        <c:ser>
          <c:idx val="6"/>
          <c:order val="6"/>
          <c:tx>
            <c:strRef>
              <c:f>'Humi-BugTrend'!$H$1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</c:strCache>
            </c:strRef>
          </c:cat>
          <c:val>
            <c:numRef>
              <c:f>'Humi-BugTrend'!$H$2:$H$23</c:f>
              <c:numCache>
                <c:formatCode>General</c:formatCode>
                <c:ptCount val="22"/>
                <c:pt idx="0">
                  <c:v>101</c:v>
                </c:pt>
                <c:pt idx="1">
                  <c:v>66</c:v>
                </c:pt>
                <c:pt idx="2">
                  <c:v>193</c:v>
                </c:pt>
                <c:pt idx="3">
                  <c:v>187</c:v>
                </c:pt>
                <c:pt idx="4">
                  <c:v>91</c:v>
                </c:pt>
                <c:pt idx="5">
                  <c:v>77</c:v>
                </c:pt>
                <c:pt idx="6">
                  <c:v>53</c:v>
                </c:pt>
                <c:pt idx="7">
                  <c:v>62</c:v>
                </c:pt>
                <c:pt idx="8">
                  <c:v>51</c:v>
                </c:pt>
                <c:pt idx="9">
                  <c:v>51</c:v>
                </c:pt>
                <c:pt idx="10">
                  <c:v>70</c:v>
                </c:pt>
                <c:pt idx="11">
                  <c:v>49</c:v>
                </c:pt>
                <c:pt idx="12">
                  <c:v>39</c:v>
                </c:pt>
                <c:pt idx="13">
                  <c:v>41</c:v>
                </c:pt>
                <c:pt idx="14">
                  <c:v>3</c:v>
                </c:pt>
                <c:pt idx="15">
                  <c:v>22</c:v>
                </c:pt>
                <c:pt idx="16">
                  <c:v>13</c:v>
                </c:pt>
                <c:pt idx="17" formatCode="0">
                  <c:v>13</c:v>
                </c:pt>
                <c:pt idx="18" formatCode="0">
                  <c:v>53</c:v>
                </c:pt>
                <c:pt idx="19" formatCode="0">
                  <c:v>42</c:v>
                </c:pt>
                <c:pt idx="20" formatCode="0">
                  <c:v>36</c:v>
                </c:pt>
                <c:pt idx="21" formatCode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1-4D16-B4F6-2327529C3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7800655"/>
        <c:axId val="1167802383"/>
      </c:barChart>
      <c:catAx>
        <c:axId val="116780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2383"/>
        <c:crosses val="autoZero"/>
        <c:auto val="1"/>
        <c:lblAlgn val="ctr"/>
        <c:lblOffset val="100"/>
        <c:noMultiLvlLbl val="0"/>
      </c:catAx>
      <c:valAx>
        <c:axId val="11678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SOVA - Bug trend (Per Sprint)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'SOVA-BugTrend'!$B$1</c:f>
              <c:strCache>
                <c:ptCount val="1"/>
                <c:pt idx="0">
                  <c:v>To Do (0%)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'SOVA-BugTrend'!$A$2:$A$21</c:f>
              <c:strCache>
                <c:ptCount val="20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</c:strCache>
            </c:strRef>
          </c:cat>
          <c:val>
            <c:numRef>
              <c:f>'SOVA-BugTrend'!$B$2:$B$21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9</c:v>
                </c:pt>
                <c:pt idx="17">
                  <c:v>8</c:v>
                </c:pt>
                <c:pt idx="18">
                  <c:v>12</c:v>
                </c:pt>
                <c:pt idx="1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D-E249-9004-FD6F8F48AD9B}"/>
            </c:ext>
          </c:extLst>
        </c:ser>
        <c:ser>
          <c:idx val="1"/>
          <c:order val="1"/>
          <c:tx>
            <c:strRef>
              <c:f>'SOVA-BugTrend'!$C$1</c:f>
              <c:strCache>
                <c:ptCount val="1"/>
                <c:pt idx="0">
                  <c:v>STARTING (10 ~ 40%)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'SOVA-BugTrend'!$A$2:$A$21</c:f>
              <c:strCache>
                <c:ptCount val="20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</c:strCache>
            </c:strRef>
          </c:cat>
          <c:val>
            <c:numRef>
              <c:f>'SOVA-BugTrend'!$C$2:$C$21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D-E249-9004-FD6F8F48AD9B}"/>
            </c:ext>
          </c:extLst>
        </c:ser>
        <c:ser>
          <c:idx val="2"/>
          <c:order val="2"/>
          <c:tx>
            <c:strRef>
              <c:f>'SOVA-BugTrend'!$D$1</c:f>
              <c:strCache>
                <c:ptCount val="1"/>
                <c:pt idx="0">
                  <c:v>In Progress (50 ~ 70%)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'SOVA-BugTrend'!$A$2:$A$21</c:f>
              <c:strCache>
                <c:ptCount val="20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</c:strCache>
            </c:strRef>
          </c:cat>
          <c:val>
            <c:numRef>
              <c:f>'SOVA-BugTrend'!$D$2:$D$21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D-E249-9004-FD6F8F48AD9B}"/>
            </c:ext>
          </c:extLst>
        </c:ser>
        <c:ser>
          <c:idx val="3"/>
          <c:order val="3"/>
          <c:tx>
            <c:strRef>
              <c:f>'SOVA-BugTrend'!$E$1</c:f>
              <c:strCache>
                <c:ptCount val="1"/>
                <c:pt idx="0">
                  <c:v>IN REVIEW (80%)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'SOVA-BugTrend'!$A$2:$A$21</c:f>
              <c:strCache>
                <c:ptCount val="20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</c:strCache>
            </c:strRef>
          </c:cat>
          <c:val>
            <c:numRef>
              <c:f>'SOVA-BugTrend'!$E$2:$E$21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FD-E249-9004-FD6F8F48AD9B}"/>
            </c:ext>
          </c:extLst>
        </c:ser>
        <c:ser>
          <c:idx val="4"/>
          <c:order val="4"/>
          <c:tx>
            <c:strRef>
              <c:f>'SOVA-BugTrend'!$F$1</c:f>
              <c:strCache>
                <c:ptCount val="1"/>
                <c:pt idx="0">
                  <c:v>READY FOR TESTING (90%)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'SOVA-BugTrend'!$A$2:$A$21</c:f>
              <c:strCache>
                <c:ptCount val="20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</c:strCache>
            </c:strRef>
          </c:cat>
          <c:val>
            <c:numRef>
              <c:f>'SOVA-BugTrend'!$F$2:$F$21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1</c:v>
                </c:pt>
                <c:pt idx="17">
                  <c:v>4</c:v>
                </c:pt>
                <c:pt idx="18">
                  <c:v>4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FD-E249-9004-FD6F8F48AD9B}"/>
            </c:ext>
          </c:extLst>
        </c:ser>
        <c:ser>
          <c:idx val="5"/>
          <c:order val="5"/>
          <c:tx>
            <c:strRef>
              <c:f>'SOVA-BugTrend'!$G$1</c:f>
              <c:strCache>
                <c:ptCount val="1"/>
                <c:pt idx="0">
                  <c:v>Done (100%)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'SOVA-BugTrend'!$A$2:$A$21</c:f>
              <c:strCache>
                <c:ptCount val="20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</c:strCache>
            </c:strRef>
          </c:cat>
          <c:val>
            <c:numRef>
              <c:f>'SOVA-BugTrend'!$G$2:$G$21</c:f>
              <c:numCache>
                <c:formatCode>General</c:formatCode>
                <c:ptCount val="20"/>
                <c:pt idx="0">
                  <c:v>20</c:v>
                </c:pt>
                <c:pt idx="1">
                  <c:v>20</c:v>
                </c:pt>
                <c:pt idx="2">
                  <c:v>16</c:v>
                </c:pt>
                <c:pt idx="3">
                  <c:v>16</c:v>
                </c:pt>
                <c:pt idx="4">
                  <c:v>55</c:v>
                </c:pt>
                <c:pt idx="5">
                  <c:v>35</c:v>
                </c:pt>
                <c:pt idx="6">
                  <c:v>39</c:v>
                </c:pt>
                <c:pt idx="7">
                  <c:v>39</c:v>
                </c:pt>
                <c:pt idx="8">
                  <c:v>45</c:v>
                </c:pt>
                <c:pt idx="9">
                  <c:v>18</c:v>
                </c:pt>
                <c:pt idx="10">
                  <c:v>25</c:v>
                </c:pt>
                <c:pt idx="11">
                  <c:v>45</c:v>
                </c:pt>
                <c:pt idx="12">
                  <c:v>24</c:v>
                </c:pt>
                <c:pt idx="13">
                  <c:v>43</c:v>
                </c:pt>
                <c:pt idx="14">
                  <c:v>35</c:v>
                </c:pt>
                <c:pt idx="15">
                  <c:v>28</c:v>
                </c:pt>
                <c:pt idx="16">
                  <c:v>34</c:v>
                </c:pt>
                <c:pt idx="17">
                  <c:v>22</c:v>
                </c:pt>
                <c:pt idx="18">
                  <c:v>15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A-448B-9495-5C7B740944E9}"/>
            </c:ext>
          </c:extLst>
        </c:ser>
        <c:ser>
          <c:idx val="6"/>
          <c:order val="6"/>
          <c:tx>
            <c:strRef>
              <c:f>'SOVA-BugTrend'!$H$1</c:f>
              <c:strCache>
                <c:ptCount val="1"/>
                <c:pt idx="0">
                  <c:v>WON'T DO (100%)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'SOVA-BugTrend'!$A$2:$A$21</c:f>
              <c:strCache>
                <c:ptCount val="20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</c:strCache>
            </c:strRef>
          </c:cat>
          <c:val>
            <c:numRef>
              <c:f>'SOVA-BugTrend'!$H$2:$H$21</c:f>
              <c:numCache>
                <c:formatCode>General</c:formatCode>
                <c:ptCount val="20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6</c:v>
                </c:pt>
                <c:pt idx="8">
                  <c:v>7</c:v>
                </c:pt>
                <c:pt idx="9">
                  <c:v>1</c:v>
                </c:pt>
                <c:pt idx="10">
                  <c:v>4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C-4534-BBE6-84C693F68020}"/>
            </c:ext>
          </c:extLst>
        </c:ser>
        <c:ser>
          <c:idx val="7"/>
          <c:order val="7"/>
          <c:tx>
            <c:strRef>
              <c:f>'SOVA-BugTrend'!$I$1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'SOVA-BugTrend'!$A$2:$A$21</c:f>
              <c:strCache>
                <c:ptCount val="20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  <c:pt idx="19">
                  <c:v>y26w2</c:v>
                </c:pt>
              </c:strCache>
            </c:strRef>
          </c:cat>
          <c:val>
            <c:numRef>
              <c:f>'SOVA-BugTrend'!$I$2:$I$21</c:f>
              <c:numCache>
                <c:formatCode>General</c:formatCode>
                <c:ptCount val="20"/>
                <c:pt idx="0">
                  <c:v>23</c:v>
                </c:pt>
                <c:pt idx="1">
                  <c:v>22</c:v>
                </c:pt>
                <c:pt idx="2">
                  <c:v>18</c:v>
                </c:pt>
                <c:pt idx="3">
                  <c:v>18</c:v>
                </c:pt>
                <c:pt idx="4">
                  <c:v>59</c:v>
                </c:pt>
                <c:pt idx="5">
                  <c:v>39</c:v>
                </c:pt>
                <c:pt idx="6">
                  <c:v>42</c:v>
                </c:pt>
                <c:pt idx="7">
                  <c:v>46</c:v>
                </c:pt>
                <c:pt idx="8">
                  <c:v>53</c:v>
                </c:pt>
                <c:pt idx="9">
                  <c:v>20</c:v>
                </c:pt>
                <c:pt idx="10">
                  <c:v>32</c:v>
                </c:pt>
                <c:pt idx="11">
                  <c:v>53</c:v>
                </c:pt>
                <c:pt idx="12">
                  <c:v>25</c:v>
                </c:pt>
                <c:pt idx="13">
                  <c:v>43</c:v>
                </c:pt>
                <c:pt idx="14">
                  <c:v>35</c:v>
                </c:pt>
                <c:pt idx="15">
                  <c:v>29</c:v>
                </c:pt>
                <c:pt idx="16">
                  <c:v>44</c:v>
                </c:pt>
                <c:pt idx="17">
                  <c:v>36</c:v>
                </c:pt>
                <c:pt idx="18">
                  <c:v>33</c:v>
                </c:pt>
                <c:pt idx="1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89-4D09-84BF-8AEC42909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710415"/>
        <c:axId val="1167712127"/>
      </c:barChart>
      <c:catAx>
        <c:axId val="116771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2127"/>
        <c:crosses val="autoZero"/>
        <c:auto val="1"/>
        <c:lblAlgn val="ctr"/>
        <c:lblOffset val="100"/>
        <c:noMultiLvlLbl val="0"/>
      </c:catAx>
      <c:valAx>
        <c:axId val="11677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24</xdr:row>
      <xdr:rowOff>171448</xdr:rowOff>
    </xdr:from>
    <xdr:to>
      <xdr:col>8</xdr:col>
      <xdr:colOff>95250</xdr:colOff>
      <xdr:row>53</xdr:row>
      <xdr:rowOff>133348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E0D20-FFE1-49A2-4F00-0445F88FB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114300</xdr:rowOff>
    </xdr:from>
    <xdr:to>
      <xdr:col>6</xdr:col>
      <xdr:colOff>1028700</xdr:colOff>
      <xdr:row>46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0293B-65AB-35A9-35DC-D9A36AA77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30</xdr:row>
      <xdr:rowOff>69662</xdr:rowOff>
    </xdr:from>
    <xdr:to>
      <xdr:col>6</xdr:col>
      <xdr:colOff>1057275</xdr:colOff>
      <xdr:row>59</xdr:row>
      <xdr:rowOff>31562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43432-D826-4A5B-E6D2-51F4E1DB4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25</xdr:row>
      <xdr:rowOff>142875</xdr:rowOff>
    </xdr:from>
    <xdr:to>
      <xdr:col>8</xdr:col>
      <xdr:colOff>428625</xdr:colOff>
      <xdr:row>54</xdr:row>
      <xdr:rowOff>88899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359BE9-9442-1FA5-2ADA-BFB35384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25</xdr:row>
      <xdr:rowOff>12700</xdr:rowOff>
    </xdr:from>
    <xdr:to>
      <xdr:col>8</xdr:col>
      <xdr:colOff>219075</xdr:colOff>
      <xdr:row>54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2B5FB-149B-FE72-E492-265E1391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949CE-F107-4F66-9A7B-4594AB1D83D9}" name="Table2" displayName="Table2" ref="A1:E22" totalsRowShown="0" headerRowDxfId="34">
  <autoFilter ref="A1:E22" xr:uid="{423949CE-F107-4F66-9A7B-4594AB1D83D9}"/>
  <tableColumns count="5">
    <tableColumn id="1" xr3:uid="{F25F0D34-0297-4771-8BBB-350BCDD85D46}" name="Week"/>
    <tableColumn id="2" xr3:uid="{39CFCD12-3130-47A8-A140-DBF602F1743D}" name="Done"/>
    <tableColumn id="3" xr3:uid="{D3E7F733-4867-4C24-B87C-F816735DED78}" name="In Review/Progress"/>
    <tableColumn id="4" xr3:uid="{5A6545FA-F961-4A11-B767-C7EA402E5E5A}" name="TODO (P1)"/>
    <tableColumn id="5" xr3:uid="{AA46DC09-2F2B-4052-AB45-826AC56CB7B5}" name="Total" dataDxfId="33">
      <calculatedColumnFormula>SUM(Table2[[#This Row],[Done]:[TODO (P1)]])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2B6291-7056-475B-AE1E-CA59C524E5F1}" name="Table1" displayName="Table1" ref="A1:H15" totalsRowShown="0" headerRowDxfId="32">
  <autoFilter ref="A1:H15" xr:uid="{E42B6291-7056-475B-AE1E-CA59C524E5F1}"/>
  <tableColumns count="8">
    <tableColumn id="1" xr3:uid="{9154D4F8-C83D-4DB9-9182-818F32FA7C26}" name="Versions"/>
    <tableColumn id="2" xr3:uid="{1FE19FA2-B8BE-47BC-9953-F802445DE79D}" name="Passed"/>
    <tableColumn id="3" xr3:uid="{A28B8AC3-7E86-4783-B12A-4FCADF7F2151}" name="Blocked"/>
    <tableColumn id="4" xr3:uid="{9A6CFB2B-CF9D-44BB-BE22-5C680670EAE0}" name="Known Issue"/>
    <tableColumn id="5" xr3:uid="{DC0F99B4-F7A9-4F8A-BBA0-6D907EC37C98}" name="Failed"/>
    <tableColumn id="6" xr3:uid="{2F758004-8A07-4C9F-A1EF-D5DABF4F31F0}" name="Partially Failed"/>
    <tableColumn id="7" xr3:uid="{DA700F0A-CDCF-4F77-AE73-82D409134037}" name="Untested"/>
    <tableColumn id="8" xr3:uid="{F186EC08-2AB3-485D-B982-BDBCE5ABE745}" name="Total">
      <calculatedColumnFormula>SUM(B2:G2)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1F3BE9-C534-4A83-AA30-CE297DF28DB5}" name="Table3" displayName="Table3" ref="A1:H26" totalsRowShown="0" headerRowDxfId="31">
  <autoFilter ref="A1:H26" xr:uid="{E31F3BE9-C534-4A83-AA30-CE297DF28DB5}"/>
  <tableColumns count="8">
    <tableColumn id="1" xr3:uid="{8103CDF3-74DC-4B31-821D-E20368EA5455}" name="Versions"/>
    <tableColumn id="2" xr3:uid="{6C3B261F-FA51-42D2-821A-F22633569372}" name="Passed"/>
    <tableColumn id="3" xr3:uid="{BC949668-17A9-4E54-BE70-E54A03F2100E}" name="Blocked"/>
    <tableColumn id="4" xr3:uid="{E96EB15B-5BAC-4B8A-A79F-56B0E1546396}" name="Known Issue"/>
    <tableColumn id="5" xr3:uid="{41B83D2F-6D51-4667-B2B2-F76F6482C1D1}" name="Failed"/>
    <tableColumn id="6" xr3:uid="{26F61733-CA12-4B2B-8922-ABF23FA1A0CF}" name="Partially Failed"/>
    <tableColumn id="7" xr3:uid="{D40FAE8C-0F59-4E72-8577-B404EAC3FBFC}" name="Untested"/>
    <tableColumn id="8" xr3:uid="{9EDBB1BE-19AD-4F52-9FAF-1ED9F6FC2EBD}" name="Total" dataDxfId="30">
      <calculatedColumnFormula>SUM(Table3[[#This Row],[Passed]:[Untested]])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D0B7A-EC5B-4838-AC2B-8475A3B6644B}" name="Table7" displayName="Table7" ref="A1:H23" totalsRowShown="0" headerRowDxfId="29">
  <autoFilter ref="A1:H23" xr:uid="{E4AD0B7A-EC5B-4838-AC2B-8475A3B6644B}"/>
  <tableColumns count="8">
    <tableColumn id="1" xr3:uid="{58F8A895-CEBE-41D2-B7BB-1681C0697C85}" name="Version"/>
    <tableColumn id="2" xr3:uid="{CE08A48D-2419-484B-993C-54A546869B61}" name="To Do" dataDxfId="28"/>
    <tableColumn id="3" xr3:uid="{FC519478-6B36-4D96-93F3-3AF4B1D70F3E}" name="In Progress" dataDxfId="27"/>
    <tableColumn id="5" xr3:uid="{52258D92-71B9-4E63-A3AA-5ABE6B4F3D23}" name="In Review" dataDxfId="26"/>
    <tableColumn id="4" xr3:uid="{C5EE39F3-E9DF-4F2E-9576-6DDB97E21DB3}" name="In QA" dataDxfId="25"/>
    <tableColumn id="6" xr3:uid="{CC106112-C63E-4AA5-9AAA-D0A99983E0DD}" name="Internal Test" dataDxfId="24"/>
    <tableColumn id="7" xr3:uid="{C69EECCF-E5E5-4372-B171-2B35FE10B60D}" name="Done" dataDxfId="23"/>
    <tableColumn id="8" xr3:uid="{C7A900BC-8967-4049-AE22-7F9EDE21E913}" name="Total" dataDxfId="22" totalsRowDxfId="21">
      <calculatedColumnFormula>SUM(Table7[[#This Row],[To Do]:[Done]])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8F5145-A108-41DB-B2C3-516BE7C86923}" name="Table5" displayName="Table5" ref="A1:I21" totalsRowShown="0" headerRowDxfId="20" dataDxfId="18" headerRowBorderDxfId="19" tableBorderDxfId="17" totalsRowBorderDxfId="16" dataCellStyle="Hyperlink">
  <autoFilter ref="A1:I21" xr:uid="{108F5145-A108-41DB-B2C3-516BE7C86923}"/>
  <tableColumns count="9">
    <tableColumn id="1" xr3:uid="{5BE08AE0-E0B5-4B46-9423-456B88C2D9BC}" name="Sprint" dataDxfId="15"/>
    <tableColumn id="2" xr3:uid="{030F9647-4FC0-4C7E-9B3A-AB099CC59EBA}" name="To Do (0%)" dataDxfId="14" dataCellStyle="Hyperlink"/>
    <tableColumn id="3" xr3:uid="{7D2923F3-E2CF-4FD9-A7A5-68C36BB95591}" name="STARTING (10 ~ 40%)" dataDxfId="13" dataCellStyle="Hyperlink"/>
    <tableColumn id="4" xr3:uid="{48FB5317-7F3B-4F74-B244-5A49C7749EBD}" name="In Progress (50 ~ 70%)" dataDxfId="12" dataCellStyle="Hyperlink"/>
    <tableColumn id="5" xr3:uid="{86F5CCB5-C4C2-4C36-935A-657F085500B1}" name="IN REVIEW (80%)" dataDxfId="11" dataCellStyle="Hyperlink"/>
    <tableColumn id="9" xr3:uid="{51D22AE3-424C-4604-9869-D672DED4301F}" name="READY FOR TESTING (90%)" dataDxfId="10" dataCellStyle="Hyperlink"/>
    <tableColumn id="6" xr3:uid="{33C9BCE6-D9EB-4032-9B0A-DDD9A4051A2D}" name="Done (100%)" dataDxfId="9" dataCellStyle="Hyperlink"/>
    <tableColumn id="8" xr3:uid="{D624FC89-A88E-45AC-9D22-66D66702B8C5}" name="WON'T DO (100%)" dataDxfId="8" dataCellStyle="Hyperlink"/>
    <tableColumn id="7" xr3:uid="{EFEEB7EC-E2D1-40EA-B265-A558311E5D30}" name="Total" dataDxfId="7" dataCellStyle="Hyperlink">
      <calculatedColumnFormula>SUM(Table5[[#This Row],[To Do (0%)]:[WON''T DO (100%)]])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55E946-0086-4A42-AEAE-DA5ED4E8BB10}" name="Table25" displayName="Table25" ref="A1:E14" totalsRowShown="0" headerRowDxfId="6" dataDxfId="5">
  <autoFilter ref="A1:E14" xr:uid="{2C55E946-0086-4A42-AEAE-DA5ED4E8BB10}"/>
  <tableColumns count="5">
    <tableColumn id="1" xr3:uid="{7070D9F2-0ED1-4F39-8D72-28B37C8E98F2}" name="Week" dataDxfId="4"/>
    <tableColumn id="2" xr3:uid="{1173F443-CC27-4C6E-A432-BF66DB2A740E}" name="Done" dataDxfId="3"/>
    <tableColumn id="3" xr3:uid="{2EE10CB5-1AF1-4B50-9456-B3A666DD5338}" name="In Review/Progress" dataDxfId="2"/>
    <tableColumn id="4" xr3:uid="{328D0A00-85F0-4BFF-81FE-C023998A3701}" name="TODO (P1)" dataDxfId="1"/>
    <tableColumn id="5" xr3:uid="{E385808E-1FCD-451C-9807-DAF18A42B704}" name="Total" dataDxfId="0">
      <calculatedColumnFormula>SUM(Table25[[#This Row],[Done]:[TODO (P1)]])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xrspace.atlassian.net/issues/?jql=created+%3E%3D+2025-01-01+AND+created+%3C%3D+2025-12-31+AND+type+%3D+Bug+AND+project+%3D+SOVA+AND+Sprint+%3D+3872+AND+status+%3D+%22WON%27T+DO+%28100%25%29%22" TargetMode="External"/><Relationship Id="rId21" Type="http://schemas.openxmlformats.org/officeDocument/2006/relationships/hyperlink" Target="https://xrspace.atlassian.net/issues/?jql=created+%3E%3D+2025-01-01+AND+created+%3C%3D+2025-12-31+AND+type+%3D+Bug+AND+project+%3D+SOVA+AND+Sprint+%3D+1496+AND+status+%3D+%22READY+FOR+TESTING+%2890%25%29%22" TargetMode="External"/><Relationship Id="rId42" Type="http://schemas.openxmlformats.org/officeDocument/2006/relationships/hyperlink" Target="https://xrspace.atlassian.net/issues/?jql=created+%3E%3D+2025-01-01+AND+created+%3C%3D+2025-12-31+AND+type+%3D+Bug+AND+project+%3D+SOVA+AND+Sprint+%3D+1499+AND+status+%3D+%22READY+FOR+TESTING+%2890%25%29%22" TargetMode="External"/><Relationship Id="rId63" Type="http://schemas.openxmlformats.org/officeDocument/2006/relationships/hyperlink" Target="https://xrspace.atlassian.net/issues/?jql=created+%3E%3D+2025-01-01+AND+created+%3C%3D+2025-12-31+AND+type+%3D+Bug+AND+project+%3D+SOVA+AND+Sprint+%3D+2618+AND+status+%3D+%22READY+FOR+TESTING+%2890%25%29%22" TargetMode="External"/><Relationship Id="rId84" Type="http://schemas.openxmlformats.org/officeDocument/2006/relationships/hyperlink" Target="https://xrspace.atlassian.net/issues/?jql=created+%3E%3D+2025-01-01+AND+created+%3C%3D+2025-12-31+AND+type+%3D+Bug+AND+project+%3D+SOVA+AND+Sprint+%3D+3213+AND+status+%3D+%22READY+FOR+TESTING+%2890%25%29%22" TargetMode="External"/><Relationship Id="rId138" Type="http://schemas.openxmlformats.org/officeDocument/2006/relationships/hyperlink" Target="https://xrspace.atlassian.net/issues/?jql=created+%3E%3D+2025-01-01+AND+created+%3C%3D+2025-12-31+AND+type+%3D+Bug+AND+project+%3D+SOVA+AND+Sprint+%3D+4206+AND+status+%3D+%22WON%27T+DO+%28100%25%29%22" TargetMode="External"/><Relationship Id="rId107" Type="http://schemas.openxmlformats.org/officeDocument/2006/relationships/hyperlink" Target="https://xrspace.atlassian.net/issues/?jql=created+%3E%3D+2025-01-01+AND+created+%3C%3D+2025-12-31+AND+type+%3D+Bug+AND+project+%3D+SOVA+AND+Sprint+%3D+3608+AND+status+%3D+%22In+Progress+%2850+%7E+70%25%29%22" TargetMode="External"/><Relationship Id="rId11" Type="http://schemas.openxmlformats.org/officeDocument/2006/relationships/hyperlink" Target="https://xrspace.atlassian.net/issues/?jql=created+%3E%3D+2025-01-01+AND+created+%3C%3D+2025-12-31+AND+type+%3D+Bug+AND+project+%3D+SOVA+AND+Sprint+%3D+1466+AND+status+%3D+%22IN+REVIEW+%2880%25%29%22" TargetMode="External"/><Relationship Id="rId32" Type="http://schemas.openxmlformats.org/officeDocument/2006/relationships/hyperlink" Target="https://xrspace.atlassian.net/issues/?jql=created+%3E%3D+2025-01-01+AND+created+%3C%3D+2025-12-31+AND+type+%3D+Bug+AND+project+%3D+SOVA+AND+Sprint+%3D+1498+AND+status+%3D+%22IN+REVIEW+%2880%25%29%22" TargetMode="External"/><Relationship Id="rId37" Type="http://schemas.openxmlformats.org/officeDocument/2006/relationships/hyperlink" Target="https://xrspace.atlassian.net/issues/?jql=created+%3E%3D+2025-01-01+AND+created+%3C%3D+2025-12-31+AND+type+%3D+Bug+AND+project+%3D+SOVA+AND+Sprint+%3D+1499+AND+status+%3D+%22In+Progress+%2850+%7E+70%25%29%22" TargetMode="External"/><Relationship Id="rId53" Type="http://schemas.openxmlformats.org/officeDocument/2006/relationships/hyperlink" Target="https://xrspace.atlassian.net/issues/?jql=created+%3E%3D+2025-01-01+AND+created+%3C%3D+2025-12-31+AND+type+%3D+Bug+AND+project+%3D+SOVA+AND+Sprint+%3D+2157+AND+status+%3D+%22IN+REVIEW+%2880%25%29%22" TargetMode="External"/><Relationship Id="rId58" Type="http://schemas.openxmlformats.org/officeDocument/2006/relationships/hyperlink" Target="https://xrspace.atlassian.net/issues/?jql=created+%3E%3D+2025-01-01+AND+created+%3C%3D+2025-12-31+AND+type+%3D+Bug+AND+project+%3D+SOVA+AND+Sprint+%3D+2618+AND+status+%3D+%22In+Progress+%2850+%7E+70%25%29%22" TargetMode="External"/><Relationship Id="rId74" Type="http://schemas.openxmlformats.org/officeDocument/2006/relationships/hyperlink" Target="https://xrspace.atlassian.net/issues/?jql=created+%3E%3D+2025-01-01+AND+created+%3C%3D+2025-12-31+AND+type+%3D+Bug+AND+project+%3D+SOVA+AND+Sprint+%3D+2882+AND+status+%3D+%22IN+REVIEW+%2880%25%29%22" TargetMode="External"/><Relationship Id="rId79" Type="http://schemas.openxmlformats.org/officeDocument/2006/relationships/hyperlink" Target="https://xrspace.atlassian.net/issues/?jql=created+%3E%3D+2025-01-01+AND+created+%3C%3D+2025-12-31+AND+type+%3D+Bug+AND+project+%3D+SOVA+AND+Sprint+%3D+3213+AND+status+%3D+%22In+Progress+%2850+%7E+70%25%29%22" TargetMode="External"/><Relationship Id="rId102" Type="http://schemas.openxmlformats.org/officeDocument/2006/relationships/hyperlink" Target="https://xrspace.atlassian.net/issues/?jql=created+%3E%3D+2025-01-01+AND+created+%3C%3D+2025-12-31+AND+type+%3D+Bug+AND+project+%3D+SOVA+AND+Sprint+%3D+3575+AND+status+%3D+%22IN+REVIEW+%2880%25%29%22" TargetMode="External"/><Relationship Id="rId123" Type="http://schemas.openxmlformats.org/officeDocument/2006/relationships/hyperlink" Target="https://xrspace.atlassian.net/issues/?jql=created+%3E%3D+2025-01-01+AND+created+%3C%3D+2025-12-31+AND+type+%3D+Bug+AND+project+%3D+SOVA+AND+Sprint+%3D+3873+AND+status+%3D+%22IN+REVIEW+%2880%25%29%22" TargetMode="External"/><Relationship Id="rId128" Type="http://schemas.openxmlformats.org/officeDocument/2006/relationships/hyperlink" Target="https://xrspace.atlassian.net/issues/?jql=created+%3E%3D+2025-01-01+AND+created+%3C%3D+2025-12-31+AND+type+%3D+Bug+AND+project+%3D+SOVA+AND+Sprint+%3D+4140+AND+status+%3D+%22In+Progress+%2850+%7E+70%25%29%22" TargetMode="External"/><Relationship Id="rId5" Type="http://schemas.openxmlformats.org/officeDocument/2006/relationships/hyperlink" Target="https://xrspace.atlassian.net/issues/?jql=created+%3E%3D+2025-01-01+AND+created+%3C%3D+2025-12-31+AND+type+%3D+Bug+AND+project+%3D+SOVA+AND+Sprint+%3D+1463+AND+status+%3D+%22WON%27T+DO+%28100%25%29%22" TargetMode="External"/><Relationship Id="rId90" Type="http://schemas.openxmlformats.org/officeDocument/2006/relationships/hyperlink" Target="https://xrspace.atlassian.net/issues/?jql=created+%3E%3D+2025-01-01+AND+created+%3C%3D+2025-12-31+AND+type+%3D+Bug+AND+project+%3D+SOVA+AND+Sprint+%3D+3245+AND+status+%3D+%22STARTING+%2810+%7E+40%25%29%22" TargetMode="External"/><Relationship Id="rId95" Type="http://schemas.openxmlformats.org/officeDocument/2006/relationships/hyperlink" Target="https://xrspace.atlassian.net/issues/?jql=created+%3E%3D+2025-01-01+AND+created+%3C%3D+2025-12-31+AND+type+%3D+Bug+AND+project+%3D+SOVA+AND+Sprint+%3D+3246+AND+status+%3D+%22IN+REVIEW+%2880%25%29%22" TargetMode="External"/><Relationship Id="rId22" Type="http://schemas.openxmlformats.org/officeDocument/2006/relationships/hyperlink" Target="https://xrspace.atlassian.net/issues/?jql=created+%3E%3D+2025-01-01+AND+created+%3C%3D+2025-12-31+AND+type+%3D+Bug+AND+project+%3D+SOVA+AND+Sprint+%3D+1497+AND+status+%3D+%22To+Do+%280%25%29%22" TargetMode="External"/><Relationship Id="rId27" Type="http://schemas.openxmlformats.org/officeDocument/2006/relationships/hyperlink" Target="https://xrspace.atlassian.net/issues/?jql=created+%3E%3D+2025-01-01+AND+created+%3C%3D+2025-12-31+AND+type+%3D+Bug+AND+project+%3D+SOVA+AND+Sprint+%3D+1497+AND+status+%3D+%22STARTING+%2810+%7E+40%25%29%22" TargetMode="External"/><Relationship Id="rId43" Type="http://schemas.openxmlformats.org/officeDocument/2006/relationships/hyperlink" Target="https://xrspace.atlassian.net/issues/?jql=created+%3E%3D+2025-01-01+AND+created+%3C%3D+2025-12-31+AND+type+%3D+Bug+AND+project+%3D+SOVA+AND+Sprint+%3D+2156+AND+status+%3D+%22To+Do+%280%25%29%22" TargetMode="External"/><Relationship Id="rId48" Type="http://schemas.openxmlformats.org/officeDocument/2006/relationships/hyperlink" Target="https://xrspace.atlassian.net/issues/?jql=created+%3E%3D+2025-01-01+AND+created+%3C%3D+2025-12-31+AND+type+%3D+Bug+AND+project+%3D+SOVA+AND+Sprint+%3D+2156+AND+status+%3D+%22STARTING+%2810+%7E+40%25%29%22" TargetMode="External"/><Relationship Id="rId64" Type="http://schemas.openxmlformats.org/officeDocument/2006/relationships/hyperlink" Target="https://xrspace.atlassian.net/issues/?jql=created+%3E%3D+2025-01-01+AND+created+%3C%3D+2025-12-31+AND+type+%3D+Bug+AND+project+%3D+SOVA+AND+Sprint+%3D+2619+AND+status+%3D+%22To+Do+%280%25%29%22" TargetMode="External"/><Relationship Id="rId69" Type="http://schemas.openxmlformats.org/officeDocument/2006/relationships/hyperlink" Target="https://xrspace.atlassian.net/issues/?jql=created+%3E%3D+2025-01-01+AND+created+%3C%3D+2025-12-31+AND+type+%3D+Bug+AND+project+%3D+SOVA+AND+Sprint+%3D+2619+AND+status+%3D+%22STARTING+%2810+%7E+40%25%29%22" TargetMode="External"/><Relationship Id="rId113" Type="http://schemas.openxmlformats.org/officeDocument/2006/relationships/hyperlink" Target="https://xrspace.atlassian.net/issues/?jql=created+%3E%3D+2025-01-01+AND+created+%3C%3D+2025-12-31+AND+type+%3D+Bug+AND+project+%3D+SOVA+AND+Sprint+%3D+3872+AND+status+%3D+%22To+Do+%280%25%29%22" TargetMode="External"/><Relationship Id="rId118" Type="http://schemas.openxmlformats.org/officeDocument/2006/relationships/hyperlink" Target="https://xrspace.atlassian.net/issues/?jql=created+%3E%3D+2025-01-01+AND+created+%3C%3D+2025-12-31+AND+type+%3D+Bug+AND+project+%3D+SOVA+AND+Sprint+%3D+3872+AND+status+%3D+%22STARTING+%2810+%7E+40%25%29%22" TargetMode="External"/><Relationship Id="rId134" Type="http://schemas.openxmlformats.org/officeDocument/2006/relationships/hyperlink" Target="https://xrspace.atlassian.net/issues/?jql=created+%3E%3D+2025-01-01+AND+created+%3C%3D+2025-12-31+AND+type+%3D+Bug+AND+project+%3D+SOVA+AND+Sprint+%3D+4206+AND+status+%3D+%22To+Do+%280%25%29%22" TargetMode="External"/><Relationship Id="rId139" Type="http://schemas.openxmlformats.org/officeDocument/2006/relationships/hyperlink" Target="https://xrspace.atlassian.net/issues/?jql=created+%3E%3D+2025-01-01+AND+created+%3C%3D+2025-12-31+AND+type+%3D+Bug+AND+project+%3D+SOVA+AND+Sprint+%3D+4206+AND+status+%3D+%22STARTING+%2810+%7E+40%25%29%22" TargetMode="External"/><Relationship Id="rId80" Type="http://schemas.openxmlformats.org/officeDocument/2006/relationships/hyperlink" Target="https://xrspace.atlassian.net/issues/?jql=created+%3E%3D+2025-01-01+AND+created+%3C%3D+2025-12-31+AND+type+%3D+Bug+AND+project+%3D+SOVA+AND+Sprint+%3D+3213+AND+status+%3D+%22Done+%28100%25%29%22" TargetMode="External"/><Relationship Id="rId85" Type="http://schemas.openxmlformats.org/officeDocument/2006/relationships/hyperlink" Target="https://xrspace.atlassian.net/issues/?jql=created+%3E%3D+2025-01-01+AND+created+%3C%3D+2025-12-31+AND+type+%3D+Bug+AND+project+%3D+SOVA+AND+Sprint+%3D+3245+AND+status+%3D+%22To+Do+%280%25%29%22" TargetMode="External"/><Relationship Id="rId12" Type="http://schemas.openxmlformats.org/officeDocument/2006/relationships/hyperlink" Target="https://xrspace.atlassian.net/issues/?jql=created+%3E%3D+2025-01-01+AND+created+%3C%3D+2025-12-31+AND+type+%3D+Bug+AND+project+%3D+SOVA+AND+Sprint+%3D+1466+AND+status+%3D+%22WON%27T+DO+%28100%25%29%22" TargetMode="External"/><Relationship Id="rId17" Type="http://schemas.openxmlformats.org/officeDocument/2006/relationships/hyperlink" Target="https://xrspace.atlassian.net/issues/?jql=created+%3E%3D+2025-01-01+AND+created+%3C%3D+2025-12-31+AND+type+%3D+Bug+AND+project+%3D+SOVA+AND+Sprint+%3D+1496+AND+status+%3D+%22Done+%28100%25%29%22" TargetMode="External"/><Relationship Id="rId33" Type="http://schemas.openxmlformats.org/officeDocument/2006/relationships/hyperlink" Target="https://xrspace.atlassian.net/issues/?jql=created+%3E%3D+2025-01-01+AND+created+%3C%3D+2025-12-31+AND+type+%3D+Bug+AND+project+%3D+SOVA+AND+Sprint+%3D+1498+AND+status+%3D+%22WON%27T+DO+%28100%25%29%22" TargetMode="External"/><Relationship Id="rId38" Type="http://schemas.openxmlformats.org/officeDocument/2006/relationships/hyperlink" Target="https://xrspace.atlassian.net/issues/?jql=created+%3E%3D+2025-01-01+AND+created+%3C%3D+2025-12-31+AND+type+%3D+Bug+AND+project+%3D+SOVA+AND+Sprint+%3D+1499+AND+status+%3D+%22Done+%28100%25%29%22" TargetMode="External"/><Relationship Id="rId59" Type="http://schemas.openxmlformats.org/officeDocument/2006/relationships/hyperlink" Target="https://xrspace.atlassian.net/issues/?jql=created+%3E%3D+2025-01-01+AND+created+%3C%3D+2025-12-31+AND+type+%3D+Bug+AND+project+%3D+SOVA+AND+Sprint+%3D+2618+AND+status+%3D+%22Done+%28100%25%29%22" TargetMode="External"/><Relationship Id="rId103" Type="http://schemas.openxmlformats.org/officeDocument/2006/relationships/hyperlink" Target="https://xrspace.atlassian.net/issues/?jql=created+%3E%3D+2025-01-01+AND+created+%3C%3D+2025-12-31+AND+type+%3D+Bug+AND+project+%3D+SOVA+AND+Sprint+%3D+3575+AND+status+%3D+%22WON%27T+DO+%28100%25%29%22" TargetMode="External"/><Relationship Id="rId108" Type="http://schemas.openxmlformats.org/officeDocument/2006/relationships/hyperlink" Target="https://xrspace.atlassian.net/issues/?jql=created+%3E%3D+2025-01-01+AND+created+%3C%3D+2025-12-31+AND+type+%3D+Bug+AND+project+%3D+SOVA+AND+Sprint+%3D+3608+AND+status+%3D+%22Done+%28100%25%29%22" TargetMode="External"/><Relationship Id="rId124" Type="http://schemas.openxmlformats.org/officeDocument/2006/relationships/hyperlink" Target="https://xrspace.atlassian.net/issues/?jql=created+%3E%3D+2025-01-01+AND+created+%3C%3D+2025-12-31+AND+type+%3D+Bug+AND+project+%3D+SOVA+AND+Sprint+%3D+3873+AND+status+%3D+%22WON%27T+DO+%28100%25%29%22" TargetMode="External"/><Relationship Id="rId129" Type="http://schemas.openxmlformats.org/officeDocument/2006/relationships/hyperlink" Target="https://xrspace.atlassian.net/issues/?jql=created+%3E%3D+2025-01-01+AND+created+%3C%3D+2025-12-31+AND+type+%3D+Bug+AND+project+%3D+SOVA+AND+Sprint+%3D+4140+AND+status+%3D+%22Done+%28100%25%29%22" TargetMode="External"/><Relationship Id="rId54" Type="http://schemas.openxmlformats.org/officeDocument/2006/relationships/hyperlink" Target="https://xrspace.atlassian.net/issues/?jql=created+%3E%3D+2025-01-01+AND+created+%3C%3D+2025-12-31+AND+type+%3D+Bug+AND+project+%3D+SOVA+AND+Sprint+%3D+2157+AND+status+%3D+%22WON%27T+DO+%28100%25%29%22" TargetMode="External"/><Relationship Id="rId70" Type="http://schemas.openxmlformats.org/officeDocument/2006/relationships/hyperlink" Target="https://xrspace.atlassian.net/issues/?jql=created+%3E%3D+2025-01-01+AND+created+%3C%3D+2025-12-31+AND+type+%3D+Bug+AND+project+%3D+SOVA+AND+Sprint+%3D+2619+AND+status+%3D+%22READY+FOR+TESTING+%2890%25%29%22" TargetMode="External"/><Relationship Id="rId75" Type="http://schemas.openxmlformats.org/officeDocument/2006/relationships/hyperlink" Target="https://xrspace.atlassian.net/issues/?jql=created+%3E%3D+2025-01-01+AND+created+%3C%3D+2025-12-31+AND+type+%3D+Bug+AND+project+%3D+SOVA+AND+Sprint+%3D+2882+AND+status+%3D+%22WON%27T+DO+%28100%25%29%22" TargetMode="External"/><Relationship Id="rId91" Type="http://schemas.openxmlformats.org/officeDocument/2006/relationships/hyperlink" Target="https://xrspace.atlassian.net/issues/?jql=created+%3E%3D+2025-01-01+AND+created+%3C%3D+2025-12-31+AND+type+%3D+Bug+AND+project+%3D+SOVA+AND+Sprint+%3D+3245+AND+status+%3D+%22READY+FOR+TESTING+%2890%25%29%22" TargetMode="External"/><Relationship Id="rId96" Type="http://schemas.openxmlformats.org/officeDocument/2006/relationships/hyperlink" Target="https://xrspace.atlassian.net/issues/?jql=created+%3E%3D+2025-01-01+AND+created+%3C%3D+2025-12-31+AND+type+%3D+Bug+AND+project+%3D+SOVA+AND+Sprint+%3D+3246+AND+status+%3D+%22WON%27T+DO+%28100%25%29%22" TargetMode="External"/><Relationship Id="rId140" Type="http://schemas.openxmlformats.org/officeDocument/2006/relationships/hyperlink" Target="https://xrspace.atlassian.net/issues/?jql=created+%3E%3D+2025-01-01+AND+created+%3C%3D+2025-12-31+AND+type+%3D+Bug+AND+project+%3D+SOVA+AND+Sprint+%3D+4206+AND+status+%3D+%22READY+FOR+TESTING+%2890%25%29%22" TargetMode="External"/><Relationship Id="rId1" Type="http://schemas.openxmlformats.org/officeDocument/2006/relationships/hyperlink" Target="https://xrspace.atlassian.net/issues/?jql=created+%3E%3D+2025-01-01+AND+created+%3C%3D+2025-12-31+AND+type+%3D+Bug+AND+project+%3D+SOVA+AND+Sprint+%3D+1463+AND+status+%3D+%22To+Do+%280%25%29%22" TargetMode="External"/><Relationship Id="rId6" Type="http://schemas.openxmlformats.org/officeDocument/2006/relationships/hyperlink" Target="https://xrspace.atlassian.net/issues/?jql=created+%3E%3D+2025-01-01+AND+created+%3C%3D+2025-12-31+AND+type+%3D+Bug+AND+project+%3D+SOVA+AND+Sprint+%3D+1463+AND+status+%3D+%22STARTING+%2810+%7E+40%25%29%22" TargetMode="External"/><Relationship Id="rId23" Type="http://schemas.openxmlformats.org/officeDocument/2006/relationships/hyperlink" Target="https://xrspace.atlassian.net/issues/?jql=created+%3E%3D+2025-01-01+AND+created+%3C%3D+2025-12-31+AND+type+%3D+Bug+AND+project+%3D+SOVA+AND+Sprint+%3D+1497+AND+status+%3D+%22In+Progress+%2850+%7E+70%25%29%22" TargetMode="External"/><Relationship Id="rId28" Type="http://schemas.openxmlformats.org/officeDocument/2006/relationships/hyperlink" Target="https://xrspace.atlassian.net/issues/?jql=created+%3E%3D+2025-01-01+AND+created+%3C%3D+2025-12-31+AND+type+%3D+Bug+AND+project+%3D+SOVA+AND+Sprint+%3D+1497+AND+status+%3D+%22READY+FOR+TESTING+%2890%25%29%22" TargetMode="External"/><Relationship Id="rId49" Type="http://schemas.openxmlformats.org/officeDocument/2006/relationships/hyperlink" Target="https://xrspace.atlassian.net/issues/?jql=created+%3E%3D+2025-01-01+AND+created+%3C%3D+2025-12-31+AND+type+%3D+Bug+AND+project+%3D+SOVA+AND+Sprint+%3D+2156+AND+status+%3D+%22READY+FOR+TESTING+%2890%25%29%22" TargetMode="External"/><Relationship Id="rId114" Type="http://schemas.openxmlformats.org/officeDocument/2006/relationships/hyperlink" Target="https://xrspace.atlassian.net/issues/?jql=created+%3E%3D+2025-01-01+AND+created+%3C%3D+2025-12-31+AND+type+%3D+Bug+AND+project+%3D+SOVA+AND+Sprint+%3D+3872+AND+status+%3D+%22In+Progress+%2850+%7E+70%25%29%22" TargetMode="External"/><Relationship Id="rId119" Type="http://schemas.openxmlformats.org/officeDocument/2006/relationships/hyperlink" Target="https://xrspace.atlassian.net/issues/?jql=created+%3E%3D+2025-01-01+AND+created+%3C%3D+2025-12-31+AND+type+%3D+Bug+AND+project+%3D+SOVA+AND+Sprint+%3D+3872+AND+status+%3D+%22READY+FOR+TESTING+%2890%25%29%22" TargetMode="External"/><Relationship Id="rId44" Type="http://schemas.openxmlformats.org/officeDocument/2006/relationships/hyperlink" Target="https://xrspace.atlassian.net/issues/?jql=created+%3E%3D+2025-01-01+AND+created+%3C%3D+2025-12-31+AND+type+%3D+Bug+AND+project+%3D+SOVA+AND+Sprint+%3D+2156+AND+status+%3D+%22In+Progress+%2850+%7E+70%25%29%22" TargetMode="External"/><Relationship Id="rId60" Type="http://schemas.openxmlformats.org/officeDocument/2006/relationships/hyperlink" Target="https://xrspace.atlassian.net/issues/?jql=created+%3E%3D+2025-01-01+AND+created+%3C%3D+2025-12-31+AND+type+%3D+Bug+AND+project+%3D+SOVA+AND+Sprint+%3D+2618+AND+status+%3D+%22IN+REVIEW+%2880%25%29%22" TargetMode="External"/><Relationship Id="rId65" Type="http://schemas.openxmlformats.org/officeDocument/2006/relationships/hyperlink" Target="https://xrspace.atlassian.net/issues/?jql=created+%3E%3D+2025-01-01+AND+created+%3C%3D+2025-12-31+AND+type+%3D+Bug+AND+project+%3D+SOVA+AND+Sprint+%3D+2619+AND+status+%3D+%22In+Progress+%2850+%7E+70%25%29%22" TargetMode="External"/><Relationship Id="rId81" Type="http://schemas.openxmlformats.org/officeDocument/2006/relationships/hyperlink" Target="https://xrspace.atlassian.net/issues/?jql=created+%3E%3D+2025-01-01+AND+created+%3C%3D+2025-12-31+AND+type+%3D+Bug+AND+project+%3D+SOVA+AND+Sprint+%3D+3213+AND+status+%3D+%22IN+REVIEW+%2880%25%29%22" TargetMode="External"/><Relationship Id="rId86" Type="http://schemas.openxmlformats.org/officeDocument/2006/relationships/hyperlink" Target="https://xrspace.atlassian.net/issues/?jql=created+%3E%3D+2025-01-01+AND+created+%3C%3D+2025-12-31+AND+type+%3D+Bug+AND+project+%3D+SOVA+AND+Sprint+%3D+3245+AND+status+%3D+%22In+Progress+%2850+%7E+70%25%29%22" TargetMode="External"/><Relationship Id="rId130" Type="http://schemas.openxmlformats.org/officeDocument/2006/relationships/hyperlink" Target="https://xrspace.atlassian.net/issues/?jql=created+%3E%3D+2025-01-01+AND+created+%3C%3D+2025-12-31+AND+type+%3D+Bug+AND+project+%3D+SOVA+AND+Sprint+%3D+4140+AND+status+%3D+%22IN+REVIEW+%2880%25%29%22" TargetMode="External"/><Relationship Id="rId135" Type="http://schemas.openxmlformats.org/officeDocument/2006/relationships/hyperlink" Target="https://xrspace.atlassian.net/issues/?jql=created+%3E%3D+2025-01-01+AND+created+%3C%3D+2025-12-31+AND+type+%3D+Bug+AND+project+%3D+SOVA+AND+Sprint+%3D+4206+AND+status+%3D+%22In+Progress+%2850+%7E+70%25%29%22" TargetMode="External"/><Relationship Id="rId13" Type="http://schemas.openxmlformats.org/officeDocument/2006/relationships/hyperlink" Target="https://xrspace.atlassian.net/issues/?jql=created+%3E%3D+2025-01-01+AND+created+%3C%3D+2025-12-31+AND+type+%3D+Bug+AND+project+%3D+SOVA+AND+Sprint+%3D+1466+AND+status+%3D+%22STARTING+%2810+%7E+40%25%29%22" TargetMode="External"/><Relationship Id="rId18" Type="http://schemas.openxmlformats.org/officeDocument/2006/relationships/hyperlink" Target="https://xrspace.atlassian.net/issues/?jql=created+%3E%3D+2025-01-01+AND+created+%3C%3D+2025-12-31+AND+type+%3D+Bug+AND+project+%3D+SOVA+AND+Sprint+%3D+1496+AND+status+%3D+%22IN+REVIEW+%2880%25%29%22" TargetMode="External"/><Relationship Id="rId39" Type="http://schemas.openxmlformats.org/officeDocument/2006/relationships/hyperlink" Target="https://xrspace.atlassian.net/issues/?jql=created+%3E%3D+2025-01-01+AND+created+%3C%3D+2025-12-31+AND+type+%3D+Bug+AND+project+%3D+SOVA+AND+Sprint+%3D+1499+AND+status+%3D+%22IN+REVIEW+%2880%25%29%22" TargetMode="External"/><Relationship Id="rId109" Type="http://schemas.openxmlformats.org/officeDocument/2006/relationships/hyperlink" Target="https://xrspace.atlassian.net/issues/?jql=created+%3E%3D+2025-01-01+AND+created+%3C%3D+2025-12-31+AND+type+%3D+Bug+AND+project+%3D+SOVA+AND+Sprint+%3D+3608+AND+status+%3D+%22IN+REVIEW+%2880%25%29%22" TargetMode="External"/><Relationship Id="rId34" Type="http://schemas.openxmlformats.org/officeDocument/2006/relationships/hyperlink" Target="https://xrspace.atlassian.net/issues/?jql=created+%3E%3D+2025-01-01+AND+created+%3C%3D+2025-12-31+AND+type+%3D+Bug+AND+project+%3D+SOVA+AND+Sprint+%3D+1498+AND+status+%3D+%22STARTING+%2810+%7E+40%25%29%22" TargetMode="External"/><Relationship Id="rId50" Type="http://schemas.openxmlformats.org/officeDocument/2006/relationships/hyperlink" Target="https://xrspace.atlassian.net/issues/?jql=created+%3E%3D+2025-01-01+AND+created+%3C%3D+2025-12-31+AND+type+%3D+Bug+AND+project+%3D+SOVA+AND+Sprint+%3D+2157+AND+status+%3D+%22To+Do+%280%25%29%22" TargetMode="External"/><Relationship Id="rId55" Type="http://schemas.openxmlformats.org/officeDocument/2006/relationships/hyperlink" Target="https://xrspace.atlassian.net/issues/?jql=created+%3E%3D+2025-01-01+AND+created+%3C%3D+2025-12-31+AND+type+%3D+Bug+AND+project+%3D+SOVA+AND+Sprint+%3D+2157+AND+status+%3D+%22STARTING+%2810+%7E+40%25%29%22" TargetMode="External"/><Relationship Id="rId76" Type="http://schemas.openxmlformats.org/officeDocument/2006/relationships/hyperlink" Target="https://xrspace.atlassian.net/issues/?jql=created+%3E%3D+2025-01-01+AND+created+%3C%3D+2025-12-31+AND+type+%3D+Bug+AND+project+%3D+SOVA+AND+Sprint+%3D+2882+AND+status+%3D+%22STARTING+%2810+%7E+40%25%29%22" TargetMode="External"/><Relationship Id="rId97" Type="http://schemas.openxmlformats.org/officeDocument/2006/relationships/hyperlink" Target="https://xrspace.atlassian.net/issues/?jql=created+%3E%3D+2025-01-01+AND+created+%3C%3D+2025-12-31+AND+type+%3D+Bug+AND+project+%3D+SOVA+AND+Sprint+%3D+3246+AND+status+%3D+%22STARTING+%2810+%7E+40%25%29%22" TargetMode="External"/><Relationship Id="rId104" Type="http://schemas.openxmlformats.org/officeDocument/2006/relationships/hyperlink" Target="https://xrspace.atlassian.net/issues/?jql=created+%3E%3D+2025-01-01+AND+created+%3C%3D+2025-12-31+AND+type+%3D+Bug+AND+project+%3D+SOVA+AND+Sprint+%3D+3575+AND+status+%3D+%22STARTING+%2810+%7E+40%25%29%22" TargetMode="External"/><Relationship Id="rId120" Type="http://schemas.openxmlformats.org/officeDocument/2006/relationships/hyperlink" Target="https://xrspace.atlassian.net/issues/?jql=created+%3E%3D+2025-01-01+AND+created+%3C%3D+2025-12-31+AND+type+%3D+Bug+AND+project+%3D+SOVA+AND+Sprint+%3D+3873+AND+status+%3D+%22To+Do+%280%25%29%22" TargetMode="External"/><Relationship Id="rId125" Type="http://schemas.openxmlformats.org/officeDocument/2006/relationships/hyperlink" Target="https://xrspace.atlassian.net/issues/?jql=created+%3E%3D+2025-01-01+AND+created+%3C%3D+2025-12-31+AND+type+%3D+Bug+AND+project+%3D+SOVA+AND+Sprint+%3D+3873+AND+status+%3D+%22STARTING+%2810+%7E+40%25%29%22" TargetMode="External"/><Relationship Id="rId141" Type="http://schemas.openxmlformats.org/officeDocument/2006/relationships/printerSettings" Target="../printerSettings/printerSettings3.bin"/><Relationship Id="rId7" Type="http://schemas.openxmlformats.org/officeDocument/2006/relationships/hyperlink" Target="https://xrspace.atlassian.net/issues/?jql=created+%3E%3D+2025-01-01+AND+created+%3C%3D+2025-12-31+AND+type+%3D+Bug+AND+project+%3D+SOVA+AND+Sprint+%3D+1463+AND+status+%3D+%22READY+FOR+TESTING+%2890%25%29%22" TargetMode="External"/><Relationship Id="rId71" Type="http://schemas.openxmlformats.org/officeDocument/2006/relationships/hyperlink" Target="https://xrspace.atlassian.net/issues/?jql=created+%3E%3D+2025-01-01+AND+created+%3C%3D+2025-12-31+AND+type+%3D+Bug+AND+project+%3D+SOVA+AND+Sprint+%3D+2882+AND+status+%3D+%22To+Do+%280%25%29%22" TargetMode="External"/><Relationship Id="rId92" Type="http://schemas.openxmlformats.org/officeDocument/2006/relationships/hyperlink" Target="https://xrspace.atlassian.net/issues/?jql=created+%3E%3D+2025-01-01+AND+created+%3C%3D+2025-12-31+AND+type+%3D+Bug+AND+project+%3D+SOVA+AND+Sprint+%3D+3246+AND+status+%3D+%22To+Do+%280%25%29%22" TargetMode="External"/><Relationship Id="rId2" Type="http://schemas.openxmlformats.org/officeDocument/2006/relationships/hyperlink" Target="https://xrspace.atlassian.net/issues/?jql=created+%3E%3D+2025-01-01+AND+created+%3C%3D+2025-12-31+AND+type+%3D+Bug+AND+project+%3D+SOVA+AND+Sprint+%3D+1463+AND+status+%3D+%22In+Progress+%2850+%7E+70%25%29%22" TargetMode="External"/><Relationship Id="rId29" Type="http://schemas.openxmlformats.org/officeDocument/2006/relationships/hyperlink" Target="https://xrspace.atlassian.net/issues/?jql=created+%3E%3D+2025-01-01+AND+created+%3C%3D+2025-12-31+AND+type+%3D+Bug+AND+project+%3D+SOVA+AND+Sprint+%3D+1498+AND+status+%3D+%22To+Do+%280%25%29%22" TargetMode="External"/><Relationship Id="rId24" Type="http://schemas.openxmlformats.org/officeDocument/2006/relationships/hyperlink" Target="https://xrspace.atlassian.net/issues/?jql=created+%3E%3D+2025-01-01+AND+created+%3C%3D+2025-12-31+AND+type+%3D+Bug+AND+project+%3D+SOVA+AND+Sprint+%3D+1497+AND+status+%3D+%22Done+%28100%25%29%22" TargetMode="External"/><Relationship Id="rId40" Type="http://schemas.openxmlformats.org/officeDocument/2006/relationships/hyperlink" Target="https://xrspace.atlassian.net/issues/?jql=created+%3E%3D+2025-01-01+AND+created+%3C%3D+2025-12-31+AND+type+%3D+Bug+AND+project+%3D+SOVA+AND+Sprint+%3D+1499+AND+status+%3D+%22WON%27T+DO+%28100%25%29%22" TargetMode="External"/><Relationship Id="rId45" Type="http://schemas.openxmlformats.org/officeDocument/2006/relationships/hyperlink" Target="https://xrspace.atlassian.net/issues/?jql=created+%3E%3D+2025-01-01+AND+created+%3C%3D+2025-12-31+AND+type+%3D+Bug+AND+project+%3D+SOVA+AND+Sprint+%3D+2156+AND+status+%3D+%22Done+%28100%25%29%22" TargetMode="External"/><Relationship Id="rId66" Type="http://schemas.openxmlformats.org/officeDocument/2006/relationships/hyperlink" Target="https://xrspace.atlassian.net/issues/?jql=created+%3E%3D+2025-01-01+AND+created+%3C%3D+2025-12-31+AND+type+%3D+Bug+AND+project+%3D+SOVA+AND+Sprint+%3D+2619+AND+status+%3D+%22Done+%28100%25%29%22" TargetMode="External"/><Relationship Id="rId87" Type="http://schemas.openxmlformats.org/officeDocument/2006/relationships/hyperlink" Target="https://xrspace.atlassian.net/issues/?jql=created+%3E%3D+2025-01-01+AND+created+%3C%3D+2025-12-31+AND+type+%3D+Bug+AND+project+%3D+SOVA+AND+Sprint+%3D+3245+AND+status+%3D+%22Done+%28100%25%29%22" TargetMode="External"/><Relationship Id="rId110" Type="http://schemas.openxmlformats.org/officeDocument/2006/relationships/hyperlink" Target="https://xrspace.atlassian.net/issues/?jql=created+%3E%3D+2025-01-01+AND+created+%3C%3D+2025-12-31+AND+type+%3D+Bug+AND+project+%3D+SOVA+AND+Sprint+%3D+3608+AND+status+%3D+%22WON%27T+DO+%28100%25%29%22" TargetMode="External"/><Relationship Id="rId115" Type="http://schemas.openxmlformats.org/officeDocument/2006/relationships/hyperlink" Target="https://xrspace.atlassian.net/issues/?jql=created+%3E%3D+2025-01-01+AND+created+%3C%3D+2025-12-31+AND+type+%3D+Bug+AND+project+%3D+SOVA+AND+Sprint+%3D+3872+AND+status+%3D+%22Done+%28100%25%29%22" TargetMode="External"/><Relationship Id="rId131" Type="http://schemas.openxmlformats.org/officeDocument/2006/relationships/hyperlink" Target="https://xrspace.atlassian.net/issues/?jql=created+%3E%3D+2025-01-01+AND+created+%3C%3D+2025-12-31+AND+type+%3D+Bug+AND+project+%3D+SOVA+AND+Sprint+%3D+4140+AND+status+%3D+%22WON%27T+DO+%28100%25%29%22" TargetMode="External"/><Relationship Id="rId136" Type="http://schemas.openxmlformats.org/officeDocument/2006/relationships/hyperlink" Target="https://xrspace.atlassian.net/issues/?jql=created+%3E%3D+2025-01-01+AND+created+%3C%3D+2025-12-31+AND+type+%3D+Bug+AND+project+%3D+SOVA+AND+Sprint+%3D+4206+AND+status+%3D+%22Done+%28100%25%29%22" TargetMode="External"/><Relationship Id="rId61" Type="http://schemas.openxmlformats.org/officeDocument/2006/relationships/hyperlink" Target="https://xrspace.atlassian.net/issues/?jql=created+%3E%3D+2025-01-01+AND+created+%3C%3D+2025-12-31+AND+type+%3D+Bug+AND+project+%3D+SOVA+AND+Sprint+%3D+2618+AND+status+%3D+%22WON%27T+DO+%28100%25%29%22" TargetMode="External"/><Relationship Id="rId82" Type="http://schemas.openxmlformats.org/officeDocument/2006/relationships/hyperlink" Target="https://xrspace.atlassian.net/issues/?jql=created+%3E%3D+2025-01-01+AND+created+%3C%3D+2025-12-31+AND+type+%3D+Bug+AND+project+%3D+SOVA+AND+Sprint+%3D+3213+AND+status+%3D+%22WON%27T+DO+%28100%25%29%22" TargetMode="External"/><Relationship Id="rId19" Type="http://schemas.openxmlformats.org/officeDocument/2006/relationships/hyperlink" Target="https://xrspace.atlassian.net/issues/?jql=created+%3E%3D+2025-01-01+AND+created+%3C%3D+2025-12-31+AND+type+%3D+Bug+AND+project+%3D+SOVA+AND+Sprint+%3D+1496+AND+status+%3D+%22WON%27T+DO+%28100%25%29%22" TargetMode="External"/><Relationship Id="rId14" Type="http://schemas.openxmlformats.org/officeDocument/2006/relationships/hyperlink" Target="https://xrspace.atlassian.net/issues/?jql=created+%3E%3D+2025-01-01+AND+created+%3C%3D+2025-12-31+AND+type+%3D+Bug+AND+project+%3D+SOVA+AND+Sprint+%3D+1466+AND+status+%3D+%22READY+FOR+TESTING+%2890%25%29%22" TargetMode="External"/><Relationship Id="rId30" Type="http://schemas.openxmlformats.org/officeDocument/2006/relationships/hyperlink" Target="https://xrspace.atlassian.net/issues/?jql=created+%3E%3D+2025-01-01+AND+created+%3C%3D+2025-12-31+AND+type+%3D+Bug+AND+project+%3D+SOVA+AND+Sprint+%3D+1498+AND+status+%3D+%22In+Progress+%2850+%7E+70%25%29%22" TargetMode="External"/><Relationship Id="rId35" Type="http://schemas.openxmlformats.org/officeDocument/2006/relationships/hyperlink" Target="https://xrspace.atlassian.net/issues/?jql=created+%3E%3D+2025-01-01+AND+created+%3C%3D+2025-12-31+AND+type+%3D+Bug+AND+project+%3D+SOVA+AND+Sprint+%3D+1498+AND+status+%3D+%22READY+FOR+TESTING+%2890%25%29%22" TargetMode="External"/><Relationship Id="rId56" Type="http://schemas.openxmlformats.org/officeDocument/2006/relationships/hyperlink" Target="https://xrspace.atlassian.net/issues/?jql=created+%3E%3D+2025-01-01+AND+created+%3C%3D+2025-12-31+AND+type+%3D+Bug+AND+project+%3D+SOVA+AND+Sprint+%3D+2157+AND+status+%3D+%22READY+FOR+TESTING+%2890%25%29%22" TargetMode="External"/><Relationship Id="rId77" Type="http://schemas.openxmlformats.org/officeDocument/2006/relationships/hyperlink" Target="https://xrspace.atlassian.net/issues/?jql=created+%3E%3D+2025-01-01+AND+created+%3C%3D+2025-12-31+AND+type+%3D+Bug+AND+project+%3D+SOVA+AND+Sprint+%3D+2882+AND+status+%3D+%22READY+FOR+TESTING+%2890%25%29%22" TargetMode="External"/><Relationship Id="rId100" Type="http://schemas.openxmlformats.org/officeDocument/2006/relationships/hyperlink" Target="https://xrspace.atlassian.net/issues/?jql=created+%3E%3D+2025-01-01+AND+created+%3C%3D+2025-12-31+AND+type+%3D+Bug+AND+project+%3D+SOVA+AND+Sprint+%3D+3575+AND+status+%3D+%22In+Progress+%2850+%7E+70%25%29%22" TargetMode="External"/><Relationship Id="rId105" Type="http://schemas.openxmlformats.org/officeDocument/2006/relationships/hyperlink" Target="https://xrspace.atlassian.net/issues/?jql=created+%3E%3D+2025-01-01+AND+created+%3C%3D+2025-12-31+AND+type+%3D+Bug+AND+project+%3D+SOVA+AND+Sprint+%3D+3575+AND+status+%3D+%22READY+FOR+TESTING+%2890%25%29%22" TargetMode="External"/><Relationship Id="rId126" Type="http://schemas.openxmlformats.org/officeDocument/2006/relationships/hyperlink" Target="https://xrspace.atlassian.net/issues/?jql=created+%3E%3D+2025-01-01+AND+created+%3C%3D+2025-12-31+AND+type+%3D+Bug+AND+project+%3D+SOVA+AND+Sprint+%3D+3873+AND+status+%3D+%22READY+FOR+TESTING+%2890%25%29%22" TargetMode="External"/><Relationship Id="rId8" Type="http://schemas.openxmlformats.org/officeDocument/2006/relationships/hyperlink" Target="https://xrspace.atlassian.net/issues/?jql=created+%3E%3D+2025-01-01+AND+created+%3C%3D+2025-12-31+AND+type+%3D+Bug+AND+project+%3D+SOVA+AND+Sprint+%3D+1466+AND+status+%3D+%22To+Do+%280%25%29%22" TargetMode="External"/><Relationship Id="rId51" Type="http://schemas.openxmlformats.org/officeDocument/2006/relationships/hyperlink" Target="https://xrspace.atlassian.net/issues/?jql=created+%3E%3D+2025-01-01+AND+created+%3C%3D+2025-12-31+AND+type+%3D+Bug+AND+project+%3D+SOVA+AND+Sprint+%3D+2157+AND+status+%3D+%22In+Progress+%2850+%7E+70%25%29%22" TargetMode="External"/><Relationship Id="rId72" Type="http://schemas.openxmlformats.org/officeDocument/2006/relationships/hyperlink" Target="https://xrspace.atlassian.net/issues/?jql=created+%3E%3D+2025-01-01+AND+created+%3C%3D+2025-12-31+AND+type+%3D+Bug+AND+project+%3D+SOVA+AND+Sprint+%3D+2882+AND+status+%3D+%22In+Progress+%2850+%7E+70%25%29%22" TargetMode="External"/><Relationship Id="rId93" Type="http://schemas.openxmlformats.org/officeDocument/2006/relationships/hyperlink" Target="https://xrspace.atlassian.net/issues/?jql=created+%3E%3D+2025-01-01+AND+created+%3C%3D+2025-12-31+AND+type+%3D+Bug+AND+project+%3D+SOVA+AND+Sprint+%3D+3246+AND+status+%3D+%22In+Progress+%2850+%7E+70%25%29%22" TargetMode="External"/><Relationship Id="rId98" Type="http://schemas.openxmlformats.org/officeDocument/2006/relationships/hyperlink" Target="https://xrspace.atlassian.net/issues/?jql=created+%3E%3D+2025-01-01+AND+created+%3C%3D+2025-12-31+AND+type+%3D+Bug+AND+project+%3D+SOVA+AND+Sprint+%3D+3246+AND+status+%3D+%22READY+FOR+TESTING+%2890%25%29%22" TargetMode="External"/><Relationship Id="rId121" Type="http://schemas.openxmlformats.org/officeDocument/2006/relationships/hyperlink" Target="https://xrspace.atlassian.net/issues/?jql=created+%3E%3D+2025-01-01+AND+created+%3C%3D+2025-12-31+AND+type+%3D+Bug+AND+project+%3D+SOVA+AND+Sprint+%3D+3873+AND+status+%3D+%22In+Progress+%2850+%7E+70%25%29%22" TargetMode="External"/><Relationship Id="rId142" Type="http://schemas.openxmlformats.org/officeDocument/2006/relationships/drawing" Target="../drawings/drawing5.xml"/><Relationship Id="rId3" Type="http://schemas.openxmlformats.org/officeDocument/2006/relationships/hyperlink" Target="https://xrspace.atlassian.net/issues/?jql=created+%3E%3D+2025-01-01+AND+created+%3C%3D+2025-12-31+AND+type+%3D+Bug+AND+project+%3D+SOVA+AND+Sprint+%3D+1463+AND+status+%3D+%22Done+%28100%25%29%22" TargetMode="External"/><Relationship Id="rId25" Type="http://schemas.openxmlformats.org/officeDocument/2006/relationships/hyperlink" Target="https://xrspace.atlassian.net/issues/?jql=created+%3E%3D+2025-01-01+AND+created+%3C%3D+2025-12-31+AND+type+%3D+Bug+AND+project+%3D+SOVA+AND+Sprint+%3D+1497+AND+status+%3D+%22IN+REVIEW+%2880%25%29%22" TargetMode="External"/><Relationship Id="rId46" Type="http://schemas.openxmlformats.org/officeDocument/2006/relationships/hyperlink" Target="https://xrspace.atlassian.net/issues/?jql=created+%3E%3D+2025-01-01+AND+created+%3C%3D+2025-12-31+AND+type+%3D+Bug+AND+project+%3D+SOVA+AND+Sprint+%3D+2156+AND+status+%3D+%22IN+REVIEW+%2880%25%29%22" TargetMode="External"/><Relationship Id="rId67" Type="http://schemas.openxmlformats.org/officeDocument/2006/relationships/hyperlink" Target="https://xrspace.atlassian.net/issues/?jql=created+%3E%3D+2025-01-01+AND+created+%3C%3D+2025-12-31+AND+type+%3D+Bug+AND+project+%3D+SOVA+AND+Sprint+%3D+2619+AND+status+%3D+%22IN+REVIEW+%2880%25%29%22" TargetMode="External"/><Relationship Id="rId116" Type="http://schemas.openxmlformats.org/officeDocument/2006/relationships/hyperlink" Target="https://xrspace.atlassian.net/issues/?jql=created+%3E%3D+2025-01-01+AND+created+%3C%3D+2025-12-31+AND+type+%3D+Bug+AND+project+%3D+SOVA+AND+Sprint+%3D+3872+AND+status+%3D+%22IN+REVIEW+%2880%25%29%22" TargetMode="External"/><Relationship Id="rId137" Type="http://schemas.openxmlformats.org/officeDocument/2006/relationships/hyperlink" Target="https://xrspace.atlassian.net/issues/?jql=created+%3E%3D+2025-01-01+AND+created+%3C%3D+2025-12-31+AND+type+%3D+Bug+AND+project+%3D+SOVA+AND+Sprint+%3D+4206+AND+status+%3D+%22IN+REVIEW+%2880%25%29%22" TargetMode="External"/><Relationship Id="rId20" Type="http://schemas.openxmlformats.org/officeDocument/2006/relationships/hyperlink" Target="https://xrspace.atlassian.net/issues/?jql=created+%3E%3D+2025-01-01+AND+created+%3C%3D+2025-12-31+AND+type+%3D+Bug+AND+project+%3D+SOVA+AND+Sprint+%3D+1496+AND+status+%3D+%22STARTING+%2810+%7E+40%25%29%22" TargetMode="External"/><Relationship Id="rId41" Type="http://schemas.openxmlformats.org/officeDocument/2006/relationships/hyperlink" Target="https://xrspace.atlassian.net/issues/?jql=created+%3E%3D+2025-01-01+AND+created+%3C%3D+2025-12-31+AND+type+%3D+Bug+AND+project+%3D+SOVA+AND+Sprint+%3D+1499+AND+status+%3D+%22STARTING+%2810+%7E+40%25%29%22" TargetMode="External"/><Relationship Id="rId62" Type="http://schemas.openxmlformats.org/officeDocument/2006/relationships/hyperlink" Target="https://xrspace.atlassian.net/issues/?jql=created+%3E%3D+2025-01-01+AND+created+%3C%3D+2025-12-31+AND+type+%3D+Bug+AND+project+%3D+SOVA+AND+Sprint+%3D+2618+AND+status+%3D+%22STARTING+%2810+%7E+40%25%29%22" TargetMode="External"/><Relationship Id="rId83" Type="http://schemas.openxmlformats.org/officeDocument/2006/relationships/hyperlink" Target="https://xrspace.atlassian.net/issues/?jql=created+%3E%3D+2025-01-01+AND+created+%3C%3D+2025-12-31+AND+type+%3D+Bug+AND+project+%3D+SOVA+AND+Sprint+%3D+3213+AND+status+%3D+%22STARTING+%2810+%7E+40%25%29%22" TargetMode="External"/><Relationship Id="rId88" Type="http://schemas.openxmlformats.org/officeDocument/2006/relationships/hyperlink" Target="https://xrspace.atlassian.net/issues/?jql=created+%3E%3D+2025-01-01+AND+created+%3C%3D+2025-12-31+AND+type+%3D+Bug+AND+project+%3D+SOVA+AND+Sprint+%3D+3245+AND+status+%3D+%22IN+REVIEW+%2880%25%29%22" TargetMode="External"/><Relationship Id="rId111" Type="http://schemas.openxmlformats.org/officeDocument/2006/relationships/hyperlink" Target="https://xrspace.atlassian.net/issues/?jql=created+%3E%3D+2025-01-01+AND+created+%3C%3D+2025-12-31+AND+type+%3D+Bug+AND+project+%3D+SOVA+AND+Sprint+%3D+3608+AND+status+%3D+%22STARTING+%2810+%7E+40%25%29%22" TargetMode="External"/><Relationship Id="rId132" Type="http://schemas.openxmlformats.org/officeDocument/2006/relationships/hyperlink" Target="https://xrspace.atlassian.net/issues/?jql=created+%3E%3D+2025-01-01+AND+created+%3C%3D+2025-12-31+AND+type+%3D+Bug+AND+project+%3D+SOVA+AND+Sprint+%3D+4140+AND+status+%3D+%22STARTING+%2810+%7E+40%25%29%22" TargetMode="External"/><Relationship Id="rId15" Type="http://schemas.openxmlformats.org/officeDocument/2006/relationships/hyperlink" Target="https://xrspace.atlassian.net/issues/?jql=created+%3E%3D+2025-01-01+AND+created+%3C%3D+2025-12-31+AND+type+%3D+Bug+AND+project+%3D+SOVA+AND+Sprint+%3D+1496+AND+status+%3D+%22To+Do+%280%25%29%22" TargetMode="External"/><Relationship Id="rId36" Type="http://schemas.openxmlformats.org/officeDocument/2006/relationships/hyperlink" Target="https://xrspace.atlassian.net/issues/?jql=created+%3E%3D+2025-01-01+AND+created+%3C%3D+2025-12-31+AND+type+%3D+Bug+AND+project+%3D+SOVA+AND+Sprint+%3D+1499+AND+status+%3D+%22To+Do+%280%25%29%22" TargetMode="External"/><Relationship Id="rId57" Type="http://schemas.openxmlformats.org/officeDocument/2006/relationships/hyperlink" Target="https://xrspace.atlassian.net/issues/?jql=created+%3E%3D+2025-01-01+AND+created+%3C%3D+2025-12-31+AND+type+%3D+Bug+AND+project+%3D+SOVA+AND+Sprint+%3D+2618+AND+status+%3D+%22To+Do+%280%25%29%22" TargetMode="External"/><Relationship Id="rId106" Type="http://schemas.openxmlformats.org/officeDocument/2006/relationships/hyperlink" Target="https://xrspace.atlassian.net/issues/?jql=created+%3E%3D+2025-01-01+AND+created+%3C%3D+2025-12-31+AND+type+%3D+Bug+AND+project+%3D+SOVA+AND+Sprint+%3D+3608+AND+status+%3D+%22To+Do+%280%25%29%22" TargetMode="External"/><Relationship Id="rId127" Type="http://schemas.openxmlformats.org/officeDocument/2006/relationships/hyperlink" Target="https://xrspace.atlassian.net/issues/?jql=created+%3E%3D+2025-01-01+AND+created+%3C%3D+2025-12-31+AND+type+%3D+Bug+AND+project+%3D+SOVA+AND+Sprint+%3D+4140+AND+status+%3D+%22To+Do+%280%25%29%22" TargetMode="External"/><Relationship Id="rId10" Type="http://schemas.openxmlformats.org/officeDocument/2006/relationships/hyperlink" Target="https://xrspace.atlassian.net/issues/?jql=created+%3E%3D+2025-01-01+AND+created+%3C%3D+2025-12-31+AND+type+%3D+Bug+AND+project+%3D+SOVA+AND+Sprint+%3D+1466+AND+status+%3D+%22Done+%28100%25%29%22" TargetMode="External"/><Relationship Id="rId31" Type="http://schemas.openxmlformats.org/officeDocument/2006/relationships/hyperlink" Target="https://xrspace.atlassian.net/issues/?jql=created+%3E%3D+2025-01-01+AND+created+%3C%3D+2025-12-31+AND+type+%3D+Bug+AND+project+%3D+SOVA+AND+Sprint+%3D+1498+AND+status+%3D+%22Done+%28100%25%29%22" TargetMode="External"/><Relationship Id="rId52" Type="http://schemas.openxmlformats.org/officeDocument/2006/relationships/hyperlink" Target="https://xrspace.atlassian.net/issues/?jql=created+%3E%3D+2025-01-01+AND+created+%3C%3D+2025-12-31+AND+type+%3D+Bug+AND+project+%3D+SOVA+AND+Sprint+%3D+2157+AND+status+%3D+%22Done+%28100%25%29%22" TargetMode="External"/><Relationship Id="rId73" Type="http://schemas.openxmlformats.org/officeDocument/2006/relationships/hyperlink" Target="https://xrspace.atlassian.net/issues/?jql=created+%3E%3D+2025-01-01+AND+created+%3C%3D+2025-12-31+AND+type+%3D+Bug+AND+project+%3D+SOVA+AND+Sprint+%3D+2882+AND+status+%3D+%22Done+%28100%25%29%22" TargetMode="External"/><Relationship Id="rId78" Type="http://schemas.openxmlformats.org/officeDocument/2006/relationships/hyperlink" Target="https://xrspace.atlassian.net/issues/?jql=created+%3E%3D+2025-01-01+AND+created+%3C%3D+2025-12-31+AND+type+%3D+Bug+AND+project+%3D+SOVA+AND+Sprint+%3D+3213+AND+status+%3D+%22To+Do+%280%25%29%22" TargetMode="External"/><Relationship Id="rId94" Type="http://schemas.openxmlformats.org/officeDocument/2006/relationships/hyperlink" Target="https://xrspace.atlassian.net/issues/?jql=created+%3E%3D+2025-01-01+AND+created+%3C%3D+2025-12-31+AND+type+%3D+Bug+AND+project+%3D+SOVA+AND+Sprint+%3D+3246+AND+status+%3D+%22Done+%28100%25%29%22" TargetMode="External"/><Relationship Id="rId99" Type="http://schemas.openxmlformats.org/officeDocument/2006/relationships/hyperlink" Target="https://xrspace.atlassian.net/issues/?jql=created+%3E%3D+2025-01-01+AND+created+%3C%3D+2025-12-31+AND+type+%3D+Bug+AND+project+%3D+SOVA+AND+Sprint+%3D+3575+AND+status+%3D+%22To+Do+%280%25%29%22" TargetMode="External"/><Relationship Id="rId101" Type="http://schemas.openxmlformats.org/officeDocument/2006/relationships/hyperlink" Target="https://xrspace.atlassian.net/issues/?jql=created+%3E%3D+2025-01-01+AND+created+%3C%3D+2025-12-31+AND+type+%3D+Bug+AND+project+%3D+SOVA+AND+Sprint+%3D+3575+AND+status+%3D+%22Done+%28100%25%29%22" TargetMode="External"/><Relationship Id="rId122" Type="http://schemas.openxmlformats.org/officeDocument/2006/relationships/hyperlink" Target="https://xrspace.atlassian.net/issues/?jql=created+%3E%3D+2025-01-01+AND+created+%3C%3D+2025-12-31+AND+type+%3D+Bug+AND+project+%3D+SOVA+AND+Sprint+%3D+3873+AND+status+%3D+%22Done+%28100%25%29%22" TargetMode="External"/><Relationship Id="rId143" Type="http://schemas.openxmlformats.org/officeDocument/2006/relationships/table" Target="../tables/table5.xml"/><Relationship Id="rId4" Type="http://schemas.openxmlformats.org/officeDocument/2006/relationships/hyperlink" Target="https://xrspace.atlassian.net/issues/?jql=created+%3E%3D+2025-01-01+AND+created+%3C%3D+2025-12-31+AND+type+%3D+Bug+AND+project+%3D+SOVA+AND+Sprint+%3D+1463+AND+status+%3D+%22IN+REVIEW+%2880%25%29%22" TargetMode="External"/><Relationship Id="rId9" Type="http://schemas.openxmlformats.org/officeDocument/2006/relationships/hyperlink" Target="https://xrspace.atlassian.net/issues/?jql=created+%3E%3D+2025-01-01+AND+created+%3C%3D+2025-12-31+AND+type+%3D+Bug+AND+project+%3D+SOVA+AND+Sprint+%3D+1466+AND+status+%3D+%22In+Progress+%2850+%7E+70%25%29%22" TargetMode="External"/><Relationship Id="rId26" Type="http://schemas.openxmlformats.org/officeDocument/2006/relationships/hyperlink" Target="https://xrspace.atlassian.net/issues/?jql=created+%3E%3D+2025-01-01+AND+created+%3C%3D+2025-12-31+AND+type+%3D+Bug+AND+project+%3D+SOVA+AND+Sprint+%3D+1497+AND+status+%3D+%22WON%27T+DO+%28100%25%29%22" TargetMode="External"/><Relationship Id="rId47" Type="http://schemas.openxmlformats.org/officeDocument/2006/relationships/hyperlink" Target="https://xrspace.atlassian.net/issues/?jql=created+%3E%3D+2025-01-01+AND+created+%3C%3D+2025-12-31+AND+type+%3D+Bug+AND+project+%3D+SOVA+AND+Sprint+%3D+2156+AND+status+%3D+%22WON%27T+DO+%28100%25%29%22" TargetMode="External"/><Relationship Id="rId68" Type="http://schemas.openxmlformats.org/officeDocument/2006/relationships/hyperlink" Target="https://xrspace.atlassian.net/issues/?jql=created+%3E%3D+2025-01-01+AND+created+%3C%3D+2025-12-31+AND+type+%3D+Bug+AND+project+%3D+SOVA+AND+Sprint+%3D+2619+AND+status+%3D+%22WON%27T+DO+%28100%25%29%22" TargetMode="External"/><Relationship Id="rId89" Type="http://schemas.openxmlformats.org/officeDocument/2006/relationships/hyperlink" Target="https://xrspace.atlassian.net/issues/?jql=created+%3E%3D+2025-01-01+AND+created+%3C%3D+2025-12-31+AND+type+%3D+Bug+AND+project+%3D+SOVA+AND+Sprint+%3D+3245+AND+status+%3D+%22WON%27T+DO+%28100%25%29%22" TargetMode="External"/><Relationship Id="rId112" Type="http://schemas.openxmlformats.org/officeDocument/2006/relationships/hyperlink" Target="https://xrspace.atlassian.net/issues/?jql=created+%3E%3D+2025-01-01+AND+created+%3C%3D+2025-12-31+AND+type+%3D+Bug+AND+project+%3D+SOVA+AND+Sprint+%3D+3608+AND+status+%3D+%22READY+FOR+TESTING+%2890%25%29%22" TargetMode="External"/><Relationship Id="rId133" Type="http://schemas.openxmlformats.org/officeDocument/2006/relationships/hyperlink" Target="https://xrspace.atlassian.net/issues/?jql=created+%3E%3D+2025-01-01+AND+created+%3C%3D+2025-12-31+AND+type+%3D+Bug+AND+project+%3D+SOVA+AND+Sprint+%3D+4140+AND+status+%3D+%22READY+FOR+TESTING+%2890%25%29%22" TargetMode="External"/><Relationship Id="rId16" Type="http://schemas.openxmlformats.org/officeDocument/2006/relationships/hyperlink" Target="https://xrspace.atlassian.net/issues/?jql=created+%3E%3D+2025-01-01+AND+created+%3C%3D+2025-12-31+AND+type+%3D+Bug+AND+project+%3D+SOVA+AND+Sprint+%3D+1496+AND+status+%3D+%22In+Progress+%2850+%7E+70%25%29%2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A42-966D-5F4E-B061-B304543CE88E}">
  <dimension ref="A1:E22"/>
  <sheetViews>
    <sheetView zoomScaleNormal="100" workbookViewId="0">
      <selection activeCell="A18" sqref="A18:A21"/>
    </sheetView>
  </sheetViews>
  <sheetFormatPr defaultColWidth="11.5546875" defaultRowHeight="15"/>
  <cols>
    <col min="1" max="1" width="8.77734375" customWidth="1"/>
    <col min="2" max="2" width="12.6640625" customWidth="1"/>
    <col min="3" max="3" width="18.88671875" customWidth="1"/>
    <col min="4" max="5" width="15.77734375" customWidth="1"/>
  </cols>
  <sheetData>
    <row r="1" spans="1:5" ht="20.100000000000001" customHeight="1">
      <c r="A1" s="1" t="s">
        <v>48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0.100000000000001" customHeight="1">
      <c r="A2" t="s">
        <v>82</v>
      </c>
      <c r="B2">
        <v>2</v>
      </c>
      <c r="C2">
        <v>1</v>
      </c>
      <c r="D2">
        <v>115</v>
      </c>
      <c r="E2">
        <f>SUM(Table2[[#This Row],[Done]:[TODO (P1)]])</f>
        <v>118</v>
      </c>
    </row>
    <row r="3" spans="1:5" ht="20.100000000000001" customHeight="1">
      <c r="A3" t="s">
        <v>83</v>
      </c>
      <c r="B3">
        <v>3</v>
      </c>
      <c r="C3">
        <v>1</v>
      </c>
      <c r="D3">
        <v>114</v>
      </c>
      <c r="E3">
        <f>SUM(Table2[[#This Row],[Done]:[TODO (P1)]])</f>
        <v>118</v>
      </c>
    </row>
    <row r="4" spans="1:5" ht="20.100000000000001" customHeight="1">
      <c r="A4" t="s">
        <v>84</v>
      </c>
      <c r="B4">
        <v>3</v>
      </c>
      <c r="C4">
        <v>6</v>
      </c>
      <c r="D4">
        <v>109</v>
      </c>
      <c r="E4">
        <f>SUM(Table2[[#This Row],[Done]:[TODO (P1)]])</f>
        <v>118</v>
      </c>
    </row>
    <row r="5" spans="1:5" ht="20.100000000000001" customHeight="1">
      <c r="A5" t="s">
        <v>85</v>
      </c>
      <c r="B5">
        <v>4</v>
      </c>
      <c r="C5">
        <v>6</v>
      </c>
      <c r="D5">
        <v>108</v>
      </c>
      <c r="E5">
        <f>SUM(Table2[[#This Row],[Done]:[TODO (P1)]])</f>
        <v>118</v>
      </c>
    </row>
    <row r="6" spans="1:5" ht="20.100000000000001" customHeight="1">
      <c r="A6" t="s">
        <v>86</v>
      </c>
      <c r="B6">
        <v>8</v>
      </c>
      <c r="C6">
        <v>6</v>
      </c>
      <c r="D6">
        <v>104</v>
      </c>
      <c r="E6">
        <f>SUM(Table2[[#This Row],[Done]:[TODO (P1)]])</f>
        <v>118</v>
      </c>
    </row>
    <row r="7" spans="1:5" ht="20.100000000000001" customHeight="1">
      <c r="A7" t="s">
        <v>87</v>
      </c>
      <c r="B7">
        <v>10</v>
      </c>
      <c r="C7">
        <v>10</v>
      </c>
      <c r="D7">
        <v>228</v>
      </c>
      <c r="E7">
        <f>SUM(Table2[[#This Row],[Done]:[TODO (P1)]])</f>
        <v>248</v>
      </c>
    </row>
    <row r="8" spans="1:5" ht="20.100000000000001" customHeight="1">
      <c r="A8" t="s">
        <v>88</v>
      </c>
      <c r="B8">
        <v>12</v>
      </c>
      <c r="C8">
        <v>12</v>
      </c>
      <c r="D8">
        <v>224</v>
      </c>
      <c r="E8">
        <f>SUM(Table2[[#This Row],[Done]:[TODO (P1)]])</f>
        <v>248</v>
      </c>
    </row>
    <row r="9" spans="1:5" ht="20.100000000000001" customHeight="1">
      <c r="A9" t="s">
        <v>89</v>
      </c>
      <c r="B9">
        <v>15</v>
      </c>
      <c r="C9">
        <v>13</v>
      </c>
      <c r="D9">
        <v>220</v>
      </c>
      <c r="E9">
        <f>SUM(Table2[[#This Row],[Done]:[TODO (P1)]])</f>
        <v>248</v>
      </c>
    </row>
    <row r="10" spans="1:5" ht="20.100000000000001" customHeight="1">
      <c r="A10" t="s">
        <v>90</v>
      </c>
      <c r="B10">
        <v>15</v>
      </c>
      <c r="C10">
        <v>14</v>
      </c>
      <c r="D10">
        <v>219</v>
      </c>
      <c r="E10">
        <f>SUM(Table2[[#This Row],[Done]:[TODO (P1)]])</f>
        <v>248</v>
      </c>
    </row>
    <row r="11" spans="1:5" ht="20.100000000000001" customHeight="1">
      <c r="A11" t="s">
        <v>69</v>
      </c>
      <c r="B11">
        <v>12</v>
      </c>
      <c r="C11">
        <v>11</v>
      </c>
      <c r="D11">
        <v>173</v>
      </c>
      <c r="E11">
        <f>SUM(Table2[[#This Row],[Done]:[TODO (P1)]])</f>
        <v>196</v>
      </c>
    </row>
    <row r="12" spans="1:5" ht="20.100000000000001" customHeight="1">
      <c r="A12" t="s">
        <v>70</v>
      </c>
      <c r="B12">
        <v>13</v>
      </c>
      <c r="C12">
        <v>11</v>
      </c>
      <c r="D12">
        <v>172</v>
      </c>
      <c r="E12" s="13">
        <f>SUM(Table2[[#This Row],[Done]:[TODO (P1)]])</f>
        <v>196</v>
      </c>
    </row>
    <row r="13" spans="1:5" ht="20.100000000000001" customHeight="1">
      <c r="A13" t="s">
        <v>71</v>
      </c>
      <c r="B13">
        <v>15</v>
      </c>
      <c r="C13">
        <v>12</v>
      </c>
      <c r="D13">
        <v>168</v>
      </c>
      <c r="E13" s="13">
        <f>SUM(Table2[[#This Row],[Done]:[TODO (P1)]])</f>
        <v>195</v>
      </c>
    </row>
    <row r="14" spans="1:5" ht="20.100000000000001" customHeight="1">
      <c r="A14" t="s">
        <v>72</v>
      </c>
      <c r="B14">
        <v>18</v>
      </c>
      <c r="C14">
        <v>11</v>
      </c>
      <c r="D14">
        <v>166</v>
      </c>
      <c r="E14" s="13">
        <f>SUM(Table2[[#This Row],[Done]:[TODO (P1)]])</f>
        <v>195</v>
      </c>
    </row>
    <row r="15" spans="1:5" ht="20.100000000000001" customHeight="1">
      <c r="A15" t="s">
        <v>73</v>
      </c>
      <c r="B15">
        <v>21</v>
      </c>
      <c r="C15">
        <v>14</v>
      </c>
      <c r="D15">
        <v>160</v>
      </c>
      <c r="E15" s="13">
        <f>SUM(Table2[[#This Row],[Done]:[TODO (P1)]])</f>
        <v>195</v>
      </c>
    </row>
    <row r="16" spans="1:5" ht="20.100000000000001" customHeight="1">
      <c r="A16" t="s">
        <v>74</v>
      </c>
      <c r="B16">
        <v>22</v>
      </c>
      <c r="C16">
        <v>14</v>
      </c>
      <c r="D16">
        <v>160</v>
      </c>
      <c r="E16" s="13">
        <f>SUM(Table2[[#This Row],[Done]:[TODO (P1)]])</f>
        <v>196</v>
      </c>
    </row>
    <row r="17" spans="1:5" ht="20.100000000000001" customHeight="1">
      <c r="A17" t="s">
        <v>75</v>
      </c>
      <c r="B17">
        <v>25</v>
      </c>
      <c r="C17">
        <v>10</v>
      </c>
      <c r="D17">
        <v>161</v>
      </c>
      <c r="E17" s="13">
        <f>SUM(Table2[[#This Row],[Done]:[TODO (P1)]])</f>
        <v>196</v>
      </c>
    </row>
    <row r="18" spans="1:5" ht="20.100000000000001" customHeight="1">
      <c r="A18" t="s">
        <v>77</v>
      </c>
      <c r="B18">
        <v>28</v>
      </c>
      <c r="C18">
        <v>8</v>
      </c>
      <c r="D18">
        <v>160</v>
      </c>
      <c r="E18" s="13">
        <f>SUM(Table2[[#This Row],[Done]:[TODO (P1)]])</f>
        <v>196</v>
      </c>
    </row>
    <row r="19" spans="1:5" ht="20.100000000000001" customHeight="1">
      <c r="A19" t="s">
        <v>78</v>
      </c>
      <c r="B19">
        <v>30</v>
      </c>
      <c r="C19">
        <v>6</v>
      </c>
      <c r="D19">
        <v>160</v>
      </c>
      <c r="E19" s="13">
        <f>SUM(Table2[[#This Row],[Done]:[TODO (P1)]])</f>
        <v>196</v>
      </c>
    </row>
    <row r="20" spans="1:5" ht="20.100000000000001" customHeight="1">
      <c r="A20" t="s">
        <v>79</v>
      </c>
      <c r="B20">
        <v>32</v>
      </c>
      <c r="C20">
        <v>5</v>
      </c>
      <c r="D20">
        <v>160</v>
      </c>
      <c r="E20" s="13">
        <f>SUM(Table2[[#This Row],[Done]:[TODO (P1)]])</f>
        <v>197</v>
      </c>
    </row>
    <row r="21" spans="1:5" ht="20.100000000000001" customHeight="1">
      <c r="A21" t="s">
        <v>80</v>
      </c>
      <c r="B21">
        <v>32</v>
      </c>
      <c r="C21">
        <v>5</v>
      </c>
      <c r="D21">
        <v>160</v>
      </c>
      <c r="E21" s="13">
        <f>SUM(Table2[[#This Row],[Done]:[TODO (P1)]])</f>
        <v>197</v>
      </c>
    </row>
    <row r="22" spans="1:5">
      <c r="A22" t="s">
        <v>81</v>
      </c>
      <c r="B22">
        <v>32</v>
      </c>
      <c r="C22">
        <v>5</v>
      </c>
      <c r="D22">
        <v>160</v>
      </c>
      <c r="E22" s="13">
        <f>SUM(Table2[[#This Row],[Done]:[TODO (P1)]])</f>
        <v>197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9633B-8BD2-084C-8C0F-75969053522F}">
  <dimension ref="A1:H16"/>
  <sheetViews>
    <sheetView zoomScaleNormal="100" workbookViewId="0">
      <selection activeCell="J14" sqref="J14"/>
    </sheetView>
  </sheetViews>
  <sheetFormatPr defaultColWidth="11.5546875" defaultRowHeight="15"/>
  <cols>
    <col min="1" max="1" width="15.77734375" customWidth="1"/>
    <col min="2" max="2" width="11.77734375" customWidth="1"/>
    <col min="3" max="8" width="15.77734375" customWidth="1"/>
  </cols>
  <sheetData>
    <row r="1" spans="1:8" ht="20.100000000000001" customHeight="1">
      <c r="A1" s="2" t="s">
        <v>38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1.95" customHeight="1">
      <c r="A2" t="s">
        <v>4</v>
      </c>
      <c r="B2">
        <v>421</v>
      </c>
      <c r="C2">
        <v>0</v>
      </c>
      <c r="D2">
        <v>12</v>
      </c>
      <c r="E2">
        <v>8</v>
      </c>
      <c r="F2">
        <v>1</v>
      </c>
      <c r="G2">
        <v>0</v>
      </c>
      <c r="H2">
        <f>SUM(B2:G2)</f>
        <v>442</v>
      </c>
    </row>
    <row r="3" spans="1:8" ht="21.95" customHeight="1">
      <c r="A3" t="s">
        <v>5</v>
      </c>
      <c r="B3">
        <v>402</v>
      </c>
      <c r="C3">
        <v>0</v>
      </c>
      <c r="D3">
        <v>10</v>
      </c>
      <c r="E3">
        <v>2</v>
      </c>
      <c r="F3">
        <v>0</v>
      </c>
      <c r="G3">
        <v>0</v>
      </c>
      <c r="H3">
        <f t="shared" ref="H3:H8" si="0">SUM(B3:G3)</f>
        <v>414</v>
      </c>
    </row>
    <row r="4" spans="1:8" ht="21.95" customHeight="1">
      <c r="A4" t="s">
        <v>6</v>
      </c>
      <c r="B4">
        <v>1195</v>
      </c>
      <c r="C4">
        <v>0</v>
      </c>
      <c r="D4">
        <v>16</v>
      </c>
      <c r="E4">
        <v>0</v>
      </c>
      <c r="F4">
        <v>0</v>
      </c>
      <c r="G4">
        <v>0</v>
      </c>
      <c r="H4">
        <f t="shared" si="0"/>
        <v>1211</v>
      </c>
    </row>
    <row r="5" spans="1:8" ht="21.95" customHeight="1">
      <c r="A5" t="s">
        <v>7</v>
      </c>
      <c r="B5">
        <v>2583</v>
      </c>
      <c r="C5">
        <v>0</v>
      </c>
      <c r="D5">
        <v>13</v>
      </c>
      <c r="E5">
        <v>0</v>
      </c>
      <c r="F5">
        <v>0</v>
      </c>
      <c r="G5">
        <v>0</v>
      </c>
      <c r="H5">
        <f t="shared" si="0"/>
        <v>2596</v>
      </c>
    </row>
    <row r="6" spans="1:8" ht="21.95" customHeight="1">
      <c r="A6" t="s">
        <v>8</v>
      </c>
      <c r="B6">
        <v>2263</v>
      </c>
      <c r="C6">
        <v>0</v>
      </c>
      <c r="D6">
        <v>3</v>
      </c>
      <c r="E6">
        <v>0</v>
      </c>
      <c r="F6">
        <v>0</v>
      </c>
      <c r="G6">
        <v>0</v>
      </c>
      <c r="H6">
        <f t="shared" si="0"/>
        <v>2266</v>
      </c>
    </row>
    <row r="7" spans="1:8" ht="21.95" customHeight="1">
      <c r="A7" t="s">
        <v>9</v>
      </c>
      <c r="B7">
        <v>2719</v>
      </c>
      <c r="C7">
        <v>0</v>
      </c>
      <c r="D7">
        <v>4</v>
      </c>
      <c r="E7">
        <v>0</v>
      </c>
      <c r="F7">
        <v>0</v>
      </c>
      <c r="G7">
        <v>0</v>
      </c>
      <c r="H7">
        <f t="shared" si="0"/>
        <v>2723</v>
      </c>
    </row>
    <row r="8" spans="1:8" ht="21.95" customHeight="1">
      <c r="A8" t="s">
        <v>10</v>
      </c>
      <c r="B8">
        <v>2515</v>
      </c>
      <c r="C8">
        <v>0</v>
      </c>
      <c r="D8">
        <v>16</v>
      </c>
      <c r="E8">
        <v>0</v>
      </c>
      <c r="F8">
        <v>0</v>
      </c>
      <c r="G8">
        <v>0</v>
      </c>
      <c r="H8">
        <f t="shared" si="0"/>
        <v>2531</v>
      </c>
    </row>
    <row r="9" spans="1:8" ht="21.95" customHeight="1">
      <c r="A9" t="s">
        <v>49</v>
      </c>
      <c r="B9">
        <v>1399</v>
      </c>
      <c r="C9">
        <v>0</v>
      </c>
      <c r="D9">
        <v>1</v>
      </c>
      <c r="E9">
        <v>0</v>
      </c>
      <c r="F9">
        <v>0</v>
      </c>
      <c r="G9">
        <v>1</v>
      </c>
      <c r="H9">
        <f>SUM(B9:G9)</f>
        <v>1401</v>
      </c>
    </row>
    <row r="10" spans="1:8" ht="21.95" customHeight="1">
      <c r="A10" t="s">
        <v>54</v>
      </c>
      <c r="B10">
        <v>1271</v>
      </c>
      <c r="C10">
        <v>0</v>
      </c>
      <c r="D10">
        <v>2</v>
      </c>
      <c r="E10">
        <v>0</v>
      </c>
      <c r="F10">
        <v>0</v>
      </c>
      <c r="G10">
        <v>0</v>
      </c>
      <c r="H10">
        <f>SUM(B10:G10)</f>
        <v>1273</v>
      </c>
    </row>
    <row r="11" spans="1:8" ht="21.95" customHeight="1">
      <c r="A11" t="s">
        <v>55</v>
      </c>
      <c r="B11">
        <v>1333</v>
      </c>
      <c r="C11">
        <v>0</v>
      </c>
      <c r="D11">
        <v>7</v>
      </c>
      <c r="E11">
        <v>0</v>
      </c>
      <c r="F11">
        <v>0</v>
      </c>
      <c r="G11">
        <v>1</v>
      </c>
      <c r="H11">
        <f t="shared" ref="H11:H14" si="1">SUM(B11:G11)</f>
        <v>1341</v>
      </c>
    </row>
    <row r="12" spans="1:8" ht="21.95" customHeight="1">
      <c r="A12" t="s">
        <v>58</v>
      </c>
      <c r="B12">
        <v>1475</v>
      </c>
      <c r="C12">
        <v>0</v>
      </c>
      <c r="D12">
        <v>6</v>
      </c>
      <c r="E12">
        <v>0</v>
      </c>
      <c r="F12">
        <v>4</v>
      </c>
      <c r="G12">
        <v>0</v>
      </c>
      <c r="H12">
        <f t="shared" si="1"/>
        <v>1485</v>
      </c>
    </row>
    <row r="13" spans="1:8" ht="21.95" customHeight="1">
      <c r="A13" t="s">
        <v>59</v>
      </c>
      <c r="B13">
        <v>2031</v>
      </c>
      <c r="C13">
        <v>0</v>
      </c>
      <c r="D13">
        <v>0</v>
      </c>
      <c r="E13">
        <v>0</v>
      </c>
      <c r="F13">
        <v>5</v>
      </c>
      <c r="G13">
        <v>1</v>
      </c>
      <c r="H13">
        <f t="shared" si="1"/>
        <v>2037</v>
      </c>
    </row>
    <row r="14" spans="1:8" ht="21.95" customHeight="1">
      <c r="A14" t="s">
        <v>61</v>
      </c>
      <c r="B14">
        <v>1755</v>
      </c>
      <c r="C14">
        <v>0</v>
      </c>
      <c r="D14">
        <v>6</v>
      </c>
      <c r="E14">
        <v>0</v>
      </c>
      <c r="F14">
        <v>0</v>
      </c>
      <c r="G14">
        <v>0</v>
      </c>
      <c r="H14">
        <f t="shared" si="1"/>
        <v>1761</v>
      </c>
    </row>
    <row r="15" spans="1:8" ht="21.95" customHeight="1">
      <c r="A15" t="s">
        <v>64</v>
      </c>
      <c r="B15">
        <v>1892</v>
      </c>
      <c r="C15">
        <v>0</v>
      </c>
      <c r="D15">
        <v>9</v>
      </c>
      <c r="E15">
        <v>0</v>
      </c>
      <c r="F15">
        <v>3</v>
      </c>
      <c r="G15">
        <v>0</v>
      </c>
      <c r="H15">
        <f t="shared" ref="H15" si="2">SUM(B15:G15)</f>
        <v>1904</v>
      </c>
    </row>
    <row r="16" spans="1:8" ht="21.95" customHeight="1"/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EDF6-834F-DA49-B3FC-BFE1673433AB}">
  <dimension ref="A1:H27"/>
  <sheetViews>
    <sheetView zoomScaleNormal="100" workbookViewId="0">
      <selection activeCell="L23" sqref="L23"/>
    </sheetView>
  </sheetViews>
  <sheetFormatPr defaultColWidth="11.5546875" defaultRowHeight="15"/>
  <cols>
    <col min="1" max="1" width="12.21875" customWidth="1"/>
    <col min="2" max="7" width="15.77734375" customWidth="1"/>
  </cols>
  <sheetData>
    <row r="1" spans="1:8" ht="20.100000000000001" customHeight="1">
      <c r="A1" s="2" t="s">
        <v>38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0.100000000000001" customHeight="1">
      <c r="A2" s="3" t="s">
        <v>91</v>
      </c>
      <c r="B2">
        <v>38</v>
      </c>
      <c r="C2">
        <v>1</v>
      </c>
      <c r="D2">
        <v>0</v>
      </c>
      <c r="E2">
        <v>4</v>
      </c>
      <c r="F2">
        <v>11</v>
      </c>
      <c r="G2">
        <v>0</v>
      </c>
      <c r="H2">
        <f>SUM(Table3[[#This Row],[Passed]:[Untested]])</f>
        <v>54</v>
      </c>
    </row>
    <row r="3" spans="1:8" ht="20.100000000000001" customHeight="1">
      <c r="A3" s="3" t="s">
        <v>92</v>
      </c>
    </row>
    <row r="4" spans="1:8" ht="20.100000000000001" customHeight="1">
      <c r="A4" s="3" t="s">
        <v>93</v>
      </c>
      <c r="B4">
        <v>43</v>
      </c>
      <c r="C4">
        <v>0</v>
      </c>
      <c r="D4">
        <v>10</v>
      </c>
      <c r="E4">
        <v>0</v>
      </c>
      <c r="F4">
        <v>1</v>
      </c>
      <c r="G4">
        <v>0</v>
      </c>
      <c r="H4">
        <f>SUM(Table3[[#This Row],[Passed]:[Untested]])</f>
        <v>54</v>
      </c>
    </row>
    <row r="5" spans="1:8" ht="20.100000000000001" customHeight="1">
      <c r="A5" s="3" t="s">
        <v>94</v>
      </c>
    </row>
    <row r="6" spans="1:8" ht="20.100000000000001" customHeight="1">
      <c r="A6" s="3" t="s">
        <v>82</v>
      </c>
      <c r="B6">
        <v>58</v>
      </c>
      <c r="C6">
        <v>0</v>
      </c>
      <c r="D6">
        <v>2</v>
      </c>
      <c r="E6">
        <v>2</v>
      </c>
      <c r="F6">
        <v>5</v>
      </c>
      <c r="G6">
        <v>0</v>
      </c>
      <c r="H6">
        <f>SUM(Table3[[#This Row],[Passed]:[Untested]])</f>
        <v>67</v>
      </c>
    </row>
    <row r="7" spans="1:8" ht="20.100000000000001" customHeight="1">
      <c r="A7" s="3" t="s">
        <v>83</v>
      </c>
    </row>
    <row r="8" spans="1:8" ht="20.100000000000001" customHeight="1">
      <c r="A8" s="3" t="s">
        <v>84</v>
      </c>
      <c r="B8">
        <v>76</v>
      </c>
      <c r="C8">
        <v>0</v>
      </c>
      <c r="D8">
        <v>7</v>
      </c>
      <c r="E8">
        <v>5</v>
      </c>
      <c r="F8">
        <v>2</v>
      </c>
      <c r="G8">
        <v>0</v>
      </c>
      <c r="H8">
        <f>SUM(Table3[[#This Row],[Passed]:[Untested]])</f>
        <v>90</v>
      </c>
    </row>
    <row r="9" spans="1:8" ht="20.100000000000001" customHeight="1">
      <c r="A9" s="3" t="s">
        <v>85</v>
      </c>
    </row>
    <row r="10" spans="1:8" ht="20.100000000000001" customHeight="1">
      <c r="A10" s="3" t="s">
        <v>86</v>
      </c>
      <c r="B10">
        <v>121</v>
      </c>
      <c r="C10">
        <v>1</v>
      </c>
      <c r="D10">
        <v>9</v>
      </c>
      <c r="E10">
        <v>10</v>
      </c>
      <c r="F10">
        <v>4</v>
      </c>
      <c r="G10">
        <v>0</v>
      </c>
      <c r="H10">
        <f>SUM(Table3[[#This Row],[Passed]:[Untested]])</f>
        <v>145</v>
      </c>
    </row>
    <row r="11" spans="1:8" ht="20.100000000000001" customHeight="1">
      <c r="A11" s="3" t="s">
        <v>87</v>
      </c>
    </row>
    <row r="12" spans="1:8" ht="20.100000000000001" customHeight="1">
      <c r="A12" s="3" t="s">
        <v>88</v>
      </c>
      <c r="B12">
        <v>148</v>
      </c>
      <c r="C12">
        <v>0</v>
      </c>
      <c r="D12">
        <v>6</v>
      </c>
      <c r="E12">
        <v>3</v>
      </c>
      <c r="F12">
        <v>4</v>
      </c>
      <c r="G12">
        <v>0</v>
      </c>
      <c r="H12">
        <f>SUM(Table3[[#This Row],[Passed]:[Untested]])</f>
        <v>161</v>
      </c>
    </row>
    <row r="13" spans="1:8" ht="20.100000000000001" customHeight="1">
      <c r="A13" s="3" t="s">
        <v>89</v>
      </c>
    </row>
    <row r="14" spans="1:8" ht="20.100000000000001" customHeight="1">
      <c r="A14" s="3" t="s">
        <v>90</v>
      </c>
      <c r="B14" s="10">
        <v>148</v>
      </c>
      <c r="C14" s="10">
        <v>1</v>
      </c>
      <c r="D14" s="10">
        <v>15</v>
      </c>
      <c r="E14" s="10">
        <v>2</v>
      </c>
      <c r="F14" s="10">
        <v>1</v>
      </c>
      <c r="G14" s="10">
        <v>0</v>
      </c>
      <c r="H14" s="11">
        <f>SUM(Table3[[#This Row],[Passed]:[Untested]])</f>
        <v>167</v>
      </c>
    </row>
    <row r="15" spans="1:8" ht="20.100000000000001" customHeight="1">
      <c r="A15" s="3" t="s">
        <v>69</v>
      </c>
      <c r="H15" s="13"/>
    </row>
    <row r="16" spans="1:8" ht="20.100000000000001" customHeight="1">
      <c r="A16" s="3" t="s">
        <v>70</v>
      </c>
      <c r="B16">
        <v>231</v>
      </c>
      <c r="C16">
        <v>3</v>
      </c>
      <c r="D16">
        <v>16</v>
      </c>
      <c r="E16">
        <v>8</v>
      </c>
      <c r="F16">
        <v>1</v>
      </c>
      <c r="G16">
        <v>0</v>
      </c>
      <c r="H16" s="13">
        <f>SUM(Table3[[#This Row],[Passed]:[Untested]])</f>
        <v>259</v>
      </c>
    </row>
    <row r="17" spans="1:8" ht="20.100000000000001" customHeight="1">
      <c r="A17" s="3" t="s">
        <v>71</v>
      </c>
      <c r="H17" s="13"/>
    </row>
    <row r="18" spans="1:8" ht="20.100000000000001" customHeight="1">
      <c r="A18" s="3" t="s">
        <v>72</v>
      </c>
      <c r="B18">
        <v>249</v>
      </c>
      <c r="C18">
        <v>19</v>
      </c>
      <c r="D18">
        <v>8</v>
      </c>
      <c r="E18">
        <v>9</v>
      </c>
      <c r="F18">
        <v>0</v>
      </c>
      <c r="G18">
        <v>0</v>
      </c>
      <c r="H18" s="13">
        <f>SUM(Table3[[#This Row],[Passed]:[Untested]])</f>
        <v>285</v>
      </c>
    </row>
    <row r="19" spans="1:8" ht="20.100000000000001" customHeight="1">
      <c r="A19" s="3" t="s">
        <v>73</v>
      </c>
      <c r="B19">
        <v>155</v>
      </c>
      <c r="C19">
        <v>0</v>
      </c>
      <c r="D19">
        <v>2</v>
      </c>
      <c r="E19">
        <v>5</v>
      </c>
      <c r="F19">
        <v>0</v>
      </c>
      <c r="G19">
        <v>0</v>
      </c>
      <c r="H19" s="13">
        <f>SUM(Table3[[#This Row],[Passed]:[Untested]])</f>
        <v>162</v>
      </c>
    </row>
    <row r="20" spans="1:8" ht="20.100000000000001" customHeight="1">
      <c r="A20" s="3" t="s">
        <v>74</v>
      </c>
      <c r="B20">
        <v>225</v>
      </c>
      <c r="C20">
        <v>1</v>
      </c>
      <c r="D20">
        <v>7</v>
      </c>
      <c r="E20">
        <v>11</v>
      </c>
      <c r="F20">
        <v>2</v>
      </c>
      <c r="G20">
        <v>0</v>
      </c>
      <c r="H20" s="13">
        <f>SUM(Table3[[#This Row],[Passed]:[Untested]])</f>
        <v>246</v>
      </c>
    </row>
    <row r="21" spans="1:8" ht="20.100000000000001" customHeight="1">
      <c r="A21" s="3" t="s">
        <v>75</v>
      </c>
      <c r="B21">
        <v>281</v>
      </c>
      <c r="C21">
        <v>2</v>
      </c>
      <c r="D21">
        <v>10</v>
      </c>
      <c r="E21">
        <v>8</v>
      </c>
      <c r="F21">
        <v>2</v>
      </c>
      <c r="G21">
        <v>0</v>
      </c>
      <c r="H21" s="13">
        <f>SUM(Table3[[#This Row],[Passed]:[Untested]])</f>
        <v>303</v>
      </c>
    </row>
    <row r="22" spans="1:8" ht="20.100000000000001" customHeight="1">
      <c r="A22" s="3" t="s">
        <v>76</v>
      </c>
      <c r="B22">
        <v>291</v>
      </c>
      <c r="C22">
        <v>20</v>
      </c>
      <c r="D22">
        <v>1</v>
      </c>
      <c r="E22">
        <v>16</v>
      </c>
      <c r="F22">
        <v>3</v>
      </c>
      <c r="G22">
        <v>0</v>
      </c>
      <c r="H22" s="13">
        <f>SUM(Table3[[#This Row],[Passed]:[Untested]])</f>
        <v>331</v>
      </c>
    </row>
    <row r="23" spans="1:8" ht="20.100000000000001" customHeight="1">
      <c r="A23" s="3" t="s">
        <v>77</v>
      </c>
      <c r="B23">
        <v>267</v>
      </c>
      <c r="C23">
        <v>0</v>
      </c>
      <c r="D23">
        <v>3</v>
      </c>
      <c r="E23">
        <v>8</v>
      </c>
      <c r="F23">
        <v>1</v>
      </c>
      <c r="G23">
        <v>0</v>
      </c>
      <c r="H23" s="13">
        <f>SUM(Table3[[#This Row],[Passed]:[Untested]])</f>
        <v>279</v>
      </c>
    </row>
    <row r="24" spans="1:8" ht="20.100000000000001" customHeight="1">
      <c r="A24" s="3" t="s">
        <v>78</v>
      </c>
      <c r="B24">
        <v>343</v>
      </c>
      <c r="C24">
        <v>0</v>
      </c>
      <c r="D24">
        <v>8</v>
      </c>
      <c r="E24">
        <v>7</v>
      </c>
      <c r="F24">
        <v>4</v>
      </c>
      <c r="G24">
        <v>0</v>
      </c>
      <c r="H24" s="13">
        <f>SUM(Table3[[#This Row],[Passed]:[Untested]])</f>
        <v>362</v>
      </c>
    </row>
    <row r="25" spans="1:8" ht="20.100000000000001" customHeight="1">
      <c r="A25" s="3" t="s">
        <v>79</v>
      </c>
      <c r="B25">
        <v>351</v>
      </c>
      <c r="C25">
        <v>3</v>
      </c>
      <c r="D25">
        <v>8</v>
      </c>
      <c r="E25">
        <v>1</v>
      </c>
      <c r="F25">
        <v>15</v>
      </c>
      <c r="G25">
        <v>0</v>
      </c>
      <c r="H25" s="13">
        <f>SUM(Table3[[#This Row],[Passed]:[Untested]])</f>
        <v>378</v>
      </c>
    </row>
    <row r="26" spans="1:8" ht="20.100000000000001" customHeight="1">
      <c r="A26" s="3" t="s">
        <v>80</v>
      </c>
      <c r="B26">
        <v>142</v>
      </c>
      <c r="C26">
        <v>0</v>
      </c>
      <c r="D26">
        <v>0</v>
      </c>
      <c r="E26">
        <v>0</v>
      </c>
      <c r="F26">
        <v>6</v>
      </c>
      <c r="G26">
        <v>0</v>
      </c>
      <c r="H26" s="13">
        <f>SUM(Table3[[#This Row],[Passed]:[Untested]])</f>
        <v>148</v>
      </c>
    </row>
    <row r="27" spans="1:8" ht="20.100000000000001" customHeight="1">
      <c r="A27" s="3" t="s">
        <v>68</v>
      </c>
      <c r="B27">
        <v>211</v>
      </c>
      <c r="C27">
        <v>7</v>
      </c>
      <c r="D27">
        <v>8</v>
      </c>
      <c r="E27">
        <v>1</v>
      </c>
      <c r="F27">
        <v>10</v>
      </c>
      <c r="G27">
        <v>171</v>
      </c>
      <c r="H27" s="13">
        <f>SUM(B27:G27)</f>
        <v>408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DB4-6EC1-E840-9DE9-46C117A6F960}">
  <dimension ref="A1:H23"/>
  <sheetViews>
    <sheetView zoomScaleNormal="100" workbookViewId="0">
      <selection activeCell="J18" sqref="J18"/>
    </sheetView>
  </sheetViews>
  <sheetFormatPr defaultColWidth="11.5546875" defaultRowHeight="15"/>
  <cols>
    <col min="1" max="1" width="15.33203125" customWidth="1"/>
    <col min="2" max="2" width="15.77734375" customWidth="1"/>
    <col min="3" max="4" width="17.21875" customWidth="1"/>
    <col min="5" max="5" width="15.88671875" customWidth="1"/>
    <col min="6" max="6" width="16.88671875" customWidth="1"/>
    <col min="7" max="7" width="14.33203125" customWidth="1"/>
    <col min="8" max="8" width="15.44140625" customWidth="1"/>
  </cols>
  <sheetData>
    <row r="1" spans="1:8">
      <c r="A1" t="s">
        <v>26</v>
      </c>
      <c r="B1" s="3" t="s">
        <v>18</v>
      </c>
      <c r="C1" s="3" t="s">
        <v>47</v>
      </c>
      <c r="D1" s="3" t="s">
        <v>17</v>
      </c>
      <c r="E1" s="3" t="s">
        <v>50</v>
      </c>
      <c r="F1" s="3" t="s">
        <v>51</v>
      </c>
      <c r="G1" s="3" t="s">
        <v>1</v>
      </c>
      <c r="H1" s="3" t="s">
        <v>3</v>
      </c>
    </row>
    <row r="2" spans="1:8">
      <c r="A2" t="s">
        <v>19</v>
      </c>
      <c r="B2">
        <v>9</v>
      </c>
      <c r="C2">
        <v>0</v>
      </c>
      <c r="D2">
        <v>0</v>
      </c>
      <c r="E2">
        <v>0</v>
      </c>
      <c r="F2">
        <v>0</v>
      </c>
      <c r="G2">
        <v>92</v>
      </c>
      <c r="H2">
        <f>SUM(Table7[[#This Row],[To Do]:[Done]])</f>
        <v>101</v>
      </c>
    </row>
    <row r="3" spans="1:8">
      <c r="A3" t="s">
        <v>20</v>
      </c>
      <c r="B3">
        <v>7</v>
      </c>
      <c r="C3">
        <v>0</v>
      </c>
      <c r="D3">
        <v>0</v>
      </c>
      <c r="E3">
        <v>0</v>
      </c>
      <c r="F3">
        <v>0</v>
      </c>
      <c r="G3">
        <v>59</v>
      </c>
      <c r="H3">
        <f>SUM(Table7[[#This Row],[To Do]:[Done]])</f>
        <v>66</v>
      </c>
    </row>
    <row r="4" spans="1:8">
      <c r="A4" t="s">
        <v>21</v>
      </c>
      <c r="B4">
        <v>25</v>
      </c>
      <c r="C4">
        <v>0</v>
      </c>
      <c r="D4">
        <v>0</v>
      </c>
      <c r="E4">
        <v>0</v>
      </c>
      <c r="F4">
        <v>0</v>
      </c>
      <c r="G4">
        <v>168</v>
      </c>
      <c r="H4">
        <f>SUM(Table7[[#This Row],[To Do]:[Done]])</f>
        <v>193</v>
      </c>
    </row>
    <row r="5" spans="1:8">
      <c r="A5" t="s">
        <v>22</v>
      </c>
      <c r="B5">
        <v>31</v>
      </c>
      <c r="C5">
        <v>0</v>
      </c>
      <c r="D5">
        <v>0</v>
      </c>
      <c r="E5">
        <v>0</v>
      </c>
      <c r="F5">
        <v>0</v>
      </c>
      <c r="G5">
        <v>156</v>
      </c>
      <c r="H5">
        <f>SUM(Table7[[#This Row],[To Do]:[Done]])</f>
        <v>187</v>
      </c>
    </row>
    <row r="6" spans="1:8">
      <c r="A6" t="s">
        <v>23</v>
      </c>
      <c r="B6">
        <v>15</v>
      </c>
      <c r="C6">
        <v>0</v>
      </c>
      <c r="D6">
        <v>0</v>
      </c>
      <c r="E6">
        <v>0</v>
      </c>
      <c r="F6">
        <v>0</v>
      </c>
      <c r="G6">
        <v>76</v>
      </c>
      <c r="H6">
        <f>SUM(Table7[[#This Row],[To Do]:[Done]])</f>
        <v>91</v>
      </c>
    </row>
    <row r="7" spans="1:8">
      <c r="A7" t="s">
        <v>24</v>
      </c>
      <c r="B7">
        <v>15</v>
      </c>
      <c r="C7">
        <v>0</v>
      </c>
      <c r="D7">
        <v>1</v>
      </c>
      <c r="E7">
        <v>0</v>
      </c>
      <c r="F7">
        <v>0</v>
      </c>
      <c r="G7">
        <v>61</v>
      </c>
      <c r="H7">
        <f>SUM(Table7[[#This Row],[To Do]:[Done]])</f>
        <v>77</v>
      </c>
    </row>
    <row r="8" spans="1:8">
      <c r="A8" t="s">
        <v>25</v>
      </c>
      <c r="B8">
        <v>7</v>
      </c>
      <c r="C8">
        <v>0</v>
      </c>
      <c r="D8">
        <v>0</v>
      </c>
      <c r="E8">
        <v>0</v>
      </c>
      <c r="F8">
        <v>0</v>
      </c>
      <c r="G8">
        <v>46</v>
      </c>
      <c r="H8">
        <f>SUM(Table7[[#This Row],[To Do]:[Done]])</f>
        <v>53</v>
      </c>
    </row>
    <row r="9" spans="1:8">
      <c r="A9" t="s">
        <v>4</v>
      </c>
      <c r="B9">
        <v>18</v>
      </c>
      <c r="C9">
        <v>0</v>
      </c>
      <c r="D9">
        <v>2</v>
      </c>
      <c r="E9">
        <v>0</v>
      </c>
      <c r="F9">
        <v>0</v>
      </c>
      <c r="G9">
        <v>42</v>
      </c>
      <c r="H9">
        <f>SUM(Table7[[#This Row],[To Do]:[Done]])</f>
        <v>62</v>
      </c>
    </row>
    <row r="10" spans="1:8">
      <c r="A10" t="s">
        <v>5</v>
      </c>
      <c r="B10">
        <v>17</v>
      </c>
      <c r="C10">
        <v>0</v>
      </c>
      <c r="D10">
        <v>1</v>
      </c>
      <c r="E10">
        <v>0</v>
      </c>
      <c r="F10">
        <v>0</v>
      </c>
      <c r="G10">
        <v>33</v>
      </c>
      <c r="H10">
        <f>SUM(Table7[[#This Row],[To Do]:[Done]])</f>
        <v>51</v>
      </c>
    </row>
    <row r="11" spans="1:8">
      <c r="A11" t="s">
        <v>6</v>
      </c>
      <c r="B11">
        <v>26</v>
      </c>
      <c r="C11">
        <v>0</v>
      </c>
      <c r="D11">
        <v>0</v>
      </c>
      <c r="E11">
        <v>0</v>
      </c>
      <c r="F11">
        <v>0</v>
      </c>
      <c r="G11">
        <v>25</v>
      </c>
      <c r="H11">
        <f>SUM(Table7[[#This Row],[To Do]:[Done]])</f>
        <v>51</v>
      </c>
    </row>
    <row r="12" spans="1:8">
      <c r="A12" t="s">
        <v>7</v>
      </c>
      <c r="B12">
        <v>15</v>
      </c>
      <c r="C12">
        <v>0</v>
      </c>
      <c r="D12">
        <v>0</v>
      </c>
      <c r="E12">
        <v>0</v>
      </c>
      <c r="F12">
        <v>0</v>
      </c>
      <c r="G12">
        <v>55</v>
      </c>
      <c r="H12">
        <f>SUM(Table7[[#This Row],[To Do]:[Done]])</f>
        <v>70</v>
      </c>
    </row>
    <row r="13" spans="1:8">
      <c r="A13" t="s">
        <v>8</v>
      </c>
      <c r="B13">
        <v>9</v>
      </c>
      <c r="C13">
        <v>0</v>
      </c>
      <c r="D13">
        <v>0</v>
      </c>
      <c r="E13">
        <v>0</v>
      </c>
      <c r="F13">
        <v>0</v>
      </c>
      <c r="G13">
        <v>40</v>
      </c>
      <c r="H13">
        <f>SUM(Table7[[#This Row],[To Do]:[Done]])</f>
        <v>49</v>
      </c>
    </row>
    <row r="14" spans="1:8">
      <c r="A14" t="s">
        <v>9</v>
      </c>
      <c r="B14">
        <v>6</v>
      </c>
      <c r="C14">
        <v>0</v>
      </c>
      <c r="D14">
        <v>0</v>
      </c>
      <c r="E14">
        <v>0</v>
      </c>
      <c r="F14">
        <v>0</v>
      </c>
      <c r="G14">
        <v>33</v>
      </c>
      <c r="H14">
        <f>SUM(Table7[[#This Row],[To Do]:[Done]])</f>
        <v>39</v>
      </c>
    </row>
    <row r="15" spans="1:8">
      <c r="A15" t="s">
        <v>10</v>
      </c>
      <c r="B15">
        <v>11</v>
      </c>
      <c r="C15">
        <v>1</v>
      </c>
      <c r="D15">
        <v>1</v>
      </c>
      <c r="E15">
        <v>0</v>
      </c>
      <c r="F15">
        <v>0</v>
      </c>
      <c r="G15">
        <v>28</v>
      </c>
      <c r="H15">
        <f>SUM(Table7[[#This Row],[To Do]:[Done]])</f>
        <v>41</v>
      </c>
    </row>
    <row r="16" spans="1:8">
      <c r="A16" t="s">
        <v>49</v>
      </c>
      <c r="B16">
        <v>2</v>
      </c>
      <c r="C16">
        <v>0</v>
      </c>
      <c r="D16">
        <v>0</v>
      </c>
      <c r="E16">
        <v>0</v>
      </c>
      <c r="F16">
        <v>0</v>
      </c>
      <c r="G16">
        <v>1</v>
      </c>
      <c r="H16">
        <f>SUM(Table7[[#This Row],[To Do]:[Done]])</f>
        <v>3</v>
      </c>
    </row>
    <row r="17" spans="1:8">
      <c r="A17" t="s">
        <v>54</v>
      </c>
      <c r="B17">
        <v>14</v>
      </c>
      <c r="C17">
        <v>0</v>
      </c>
      <c r="D17">
        <v>1</v>
      </c>
      <c r="E17">
        <v>0</v>
      </c>
      <c r="F17">
        <v>0</v>
      </c>
      <c r="G17">
        <v>7</v>
      </c>
      <c r="H17">
        <f>SUM(Table7[[#This Row],[To Do]:[Done]])</f>
        <v>22</v>
      </c>
    </row>
    <row r="18" spans="1:8">
      <c r="A18" t="s">
        <v>55</v>
      </c>
      <c r="B18">
        <v>1</v>
      </c>
      <c r="C18">
        <v>0</v>
      </c>
      <c r="D18">
        <v>0</v>
      </c>
      <c r="E18">
        <v>0</v>
      </c>
      <c r="F18">
        <v>0</v>
      </c>
      <c r="G18">
        <v>12</v>
      </c>
      <c r="H18">
        <f>SUM(Table7[[#This Row],[To Do]:[Done]])</f>
        <v>13</v>
      </c>
    </row>
    <row r="19" spans="1:8">
      <c r="A19" t="s">
        <v>58</v>
      </c>
      <c r="B19">
        <v>5</v>
      </c>
      <c r="C19">
        <v>0</v>
      </c>
      <c r="D19">
        <v>0</v>
      </c>
      <c r="E19">
        <v>0</v>
      </c>
      <c r="F19">
        <v>0</v>
      </c>
      <c r="G19">
        <v>8</v>
      </c>
      <c r="H19" s="12">
        <f>SUM(Table7[[#This Row],[To Do]:[Done]])</f>
        <v>13</v>
      </c>
    </row>
    <row r="20" spans="1:8">
      <c r="A20" t="s">
        <v>59</v>
      </c>
      <c r="B20">
        <v>17</v>
      </c>
      <c r="C20">
        <v>0</v>
      </c>
      <c r="D20">
        <v>0</v>
      </c>
      <c r="E20">
        <v>1</v>
      </c>
      <c r="F20">
        <v>0</v>
      </c>
      <c r="G20">
        <v>35</v>
      </c>
      <c r="H20" s="12">
        <f>SUM(Table7[[#This Row],[To Do]:[Done]])</f>
        <v>53</v>
      </c>
    </row>
    <row r="21" spans="1:8">
      <c r="A21" t="s">
        <v>61</v>
      </c>
      <c r="B21">
        <v>7</v>
      </c>
      <c r="C21">
        <v>0</v>
      </c>
      <c r="D21">
        <v>0</v>
      </c>
      <c r="E21">
        <v>1</v>
      </c>
      <c r="F21">
        <v>0</v>
      </c>
      <c r="G21">
        <v>34</v>
      </c>
      <c r="H21" s="12">
        <f>SUM(Table7[[#This Row],[To Do]:[Done]])</f>
        <v>42</v>
      </c>
    </row>
    <row r="22" spans="1:8">
      <c r="A22" t="s">
        <v>64</v>
      </c>
      <c r="B22">
        <v>9</v>
      </c>
      <c r="C22">
        <v>0</v>
      </c>
      <c r="D22">
        <v>0</v>
      </c>
      <c r="E22">
        <v>0</v>
      </c>
      <c r="F22">
        <v>0</v>
      </c>
      <c r="G22">
        <v>27</v>
      </c>
      <c r="H22" s="12">
        <f>SUM(Table7[[#This Row],[To Do]:[Done]])</f>
        <v>36</v>
      </c>
    </row>
    <row r="23" spans="1:8">
      <c r="A23" t="s">
        <v>65</v>
      </c>
      <c r="B23">
        <v>0</v>
      </c>
      <c r="C23">
        <v>0</v>
      </c>
      <c r="D23">
        <v>1</v>
      </c>
      <c r="E23">
        <v>0</v>
      </c>
      <c r="F23">
        <v>1</v>
      </c>
      <c r="G23">
        <v>1</v>
      </c>
      <c r="H23" s="12">
        <f>SUM(Table7[[#This Row],[To Do]:[Done]])</f>
        <v>3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7DEB-55FC-DC4E-A4B1-F7171B8F3237}">
  <dimension ref="A1:I21"/>
  <sheetViews>
    <sheetView zoomScaleNormal="100" workbookViewId="0">
      <selection activeCell="J11" sqref="J11"/>
    </sheetView>
  </sheetViews>
  <sheetFormatPr defaultColWidth="11.5546875" defaultRowHeight="15"/>
  <cols>
    <col min="1" max="1" width="18.21875" customWidth="1"/>
    <col min="2" max="2" width="14.44140625" customWidth="1"/>
    <col min="3" max="3" width="23.21875" customWidth="1"/>
    <col min="4" max="4" width="23.109375" customWidth="1"/>
    <col min="5" max="5" width="18.109375" customWidth="1"/>
    <col min="6" max="6" width="29.33203125" customWidth="1"/>
    <col min="7" max="8" width="20.109375" customWidth="1"/>
    <col min="9" max="9" width="14.21875" customWidth="1"/>
  </cols>
  <sheetData>
    <row r="1" spans="1:9" ht="21" thickBot="1">
      <c r="A1" s="6" t="s">
        <v>27</v>
      </c>
      <c r="B1" s="7" t="s">
        <v>28</v>
      </c>
      <c r="C1" s="7" t="s">
        <v>32</v>
      </c>
      <c r="D1" s="7" t="s">
        <v>52</v>
      </c>
      <c r="E1" s="7" t="s">
        <v>30</v>
      </c>
      <c r="F1" s="7" t="s">
        <v>66</v>
      </c>
      <c r="G1" s="7" t="s">
        <v>29</v>
      </c>
      <c r="H1" s="8" t="s">
        <v>31</v>
      </c>
      <c r="I1" s="9" t="s">
        <v>3</v>
      </c>
    </row>
    <row r="2" spans="1:9" ht="18" thickBot="1">
      <c r="A2" s="4" t="s">
        <v>41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20</v>
      </c>
      <c r="H2" s="5">
        <v>3</v>
      </c>
      <c r="I2" s="5">
        <f>SUM(Table5[[#This Row],[To Do (0%)]:[WON''T DO (100%)]])</f>
        <v>23</v>
      </c>
    </row>
    <row r="3" spans="1:9" ht="18" thickBot="1">
      <c r="A3" s="4" t="s">
        <v>42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20</v>
      </c>
      <c r="H3" s="5">
        <v>2</v>
      </c>
      <c r="I3" s="5">
        <f>SUM(Table5[[#This Row],[To Do (0%)]:[WON''T DO (100%)]])</f>
        <v>22</v>
      </c>
    </row>
    <row r="4" spans="1:9" ht="18" thickBot="1">
      <c r="A4" s="4" t="s">
        <v>43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16</v>
      </c>
      <c r="H4" s="5">
        <v>2</v>
      </c>
      <c r="I4" s="5">
        <f>SUM(Table5[[#This Row],[To Do (0%)]:[WON''T DO (100%)]])</f>
        <v>18</v>
      </c>
    </row>
    <row r="5" spans="1:9" ht="18" thickBot="1">
      <c r="A5" s="4" t="s">
        <v>44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16</v>
      </c>
      <c r="H5" s="5">
        <v>2</v>
      </c>
      <c r="I5" s="5">
        <f>SUM(Table5[[#This Row],[To Do (0%)]:[WON''T DO (100%)]])</f>
        <v>18</v>
      </c>
    </row>
    <row r="6" spans="1:9" ht="18" thickBot="1">
      <c r="A6" s="4" t="s">
        <v>45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55</v>
      </c>
      <c r="H6" s="5">
        <v>4</v>
      </c>
      <c r="I6" s="5">
        <f>SUM(Table5[[#This Row],[To Do (0%)]:[WON''T DO (100%)]])</f>
        <v>59</v>
      </c>
    </row>
    <row r="7" spans="1:9" ht="18" thickBot="1">
      <c r="A7" s="4" t="s">
        <v>46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35</v>
      </c>
      <c r="H7" s="5">
        <v>4</v>
      </c>
      <c r="I7" s="5">
        <f>SUM(Table5[[#This Row],[To Do (0%)]:[WON''T DO (100%)]])</f>
        <v>39</v>
      </c>
    </row>
    <row r="8" spans="1:9" ht="18" thickBot="1">
      <c r="A8" s="4" t="s">
        <v>33</v>
      </c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39</v>
      </c>
      <c r="H8" s="5">
        <v>2</v>
      </c>
      <c r="I8" s="5">
        <f>SUM(Table5[[#This Row],[To Do (0%)]:[WON''T DO (100%)]])</f>
        <v>42</v>
      </c>
    </row>
    <row r="9" spans="1:9" ht="18" thickBot="1">
      <c r="A9" s="4" t="s">
        <v>34</v>
      </c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39</v>
      </c>
      <c r="H9" s="5">
        <v>6</v>
      </c>
      <c r="I9" s="5">
        <f>SUM(Table5[[#This Row],[To Do (0%)]:[WON''T DO (100%)]])</f>
        <v>46</v>
      </c>
    </row>
    <row r="10" spans="1:9" ht="18" thickBot="1">
      <c r="A10" s="4" t="s">
        <v>35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45</v>
      </c>
      <c r="H10" s="5">
        <v>7</v>
      </c>
      <c r="I10" s="5">
        <f>SUM(Table5[[#This Row],[To Do (0%)]:[WON''T DO (100%)]])</f>
        <v>53</v>
      </c>
    </row>
    <row r="11" spans="1:9" ht="18" thickBot="1">
      <c r="A11" s="4" t="s">
        <v>36</v>
      </c>
      <c r="B11" s="5">
        <v>1</v>
      </c>
      <c r="C11" s="5">
        <v>0</v>
      </c>
      <c r="D11" s="5">
        <v>0</v>
      </c>
      <c r="E11" s="5">
        <v>0</v>
      </c>
      <c r="F11" s="5">
        <v>0</v>
      </c>
      <c r="G11" s="5">
        <v>18</v>
      </c>
      <c r="H11" s="5">
        <v>1</v>
      </c>
      <c r="I11" s="5">
        <f>SUM(Table5[[#This Row],[To Do (0%)]:[WON''T DO (100%)]])</f>
        <v>20</v>
      </c>
    </row>
    <row r="12" spans="1:9" ht="18" thickBot="1">
      <c r="A12" s="4" t="s">
        <v>37</v>
      </c>
      <c r="B12" s="5">
        <v>3</v>
      </c>
      <c r="C12" s="5">
        <v>0</v>
      </c>
      <c r="D12" s="5">
        <v>0</v>
      </c>
      <c r="E12" s="5">
        <v>0</v>
      </c>
      <c r="F12" s="5">
        <v>0</v>
      </c>
      <c r="G12" s="5">
        <v>25</v>
      </c>
      <c r="H12" s="5">
        <v>4</v>
      </c>
      <c r="I12" s="5">
        <f>SUM(Table5[[#This Row],[To Do (0%)]:[WON''T DO (100%)]])</f>
        <v>32</v>
      </c>
    </row>
    <row r="13" spans="1:9" ht="18" thickBot="1">
      <c r="A13" s="4" t="s">
        <v>39</v>
      </c>
      <c r="B13" s="5">
        <v>3</v>
      </c>
      <c r="C13" s="5">
        <v>0</v>
      </c>
      <c r="D13" s="5">
        <v>0</v>
      </c>
      <c r="E13" s="5">
        <v>0</v>
      </c>
      <c r="F13" s="5">
        <v>0</v>
      </c>
      <c r="G13" s="5">
        <v>45</v>
      </c>
      <c r="H13" s="5">
        <v>5</v>
      </c>
      <c r="I13" s="5">
        <f>SUM(Table5[[#This Row],[To Do (0%)]:[WON''T DO (100%)]])</f>
        <v>53</v>
      </c>
    </row>
    <row r="14" spans="1:9" ht="18" thickBot="1">
      <c r="A14" s="4" t="s">
        <v>40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24</v>
      </c>
      <c r="H14" s="5">
        <v>1</v>
      </c>
      <c r="I14" s="5">
        <f>SUM(Table5[[#This Row],[To Do (0%)]:[WON''T DO (100%)]])</f>
        <v>25</v>
      </c>
    </row>
    <row r="15" spans="1:9" ht="18" thickBot="1">
      <c r="A15" s="4" t="s">
        <v>53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43</v>
      </c>
      <c r="H15" s="5">
        <v>0</v>
      </c>
      <c r="I15" s="5">
        <f>SUM(Table5[[#This Row],[To Do (0%)]:[WON''T DO (100%)]])</f>
        <v>43</v>
      </c>
    </row>
    <row r="16" spans="1:9" ht="18" thickBot="1">
      <c r="A16" s="4" t="s">
        <v>56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35</v>
      </c>
      <c r="H16" s="5">
        <v>0</v>
      </c>
      <c r="I16" s="5">
        <f>SUM(Table5[[#This Row],[To Do (0%)]:[WON''T DO (100%)]])</f>
        <v>35</v>
      </c>
    </row>
    <row r="17" spans="1:9" ht="18" thickBot="1">
      <c r="A17" s="4" t="s">
        <v>57</v>
      </c>
      <c r="B17" s="5">
        <v>0</v>
      </c>
      <c r="C17" s="5">
        <v>0</v>
      </c>
      <c r="D17" s="5">
        <v>0</v>
      </c>
      <c r="E17" s="5">
        <v>0</v>
      </c>
      <c r="F17" s="5">
        <v>1</v>
      </c>
      <c r="G17" s="5">
        <v>28</v>
      </c>
      <c r="H17" s="5">
        <v>0</v>
      </c>
      <c r="I17" s="5">
        <f>SUM(Table5[[#This Row],[To Do (0%)]:[WON''T DO (100%)]])</f>
        <v>29</v>
      </c>
    </row>
    <row r="18" spans="1:9" ht="18" thickBot="1">
      <c r="A18" s="4" t="s">
        <v>60</v>
      </c>
      <c r="B18" s="5">
        <v>9</v>
      </c>
      <c r="C18" s="5">
        <v>0</v>
      </c>
      <c r="D18" s="5">
        <v>0</v>
      </c>
      <c r="E18" s="5">
        <v>0</v>
      </c>
      <c r="F18" s="5">
        <v>1</v>
      </c>
      <c r="G18" s="5">
        <v>34</v>
      </c>
      <c r="H18" s="5">
        <v>0</v>
      </c>
      <c r="I18" s="5">
        <f>SUM(Table5[[#This Row],[To Do (0%)]:[WON''T DO (100%)]])</f>
        <v>44</v>
      </c>
    </row>
    <row r="19" spans="1:9" ht="18" thickBot="1">
      <c r="A19" s="4" t="s">
        <v>62</v>
      </c>
      <c r="B19" s="5">
        <v>8</v>
      </c>
      <c r="C19" s="5">
        <v>0</v>
      </c>
      <c r="D19" s="5">
        <v>0</v>
      </c>
      <c r="E19" s="5">
        <v>2</v>
      </c>
      <c r="F19" s="5">
        <v>4</v>
      </c>
      <c r="G19" s="5">
        <v>22</v>
      </c>
      <c r="H19" s="5">
        <v>0</v>
      </c>
      <c r="I19" s="5">
        <f>SUM(Table5[[#This Row],[To Do (0%)]:[WON''T DO (100%)]])</f>
        <v>36</v>
      </c>
    </row>
    <row r="20" spans="1:9" ht="18" thickBot="1">
      <c r="A20" s="4" t="s">
        <v>63</v>
      </c>
      <c r="B20" s="5">
        <v>12</v>
      </c>
      <c r="C20" s="5">
        <v>0</v>
      </c>
      <c r="D20" s="5">
        <v>0</v>
      </c>
      <c r="E20" s="5">
        <v>2</v>
      </c>
      <c r="F20" s="5">
        <v>4</v>
      </c>
      <c r="G20" s="5">
        <v>15</v>
      </c>
      <c r="H20" s="5">
        <v>0</v>
      </c>
      <c r="I20" s="16">
        <f>SUM(Table5[[#This Row],[To Do (0%)]:[WON''T DO (100%)]])</f>
        <v>33</v>
      </c>
    </row>
    <row r="21" spans="1:9" ht="18" thickBot="1">
      <c r="A21" s="4" t="s">
        <v>67</v>
      </c>
      <c r="B21" s="5">
        <v>2</v>
      </c>
      <c r="C21" s="5">
        <v>1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f>SUM(Table5[[#This Row],[To Do (0%)]:[WON''T DO (100%)]])</f>
        <v>3</v>
      </c>
    </row>
  </sheetData>
  <phoneticPr fontId="1" type="noConversion"/>
  <hyperlinks>
    <hyperlink ref="B2" r:id="rId1" display="https://xrspace.atlassian.net/issues/?jql=created+%3E%3D+2025-01-01+AND+created+%3C%3D+2025-12-31+AND+type+%3D+Bug+AND+project+%3D+SOVA+AND+Sprint+%3D+1463+AND+status+%3D+%22To+Do+%280%25%29%22" xr:uid="{3E93D7A3-0768-4624-87DE-A5A91C591EEA}"/>
    <hyperlink ref="D2" r:id="rId2" display="https://xrspace.atlassian.net/issues/?jql=created+%3E%3D+2025-01-01+AND+created+%3C%3D+2025-12-31+AND+type+%3D+Bug+AND+project+%3D+SOVA+AND+Sprint+%3D+1463+AND+status+%3D+%22In+Progress+%2850+%7E+70%25%29%22" xr:uid="{39D1BE11-F984-4AF8-99AE-6FB8A128C072}"/>
    <hyperlink ref="G2" r:id="rId3" display="https://xrspace.atlassian.net/issues/?jql=created+%3E%3D+2025-01-01+AND+created+%3C%3D+2025-12-31+AND+type+%3D+Bug+AND+project+%3D+SOVA+AND+Sprint+%3D+1463+AND+status+%3D+%22Done+%28100%25%29%22" xr:uid="{9C1E74D3-DEE8-461A-9780-C24A167B1F0C}"/>
    <hyperlink ref="E2" r:id="rId4" display="https://xrspace.atlassian.net/issues/?jql=created+%3E%3D+2025-01-01+AND+created+%3C%3D+2025-12-31+AND+type+%3D+Bug+AND+project+%3D+SOVA+AND+Sprint+%3D+1463+AND+status+%3D+%22IN+REVIEW+%2880%25%29%22" xr:uid="{D3EE9B22-7A27-43DC-BF50-FA71D1ED4ED6}"/>
    <hyperlink ref="H2" r:id="rId5" display="https://xrspace.atlassian.net/issues/?jql=created+%3E%3D+2025-01-01+AND+created+%3C%3D+2025-12-31+AND+type+%3D+Bug+AND+project+%3D+SOVA+AND+Sprint+%3D+1463+AND+status+%3D+%22WON%27T+DO+%28100%25%29%22" xr:uid="{22CFCE6B-A51F-4F94-AA17-C2EAE121AE5A}"/>
    <hyperlink ref="C2" r:id="rId6" display="https://xrspace.atlassian.net/issues/?jql=created+%3E%3D+2025-01-01+AND+created+%3C%3D+2025-12-31+AND+type+%3D+Bug+AND+project+%3D+SOVA+AND+Sprint+%3D+1463+AND+status+%3D+%22STARTING+%2810+%7E+40%25%29%22" xr:uid="{A47C4A7D-89B3-400D-A409-BBED71A6A893}"/>
    <hyperlink ref="F2" r:id="rId7" display="https://xrspace.atlassian.net/issues/?jql=created+%3E%3D+2025-01-01+AND+created+%3C%3D+2025-12-31+AND+type+%3D+Bug+AND+project+%3D+SOVA+AND+Sprint+%3D+1463+AND+status+%3D+%22READY+FOR+TESTING+%2890%25%29%22" xr:uid="{E73CC2E2-D458-4D5B-9D50-BF8611CFA0CB}"/>
    <hyperlink ref="B3" r:id="rId8" display="https://xrspace.atlassian.net/issues/?jql=created+%3E%3D+2025-01-01+AND+created+%3C%3D+2025-12-31+AND+type+%3D+Bug+AND+project+%3D+SOVA+AND+Sprint+%3D+1466+AND+status+%3D+%22To+Do+%280%25%29%22" xr:uid="{96C4238E-81C6-4F14-A1EE-3D0D367E7F05}"/>
    <hyperlink ref="D3" r:id="rId9" display="https://xrspace.atlassian.net/issues/?jql=created+%3E%3D+2025-01-01+AND+created+%3C%3D+2025-12-31+AND+type+%3D+Bug+AND+project+%3D+SOVA+AND+Sprint+%3D+1466+AND+status+%3D+%22In+Progress+%2850+%7E+70%25%29%22" xr:uid="{F8374B64-7C70-4EF5-A7D6-4275ADB1B9C9}"/>
    <hyperlink ref="G3" r:id="rId10" display="https://xrspace.atlassian.net/issues/?jql=created+%3E%3D+2025-01-01+AND+created+%3C%3D+2025-12-31+AND+type+%3D+Bug+AND+project+%3D+SOVA+AND+Sprint+%3D+1466+AND+status+%3D+%22Done+%28100%25%29%22" xr:uid="{0175568A-C68E-460F-90CD-02FAF7E98D6D}"/>
    <hyperlink ref="E3" r:id="rId11" display="https://xrspace.atlassian.net/issues/?jql=created+%3E%3D+2025-01-01+AND+created+%3C%3D+2025-12-31+AND+type+%3D+Bug+AND+project+%3D+SOVA+AND+Sprint+%3D+1466+AND+status+%3D+%22IN+REVIEW+%2880%25%29%22" xr:uid="{E1955EC9-2662-4781-981F-07B18FE6E61F}"/>
    <hyperlink ref="H3" r:id="rId12" display="https://xrspace.atlassian.net/issues/?jql=created+%3E%3D+2025-01-01+AND+created+%3C%3D+2025-12-31+AND+type+%3D+Bug+AND+project+%3D+SOVA+AND+Sprint+%3D+1466+AND+status+%3D+%22WON%27T+DO+%28100%25%29%22" xr:uid="{03333F58-04E5-4520-B29F-9B19ADA187AD}"/>
    <hyperlink ref="C3" r:id="rId13" display="https://xrspace.atlassian.net/issues/?jql=created+%3E%3D+2025-01-01+AND+created+%3C%3D+2025-12-31+AND+type+%3D+Bug+AND+project+%3D+SOVA+AND+Sprint+%3D+1466+AND+status+%3D+%22STARTING+%2810+%7E+40%25%29%22" xr:uid="{94718DCE-5091-4FB1-A8AD-7ACBD750B2F8}"/>
    <hyperlink ref="F3" r:id="rId14" display="https://xrspace.atlassian.net/issues/?jql=created+%3E%3D+2025-01-01+AND+created+%3C%3D+2025-12-31+AND+type+%3D+Bug+AND+project+%3D+SOVA+AND+Sprint+%3D+1466+AND+status+%3D+%22READY+FOR+TESTING+%2890%25%29%22" xr:uid="{5BBF5D74-CDDB-4B9D-B7FD-5878D025748D}"/>
    <hyperlink ref="B4" r:id="rId15" display="https://xrspace.atlassian.net/issues/?jql=created+%3E%3D+2025-01-01+AND+created+%3C%3D+2025-12-31+AND+type+%3D+Bug+AND+project+%3D+SOVA+AND+Sprint+%3D+1496+AND+status+%3D+%22To+Do+%280%25%29%22" xr:uid="{6F34D868-8AA4-4E5D-B274-4D5A51187B32}"/>
    <hyperlink ref="D4" r:id="rId16" display="https://xrspace.atlassian.net/issues/?jql=created+%3E%3D+2025-01-01+AND+created+%3C%3D+2025-12-31+AND+type+%3D+Bug+AND+project+%3D+SOVA+AND+Sprint+%3D+1496+AND+status+%3D+%22In+Progress+%2850+%7E+70%25%29%22" xr:uid="{BC7A56E4-0CAF-4A16-AC76-4203B1287904}"/>
    <hyperlink ref="G4" r:id="rId17" display="https://xrspace.atlassian.net/issues/?jql=created+%3E%3D+2025-01-01+AND+created+%3C%3D+2025-12-31+AND+type+%3D+Bug+AND+project+%3D+SOVA+AND+Sprint+%3D+1496+AND+status+%3D+%22Done+%28100%25%29%22" xr:uid="{0011C699-23E7-4061-B1A1-3019F7EEA002}"/>
    <hyperlink ref="E4" r:id="rId18" display="https://xrspace.atlassian.net/issues/?jql=created+%3E%3D+2025-01-01+AND+created+%3C%3D+2025-12-31+AND+type+%3D+Bug+AND+project+%3D+SOVA+AND+Sprint+%3D+1496+AND+status+%3D+%22IN+REVIEW+%2880%25%29%22" xr:uid="{9019A726-D83E-44DD-B45A-2A7296ACD4E5}"/>
    <hyperlink ref="H4" r:id="rId19" display="https://xrspace.atlassian.net/issues/?jql=created+%3E%3D+2025-01-01+AND+created+%3C%3D+2025-12-31+AND+type+%3D+Bug+AND+project+%3D+SOVA+AND+Sprint+%3D+1496+AND+status+%3D+%22WON%27T+DO+%28100%25%29%22" xr:uid="{BBC4A853-E235-438A-8DA1-6581842B9D98}"/>
    <hyperlink ref="C4" r:id="rId20" display="https://xrspace.atlassian.net/issues/?jql=created+%3E%3D+2025-01-01+AND+created+%3C%3D+2025-12-31+AND+type+%3D+Bug+AND+project+%3D+SOVA+AND+Sprint+%3D+1496+AND+status+%3D+%22STARTING+%2810+%7E+40%25%29%22" xr:uid="{3D46D56E-EF58-4E8B-B588-3C64333AFDBC}"/>
    <hyperlink ref="F4" r:id="rId21" display="https://xrspace.atlassian.net/issues/?jql=created+%3E%3D+2025-01-01+AND+created+%3C%3D+2025-12-31+AND+type+%3D+Bug+AND+project+%3D+SOVA+AND+Sprint+%3D+1496+AND+status+%3D+%22READY+FOR+TESTING+%2890%25%29%22" xr:uid="{849B8E8B-62BF-4B4F-B7F9-3B256CDB1968}"/>
    <hyperlink ref="B5" r:id="rId22" display="https://xrspace.atlassian.net/issues/?jql=created+%3E%3D+2025-01-01+AND+created+%3C%3D+2025-12-31+AND+type+%3D+Bug+AND+project+%3D+SOVA+AND+Sprint+%3D+1497+AND+status+%3D+%22To+Do+%280%25%29%22" xr:uid="{2640E33F-B781-40BC-80AF-A37A4F9F346E}"/>
    <hyperlink ref="D5" r:id="rId23" display="https://xrspace.atlassian.net/issues/?jql=created+%3E%3D+2025-01-01+AND+created+%3C%3D+2025-12-31+AND+type+%3D+Bug+AND+project+%3D+SOVA+AND+Sprint+%3D+1497+AND+status+%3D+%22In+Progress+%2850+%7E+70%25%29%22" xr:uid="{106E9DF6-3AC3-4C1E-9A06-C17101B950F5}"/>
    <hyperlink ref="G5" r:id="rId24" display="https://xrspace.atlassian.net/issues/?jql=created+%3E%3D+2025-01-01+AND+created+%3C%3D+2025-12-31+AND+type+%3D+Bug+AND+project+%3D+SOVA+AND+Sprint+%3D+1497+AND+status+%3D+%22Done+%28100%25%29%22" xr:uid="{477E7846-A127-4359-BF3B-933D90D4C117}"/>
    <hyperlink ref="E5" r:id="rId25" display="https://xrspace.atlassian.net/issues/?jql=created+%3E%3D+2025-01-01+AND+created+%3C%3D+2025-12-31+AND+type+%3D+Bug+AND+project+%3D+SOVA+AND+Sprint+%3D+1497+AND+status+%3D+%22IN+REVIEW+%2880%25%29%22" xr:uid="{F9B75119-F016-4B7D-8E5A-55D450BB352D}"/>
    <hyperlink ref="H5" r:id="rId26" display="https://xrspace.atlassian.net/issues/?jql=created+%3E%3D+2025-01-01+AND+created+%3C%3D+2025-12-31+AND+type+%3D+Bug+AND+project+%3D+SOVA+AND+Sprint+%3D+1497+AND+status+%3D+%22WON%27T+DO+%28100%25%29%22" xr:uid="{85B64B17-2151-49F3-92D9-6834E11625AE}"/>
    <hyperlink ref="C5" r:id="rId27" display="https://xrspace.atlassian.net/issues/?jql=created+%3E%3D+2025-01-01+AND+created+%3C%3D+2025-12-31+AND+type+%3D+Bug+AND+project+%3D+SOVA+AND+Sprint+%3D+1497+AND+status+%3D+%22STARTING+%2810+%7E+40%25%29%22" xr:uid="{EAC91E1D-7AB9-4BA3-9458-42772715B425}"/>
    <hyperlink ref="F5" r:id="rId28" display="https://xrspace.atlassian.net/issues/?jql=created+%3E%3D+2025-01-01+AND+created+%3C%3D+2025-12-31+AND+type+%3D+Bug+AND+project+%3D+SOVA+AND+Sprint+%3D+1497+AND+status+%3D+%22READY+FOR+TESTING+%2890%25%29%22" xr:uid="{72C8FCBB-C513-4D48-94EF-69E2820E0FB3}"/>
    <hyperlink ref="B6" r:id="rId29" display="https://xrspace.atlassian.net/issues/?jql=created+%3E%3D+2025-01-01+AND+created+%3C%3D+2025-12-31+AND+type+%3D+Bug+AND+project+%3D+SOVA+AND+Sprint+%3D+1498+AND+status+%3D+%22To+Do+%280%25%29%22" xr:uid="{D923447A-799B-4F00-8A7C-F07B597D6040}"/>
    <hyperlink ref="D6" r:id="rId30" display="https://xrspace.atlassian.net/issues/?jql=created+%3E%3D+2025-01-01+AND+created+%3C%3D+2025-12-31+AND+type+%3D+Bug+AND+project+%3D+SOVA+AND+Sprint+%3D+1498+AND+status+%3D+%22In+Progress+%2850+%7E+70%25%29%22" xr:uid="{E34720DB-6FA9-4DBB-B372-7931747DDFFE}"/>
    <hyperlink ref="G6" r:id="rId31" display="https://xrspace.atlassian.net/issues/?jql=created+%3E%3D+2025-01-01+AND+created+%3C%3D+2025-12-31+AND+type+%3D+Bug+AND+project+%3D+SOVA+AND+Sprint+%3D+1498+AND+status+%3D+%22Done+%28100%25%29%22" xr:uid="{7F3D47E6-F23A-454F-B909-6CA326F98D61}"/>
    <hyperlink ref="E6" r:id="rId32" display="https://xrspace.atlassian.net/issues/?jql=created+%3E%3D+2025-01-01+AND+created+%3C%3D+2025-12-31+AND+type+%3D+Bug+AND+project+%3D+SOVA+AND+Sprint+%3D+1498+AND+status+%3D+%22IN+REVIEW+%2880%25%29%22" xr:uid="{CE3D196B-E0AC-4471-AA64-2186F0AD5204}"/>
    <hyperlink ref="H6" r:id="rId33" display="https://xrspace.atlassian.net/issues/?jql=created+%3E%3D+2025-01-01+AND+created+%3C%3D+2025-12-31+AND+type+%3D+Bug+AND+project+%3D+SOVA+AND+Sprint+%3D+1498+AND+status+%3D+%22WON%27T+DO+%28100%25%29%22" xr:uid="{CFC59BC3-8C47-4E39-A5A8-B49F4103A979}"/>
    <hyperlink ref="C6" r:id="rId34" display="https://xrspace.atlassian.net/issues/?jql=created+%3E%3D+2025-01-01+AND+created+%3C%3D+2025-12-31+AND+type+%3D+Bug+AND+project+%3D+SOVA+AND+Sprint+%3D+1498+AND+status+%3D+%22STARTING+%2810+%7E+40%25%29%22" xr:uid="{593C1444-916B-44C8-AFFE-9969C6E8CF3C}"/>
    <hyperlink ref="F6" r:id="rId35" display="https://xrspace.atlassian.net/issues/?jql=created+%3E%3D+2025-01-01+AND+created+%3C%3D+2025-12-31+AND+type+%3D+Bug+AND+project+%3D+SOVA+AND+Sprint+%3D+1498+AND+status+%3D+%22READY+FOR+TESTING+%2890%25%29%22" xr:uid="{077F309C-0C6E-4625-AF48-2974B7F20E45}"/>
    <hyperlink ref="B7" r:id="rId36" display="https://xrspace.atlassian.net/issues/?jql=created+%3E%3D+2025-01-01+AND+created+%3C%3D+2025-12-31+AND+type+%3D+Bug+AND+project+%3D+SOVA+AND+Sprint+%3D+1499+AND+status+%3D+%22To+Do+%280%25%29%22" xr:uid="{11821BF4-F2B4-4B3D-8D87-9439527BECE7}"/>
    <hyperlink ref="D7" r:id="rId37" display="https://xrspace.atlassian.net/issues/?jql=created+%3E%3D+2025-01-01+AND+created+%3C%3D+2025-12-31+AND+type+%3D+Bug+AND+project+%3D+SOVA+AND+Sprint+%3D+1499+AND+status+%3D+%22In+Progress+%2850+%7E+70%25%29%22" xr:uid="{90E7562E-925F-42CF-AC2E-24C22915EBCE}"/>
    <hyperlink ref="G7" r:id="rId38" display="https://xrspace.atlassian.net/issues/?jql=created+%3E%3D+2025-01-01+AND+created+%3C%3D+2025-12-31+AND+type+%3D+Bug+AND+project+%3D+SOVA+AND+Sprint+%3D+1499+AND+status+%3D+%22Done+%28100%25%29%22" xr:uid="{F65E3B61-7B4D-48D3-9503-C11AABB50EAB}"/>
    <hyperlink ref="E7" r:id="rId39" display="https://xrspace.atlassian.net/issues/?jql=created+%3E%3D+2025-01-01+AND+created+%3C%3D+2025-12-31+AND+type+%3D+Bug+AND+project+%3D+SOVA+AND+Sprint+%3D+1499+AND+status+%3D+%22IN+REVIEW+%2880%25%29%22" xr:uid="{4D10A65B-B9AD-4EA2-9C84-9D5AB073F886}"/>
    <hyperlink ref="H7" r:id="rId40" display="https://xrspace.atlassian.net/issues/?jql=created+%3E%3D+2025-01-01+AND+created+%3C%3D+2025-12-31+AND+type+%3D+Bug+AND+project+%3D+SOVA+AND+Sprint+%3D+1499+AND+status+%3D+%22WON%27T+DO+%28100%25%29%22" xr:uid="{41674515-D8A6-4278-893E-EE0BA4AF8DBC}"/>
    <hyperlink ref="C7" r:id="rId41" display="https://xrspace.atlassian.net/issues/?jql=created+%3E%3D+2025-01-01+AND+created+%3C%3D+2025-12-31+AND+type+%3D+Bug+AND+project+%3D+SOVA+AND+Sprint+%3D+1499+AND+status+%3D+%22STARTING+%2810+%7E+40%25%29%22" xr:uid="{70649348-8132-4CCF-915B-8F0A1DC01E99}"/>
    <hyperlink ref="F7" r:id="rId42" display="https://xrspace.atlassian.net/issues/?jql=created+%3E%3D+2025-01-01+AND+created+%3C%3D+2025-12-31+AND+type+%3D+Bug+AND+project+%3D+SOVA+AND+Sprint+%3D+1499+AND+status+%3D+%22READY+FOR+TESTING+%2890%25%29%22" xr:uid="{3555BBD3-FC5D-44E4-898F-0D91CF6C1346}"/>
    <hyperlink ref="B8" r:id="rId43" display="https://xrspace.atlassian.net/issues/?jql=created+%3E%3D+2025-01-01+AND+created+%3C%3D+2025-12-31+AND+type+%3D+Bug+AND+project+%3D+SOVA+AND+Sprint+%3D+2156+AND+status+%3D+%22To+Do+%280%25%29%22" xr:uid="{183510AC-73BD-4CD4-B5DC-67B170338DAB}"/>
    <hyperlink ref="D8" r:id="rId44" display="https://xrspace.atlassian.net/issues/?jql=created+%3E%3D+2025-01-01+AND+created+%3C%3D+2025-12-31+AND+type+%3D+Bug+AND+project+%3D+SOVA+AND+Sprint+%3D+2156+AND+status+%3D+%22In+Progress+%2850+%7E+70%25%29%22" xr:uid="{68F846C1-FCA4-46AA-AF2A-B3FDE32EF748}"/>
    <hyperlink ref="G8" r:id="rId45" display="https://xrspace.atlassian.net/issues/?jql=created+%3E%3D+2025-01-01+AND+created+%3C%3D+2025-12-31+AND+type+%3D+Bug+AND+project+%3D+SOVA+AND+Sprint+%3D+2156+AND+status+%3D+%22Done+%28100%25%29%22" xr:uid="{4FF5B187-DC98-4AC9-AC01-82D92095DBFB}"/>
    <hyperlink ref="E8" r:id="rId46" display="https://xrspace.atlassian.net/issues/?jql=created+%3E%3D+2025-01-01+AND+created+%3C%3D+2025-12-31+AND+type+%3D+Bug+AND+project+%3D+SOVA+AND+Sprint+%3D+2156+AND+status+%3D+%22IN+REVIEW+%2880%25%29%22" xr:uid="{5599E6FB-F36E-4BB6-9F6E-3D698A707796}"/>
    <hyperlink ref="H8" r:id="rId47" display="https://xrspace.atlassian.net/issues/?jql=created+%3E%3D+2025-01-01+AND+created+%3C%3D+2025-12-31+AND+type+%3D+Bug+AND+project+%3D+SOVA+AND+Sprint+%3D+2156+AND+status+%3D+%22WON%27T+DO+%28100%25%29%22" xr:uid="{3F7C1D39-58B5-4F28-9B1B-160CEB77B92F}"/>
    <hyperlink ref="C8" r:id="rId48" display="https://xrspace.atlassian.net/issues/?jql=created+%3E%3D+2025-01-01+AND+created+%3C%3D+2025-12-31+AND+type+%3D+Bug+AND+project+%3D+SOVA+AND+Sprint+%3D+2156+AND+status+%3D+%22STARTING+%2810+%7E+40%25%29%22" xr:uid="{51573E66-6C68-4ED3-9FA0-7C5F8FF8FA49}"/>
    <hyperlink ref="F8" r:id="rId49" display="https://xrspace.atlassian.net/issues/?jql=created+%3E%3D+2025-01-01+AND+created+%3C%3D+2025-12-31+AND+type+%3D+Bug+AND+project+%3D+SOVA+AND+Sprint+%3D+2156+AND+status+%3D+%22READY+FOR+TESTING+%2890%25%29%22" xr:uid="{49468636-BEC6-452D-9EB1-352E051A8359}"/>
    <hyperlink ref="B9" r:id="rId50" display="https://xrspace.atlassian.net/issues/?jql=created+%3E%3D+2025-01-01+AND+created+%3C%3D+2025-12-31+AND+type+%3D+Bug+AND+project+%3D+SOVA+AND+Sprint+%3D+2157+AND+status+%3D+%22To+Do+%280%25%29%22" xr:uid="{7A62D1FE-EFD9-4D12-854F-1A2A0077924A}"/>
    <hyperlink ref="D9" r:id="rId51" display="https://xrspace.atlassian.net/issues/?jql=created+%3E%3D+2025-01-01+AND+created+%3C%3D+2025-12-31+AND+type+%3D+Bug+AND+project+%3D+SOVA+AND+Sprint+%3D+2157+AND+status+%3D+%22In+Progress+%2850+%7E+70%25%29%22" xr:uid="{4025B32F-2A64-4386-8742-4E61075F9583}"/>
    <hyperlink ref="G9" r:id="rId52" display="https://xrspace.atlassian.net/issues/?jql=created+%3E%3D+2025-01-01+AND+created+%3C%3D+2025-12-31+AND+type+%3D+Bug+AND+project+%3D+SOVA+AND+Sprint+%3D+2157+AND+status+%3D+%22Done+%28100%25%29%22" xr:uid="{849AADD0-6BB2-443A-B2DF-179543C96A61}"/>
    <hyperlink ref="E9" r:id="rId53" display="https://xrspace.atlassian.net/issues/?jql=created+%3E%3D+2025-01-01+AND+created+%3C%3D+2025-12-31+AND+type+%3D+Bug+AND+project+%3D+SOVA+AND+Sprint+%3D+2157+AND+status+%3D+%22IN+REVIEW+%2880%25%29%22" xr:uid="{AD1BCC61-16AA-4BD6-A7F1-A9444D019E73}"/>
    <hyperlink ref="H9" r:id="rId54" display="https://xrspace.atlassian.net/issues/?jql=created+%3E%3D+2025-01-01+AND+created+%3C%3D+2025-12-31+AND+type+%3D+Bug+AND+project+%3D+SOVA+AND+Sprint+%3D+2157+AND+status+%3D+%22WON%27T+DO+%28100%25%29%22" xr:uid="{73ED2016-EA8D-4364-A8D1-32085CB14BF6}"/>
    <hyperlink ref="C9" r:id="rId55" display="https://xrspace.atlassian.net/issues/?jql=created+%3E%3D+2025-01-01+AND+created+%3C%3D+2025-12-31+AND+type+%3D+Bug+AND+project+%3D+SOVA+AND+Sprint+%3D+2157+AND+status+%3D+%22STARTING+%2810+%7E+40%25%29%22" xr:uid="{B684BF3B-705C-4D97-B255-1850AECABB5E}"/>
    <hyperlink ref="F9" r:id="rId56" display="https://xrspace.atlassian.net/issues/?jql=created+%3E%3D+2025-01-01+AND+created+%3C%3D+2025-12-31+AND+type+%3D+Bug+AND+project+%3D+SOVA+AND+Sprint+%3D+2157+AND+status+%3D+%22READY+FOR+TESTING+%2890%25%29%22" xr:uid="{2F264E41-189E-4E7D-91D7-10D30659B26D}"/>
    <hyperlink ref="B10" r:id="rId57" display="https://xrspace.atlassian.net/issues/?jql=created+%3E%3D+2025-01-01+AND+created+%3C%3D+2025-12-31+AND+type+%3D+Bug+AND+project+%3D+SOVA+AND+Sprint+%3D+2618+AND+status+%3D+%22To+Do+%280%25%29%22" xr:uid="{F763867A-9498-4858-B92F-26DE35A7D249}"/>
    <hyperlink ref="D10" r:id="rId58" display="https://xrspace.atlassian.net/issues/?jql=created+%3E%3D+2025-01-01+AND+created+%3C%3D+2025-12-31+AND+type+%3D+Bug+AND+project+%3D+SOVA+AND+Sprint+%3D+2618+AND+status+%3D+%22In+Progress+%2850+%7E+70%25%29%22" xr:uid="{714DD6A5-55D4-4C95-82A6-CA7117B96291}"/>
    <hyperlink ref="G10" r:id="rId59" display="https://xrspace.atlassian.net/issues/?jql=created+%3E%3D+2025-01-01+AND+created+%3C%3D+2025-12-31+AND+type+%3D+Bug+AND+project+%3D+SOVA+AND+Sprint+%3D+2618+AND+status+%3D+%22Done+%28100%25%29%22" xr:uid="{918D973A-3D98-40E9-B63E-E6AB98150DE5}"/>
    <hyperlink ref="E10" r:id="rId60" display="https://xrspace.atlassian.net/issues/?jql=created+%3E%3D+2025-01-01+AND+created+%3C%3D+2025-12-31+AND+type+%3D+Bug+AND+project+%3D+SOVA+AND+Sprint+%3D+2618+AND+status+%3D+%22IN+REVIEW+%2880%25%29%22" xr:uid="{0F9F6E0C-31B0-4303-AE1A-C629E740A4E7}"/>
    <hyperlink ref="H10" r:id="rId61" display="https://xrspace.atlassian.net/issues/?jql=created+%3E%3D+2025-01-01+AND+created+%3C%3D+2025-12-31+AND+type+%3D+Bug+AND+project+%3D+SOVA+AND+Sprint+%3D+2618+AND+status+%3D+%22WON%27T+DO+%28100%25%29%22" xr:uid="{BECC1DB3-177F-4163-99FA-9DEE79F1FC45}"/>
    <hyperlink ref="C10" r:id="rId62" display="https://xrspace.atlassian.net/issues/?jql=created+%3E%3D+2025-01-01+AND+created+%3C%3D+2025-12-31+AND+type+%3D+Bug+AND+project+%3D+SOVA+AND+Sprint+%3D+2618+AND+status+%3D+%22STARTING+%2810+%7E+40%25%29%22" xr:uid="{FF0D4A87-68C6-4F72-A338-23F6766DD699}"/>
    <hyperlink ref="F10" r:id="rId63" display="https://xrspace.atlassian.net/issues/?jql=created+%3E%3D+2025-01-01+AND+created+%3C%3D+2025-12-31+AND+type+%3D+Bug+AND+project+%3D+SOVA+AND+Sprint+%3D+2618+AND+status+%3D+%22READY+FOR+TESTING+%2890%25%29%22" xr:uid="{B9676265-F1D2-4F76-A317-A067340171A8}"/>
    <hyperlink ref="B11" r:id="rId64" display="https://xrspace.atlassian.net/issues/?jql=created+%3E%3D+2025-01-01+AND+created+%3C%3D+2025-12-31+AND+type+%3D+Bug+AND+project+%3D+SOVA+AND+Sprint+%3D+2619+AND+status+%3D+%22To+Do+%280%25%29%22" xr:uid="{E9812297-7995-4ADD-9899-14A02E00A6C8}"/>
    <hyperlink ref="D11" r:id="rId65" display="https://xrspace.atlassian.net/issues/?jql=created+%3E%3D+2025-01-01+AND+created+%3C%3D+2025-12-31+AND+type+%3D+Bug+AND+project+%3D+SOVA+AND+Sprint+%3D+2619+AND+status+%3D+%22In+Progress+%2850+%7E+70%25%29%22" xr:uid="{053A99AD-D1DE-4175-B9BC-98D06CA1B9C7}"/>
    <hyperlink ref="G11" r:id="rId66" display="https://xrspace.atlassian.net/issues/?jql=created+%3E%3D+2025-01-01+AND+created+%3C%3D+2025-12-31+AND+type+%3D+Bug+AND+project+%3D+SOVA+AND+Sprint+%3D+2619+AND+status+%3D+%22Done+%28100%25%29%22" xr:uid="{EA48CD53-64F2-44BC-84EA-D52676FA6CDF}"/>
    <hyperlink ref="E11" r:id="rId67" display="https://xrspace.atlassian.net/issues/?jql=created+%3E%3D+2025-01-01+AND+created+%3C%3D+2025-12-31+AND+type+%3D+Bug+AND+project+%3D+SOVA+AND+Sprint+%3D+2619+AND+status+%3D+%22IN+REVIEW+%2880%25%29%22" xr:uid="{F488320E-6B5E-4B81-9A8E-FC682A495668}"/>
    <hyperlink ref="H11" r:id="rId68" display="https://xrspace.atlassian.net/issues/?jql=created+%3E%3D+2025-01-01+AND+created+%3C%3D+2025-12-31+AND+type+%3D+Bug+AND+project+%3D+SOVA+AND+Sprint+%3D+2619+AND+status+%3D+%22WON%27T+DO+%28100%25%29%22" xr:uid="{B1168C68-7C21-47C6-AFB4-C7351049D3F1}"/>
    <hyperlink ref="C11" r:id="rId69" display="https://xrspace.atlassian.net/issues/?jql=created+%3E%3D+2025-01-01+AND+created+%3C%3D+2025-12-31+AND+type+%3D+Bug+AND+project+%3D+SOVA+AND+Sprint+%3D+2619+AND+status+%3D+%22STARTING+%2810+%7E+40%25%29%22" xr:uid="{63E64A4A-502A-4F53-ABD0-D0604C800D29}"/>
    <hyperlink ref="F11" r:id="rId70" display="https://xrspace.atlassian.net/issues/?jql=created+%3E%3D+2025-01-01+AND+created+%3C%3D+2025-12-31+AND+type+%3D+Bug+AND+project+%3D+SOVA+AND+Sprint+%3D+2619+AND+status+%3D+%22READY+FOR+TESTING+%2890%25%29%22" xr:uid="{242805CA-90B3-43CB-B1FF-9E89A03A034F}"/>
    <hyperlink ref="B12" r:id="rId71" display="https://xrspace.atlassian.net/issues/?jql=created+%3E%3D+2025-01-01+AND+created+%3C%3D+2025-12-31+AND+type+%3D+Bug+AND+project+%3D+SOVA+AND+Sprint+%3D+2882+AND+status+%3D+%22To+Do+%280%25%29%22" xr:uid="{EF06AEE7-8CE4-45EB-80DA-28020CD0FC89}"/>
    <hyperlink ref="D12" r:id="rId72" display="https://xrspace.atlassian.net/issues/?jql=created+%3E%3D+2025-01-01+AND+created+%3C%3D+2025-12-31+AND+type+%3D+Bug+AND+project+%3D+SOVA+AND+Sprint+%3D+2882+AND+status+%3D+%22In+Progress+%2850+%7E+70%25%29%22" xr:uid="{7B68288F-BC71-4E8B-8920-6E077B899A33}"/>
    <hyperlink ref="G12" r:id="rId73" display="https://xrspace.atlassian.net/issues/?jql=created+%3E%3D+2025-01-01+AND+created+%3C%3D+2025-12-31+AND+type+%3D+Bug+AND+project+%3D+SOVA+AND+Sprint+%3D+2882+AND+status+%3D+%22Done+%28100%25%29%22" xr:uid="{E6EA48DE-F418-4F7B-AD8F-DCE6868C78E9}"/>
    <hyperlink ref="E12" r:id="rId74" display="https://xrspace.atlassian.net/issues/?jql=created+%3E%3D+2025-01-01+AND+created+%3C%3D+2025-12-31+AND+type+%3D+Bug+AND+project+%3D+SOVA+AND+Sprint+%3D+2882+AND+status+%3D+%22IN+REVIEW+%2880%25%29%22" xr:uid="{36ADFF6D-E906-42B2-A34C-F6E27558D417}"/>
    <hyperlink ref="H12" r:id="rId75" display="https://xrspace.atlassian.net/issues/?jql=created+%3E%3D+2025-01-01+AND+created+%3C%3D+2025-12-31+AND+type+%3D+Bug+AND+project+%3D+SOVA+AND+Sprint+%3D+2882+AND+status+%3D+%22WON%27T+DO+%28100%25%29%22" xr:uid="{2C278A5A-ACAC-41C0-BECD-F858484D2C6E}"/>
    <hyperlink ref="C12" r:id="rId76" display="https://xrspace.atlassian.net/issues/?jql=created+%3E%3D+2025-01-01+AND+created+%3C%3D+2025-12-31+AND+type+%3D+Bug+AND+project+%3D+SOVA+AND+Sprint+%3D+2882+AND+status+%3D+%22STARTING+%2810+%7E+40%25%29%22" xr:uid="{6D65B129-DAA7-4ADF-A1B3-03F26801957E}"/>
    <hyperlink ref="F12" r:id="rId77" display="https://xrspace.atlassian.net/issues/?jql=created+%3E%3D+2025-01-01+AND+created+%3C%3D+2025-12-31+AND+type+%3D+Bug+AND+project+%3D+SOVA+AND+Sprint+%3D+2882+AND+status+%3D+%22READY+FOR+TESTING+%2890%25%29%22" xr:uid="{8FC13933-7F1F-4E6E-8424-AC23C06B50C7}"/>
    <hyperlink ref="B13" r:id="rId78" display="https://xrspace.atlassian.net/issues/?jql=created+%3E%3D+2025-01-01+AND+created+%3C%3D+2025-12-31+AND+type+%3D+Bug+AND+project+%3D+SOVA+AND+Sprint+%3D+3213+AND+status+%3D+%22To+Do+%280%25%29%22" xr:uid="{4C9D576F-25D4-44F9-A037-F38EFC11ABD7}"/>
    <hyperlink ref="D13" r:id="rId79" display="https://xrspace.atlassian.net/issues/?jql=created+%3E%3D+2025-01-01+AND+created+%3C%3D+2025-12-31+AND+type+%3D+Bug+AND+project+%3D+SOVA+AND+Sprint+%3D+3213+AND+status+%3D+%22In+Progress+%2850+%7E+70%25%29%22" xr:uid="{A4F55964-6CD3-4651-A260-160487FC96E3}"/>
    <hyperlink ref="G13" r:id="rId80" display="https://xrspace.atlassian.net/issues/?jql=created+%3E%3D+2025-01-01+AND+created+%3C%3D+2025-12-31+AND+type+%3D+Bug+AND+project+%3D+SOVA+AND+Sprint+%3D+3213+AND+status+%3D+%22Done+%28100%25%29%22" xr:uid="{70F705C5-68C8-4CDA-8D61-621D79F63B36}"/>
    <hyperlink ref="E13" r:id="rId81" display="https://xrspace.atlassian.net/issues/?jql=created+%3E%3D+2025-01-01+AND+created+%3C%3D+2025-12-31+AND+type+%3D+Bug+AND+project+%3D+SOVA+AND+Sprint+%3D+3213+AND+status+%3D+%22IN+REVIEW+%2880%25%29%22" xr:uid="{DAE86411-A4A1-44EB-AC9E-F2CA541120C5}"/>
    <hyperlink ref="H13" r:id="rId82" display="https://xrspace.atlassian.net/issues/?jql=created+%3E%3D+2025-01-01+AND+created+%3C%3D+2025-12-31+AND+type+%3D+Bug+AND+project+%3D+SOVA+AND+Sprint+%3D+3213+AND+status+%3D+%22WON%27T+DO+%28100%25%29%22" xr:uid="{F17E64C0-FF27-4ACD-986C-CE837ABE60F4}"/>
    <hyperlink ref="C13" r:id="rId83" display="https://xrspace.atlassian.net/issues/?jql=created+%3E%3D+2025-01-01+AND+created+%3C%3D+2025-12-31+AND+type+%3D+Bug+AND+project+%3D+SOVA+AND+Sprint+%3D+3213+AND+status+%3D+%22STARTING+%2810+%7E+40%25%29%22" xr:uid="{1FDB3F03-B2BF-47AF-9CF1-FD34BC29B65C}"/>
    <hyperlink ref="F13" r:id="rId84" display="https://xrspace.atlassian.net/issues/?jql=created+%3E%3D+2025-01-01+AND+created+%3C%3D+2025-12-31+AND+type+%3D+Bug+AND+project+%3D+SOVA+AND+Sprint+%3D+3213+AND+status+%3D+%22READY+FOR+TESTING+%2890%25%29%22" xr:uid="{62339D14-DFCB-4093-9D95-D20FE6049D73}"/>
    <hyperlink ref="B14" r:id="rId85" display="https://xrspace.atlassian.net/issues/?jql=created+%3E%3D+2025-01-01+AND+created+%3C%3D+2025-12-31+AND+type+%3D+Bug+AND+project+%3D+SOVA+AND+Sprint+%3D+3245+AND+status+%3D+%22To+Do+%280%25%29%22" xr:uid="{D3F25F1A-E3C5-4E20-8031-CCC312B21FE8}"/>
    <hyperlink ref="D14" r:id="rId86" display="https://xrspace.atlassian.net/issues/?jql=created+%3E%3D+2025-01-01+AND+created+%3C%3D+2025-12-31+AND+type+%3D+Bug+AND+project+%3D+SOVA+AND+Sprint+%3D+3245+AND+status+%3D+%22In+Progress+%2850+%7E+70%25%29%22" xr:uid="{781DE765-63DA-4523-8876-2FF39E1ABD81}"/>
    <hyperlink ref="G14" r:id="rId87" display="https://xrspace.atlassian.net/issues/?jql=created+%3E%3D+2025-01-01+AND+created+%3C%3D+2025-12-31+AND+type+%3D+Bug+AND+project+%3D+SOVA+AND+Sprint+%3D+3245+AND+status+%3D+%22Done+%28100%25%29%22" xr:uid="{BBACFF2E-77E1-4353-954A-BDB4481C2A34}"/>
    <hyperlink ref="E14" r:id="rId88" display="https://xrspace.atlassian.net/issues/?jql=created+%3E%3D+2025-01-01+AND+created+%3C%3D+2025-12-31+AND+type+%3D+Bug+AND+project+%3D+SOVA+AND+Sprint+%3D+3245+AND+status+%3D+%22IN+REVIEW+%2880%25%29%22" xr:uid="{0DF1E846-4C7E-4798-A698-6E2CC7588CC6}"/>
    <hyperlink ref="H14" r:id="rId89" display="https://xrspace.atlassian.net/issues/?jql=created+%3E%3D+2025-01-01+AND+created+%3C%3D+2025-12-31+AND+type+%3D+Bug+AND+project+%3D+SOVA+AND+Sprint+%3D+3245+AND+status+%3D+%22WON%27T+DO+%28100%25%29%22" xr:uid="{1DB2C014-9960-470A-8330-AC7ED556F8F6}"/>
    <hyperlink ref="C14" r:id="rId90" display="https://xrspace.atlassian.net/issues/?jql=created+%3E%3D+2025-01-01+AND+created+%3C%3D+2025-12-31+AND+type+%3D+Bug+AND+project+%3D+SOVA+AND+Sprint+%3D+3245+AND+status+%3D+%22STARTING+%2810+%7E+40%25%29%22" xr:uid="{734D8813-C5A5-4BBA-89FC-3C9A2008AD1E}"/>
    <hyperlink ref="F14" r:id="rId91" display="https://xrspace.atlassian.net/issues/?jql=created+%3E%3D+2025-01-01+AND+created+%3C%3D+2025-12-31+AND+type+%3D+Bug+AND+project+%3D+SOVA+AND+Sprint+%3D+3245+AND+status+%3D+%22READY+FOR+TESTING+%2890%25%29%22" xr:uid="{31B4832F-AB0B-4725-A23A-4BB7BDD34A8A}"/>
    <hyperlink ref="B15" r:id="rId92" display="https://xrspace.atlassian.net/issues/?jql=created+%3E%3D+2025-01-01+AND+created+%3C%3D+2025-12-31+AND+type+%3D+Bug+AND+project+%3D+SOVA+AND+Sprint+%3D+3246+AND+status+%3D+%22To+Do+%280%25%29%22" xr:uid="{34313924-7F34-4C5D-9491-ECF85D1AB506}"/>
    <hyperlink ref="D15" r:id="rId93" display="https://xrspace.atlassian.net/issues/?jql=created+%3E%3D+2025-01-01+AND+created+%3C%3D+2025-12-31+AND+type+%3D+Bug+AND+project+%3D+SOVA+AND+Sprint+%3D+3246+AND+status+%3D+%22In+Progress+%2850+%7E+70%25%29%22" xr:uid="{0B822E4D-ABF1-4DE8-87B2-15136F37E1AF}"/>
    <hyperlink ref="G15" r:id="rId94" display="https://xrspace.atlassian.net/issues/?jql=created+%3E%3D+2025-01-01+AND+created+%3C%3D+2025-12-31+AND+type+%3D+Bug+AND+project+%3D+SOVA+AND+Sprint+%3D+3246+AND+status+%3D+%22Done+%28100%25%29%22" xr:uid="{6F2DEE3C-3A5F-443B-A171-F888AA6C0021}"/>
    <hyperlink ref="E15" r:id="rId95" display="https://xrspace.atlassian.net/issues/?jql=created+%3E%3D+2025-01-01+AND+created+%3C%3D+2025-12-31+AND+type+%3D+Bug+AND+project+%3D+SOVA+AND+Sprint+%3D+3246+AND+status+%3D+%22IN+REVIEW+%2880%25%29%22" xr:uid="{79773AB1-DAE4-4317-B453-4DC1DDC77840}"/>
    <hyperlink ref="H15" r:id="rId96" display="https://xrspace.atlassian.net/issues/?jql=created+%3E%3D+2025-01-01+AND+created+%3C%3D+2025-12-31+AND+type+%3D+Bug+AND+project+%3D+SOVA+AND+Sprint+%3D+3246+AND+status+%3D+%22WON%27T+DO+%28100%25%29%22" xr:uid="{A9CA8A88-B1F3-4627-A3EE-8612257CF0C7}"/>
    <hyperlink ref="C15" r:id="rId97" display="https://xrspace.atlassian.net/issues/?jql=created+%3E%3D+2025-01-01+AND+created+%3C%3D+2025-12-31+AND+type+%3D+Bug+AND+project+%3D+SOVA+AND+Sprint+%3D+3246+AND+status+%3D+%22STARTING+%2810+%7E+40%25%29%22" xr:uid="{E0B58346-3555-4E70-8856-9A727585B3D2}"/>
    <hyperlink ref="F15" r:id="rId98" display="https://xrspace.atlassian.net/issues/?jql=created+%3E%3D+2025-01-01+AND+created+%3C%3D+2025-12-31+AND+type+%3D+Bug+AND+project+%3D+SOVA+AND+Sprint+%3D+3246+AND+status+%3D+%22READY+FOR+TESTING+%2890%25%29%22" xr:uid="{B17A9F31-11DF-47FD-8302-CB9EB9F8467F}"/>
    <hyperlink ref="B16" r:id="rId99" display="https://xrspace.atlassian.net/issues/?jql=created+%3E%3D+2025-01-01+AND+created+%3C%3D+2025-12-31+AND+type+%3D+Bug+AND+project+%3D+SOVA+AND+Sprint+%3D+3575+AND+status+%3D+%22To+Do+%280%25%29%22" xr:uid="{08EB85A5-F103-4F66-8D4E-92647E610BE9}"/>
    <hyperlink ref="D16" r:id="rId100" display="https://xrspace.atlassian.net/issues/?jql=created+%3E%3D+2025-01-01+AND+created+%3C%3D+2025-12-31+AND+type+%3D+Bug+AND+project+%3D+SOVA+AND+Sprint+%3D+3575+AND+status+%3D+%22In+Progress+%2850+%7E+70%25%29%22" xr:uid="{6D85A12E-62C9-4962-BB46-ADE09B036F99}"/>
    <hyperlink ref="G16" r:id="rId101" display="https://xrspace.atlassian.net/issues/?jql=created+%3E%3D+2025-01-01+AND+created+%3C%3D+2025-12-31+AND+type+%3D+Bug+AND+project+%3D+SOVA+AND+Sprint+%3D+3575+AND+status+%3D+%22Done+%28100%25%29%22" xr:uid="{C45F9385-F181-46EC-9714-55EF2707350F}"/>
    <hyperlink ref="E16" r:id="rId102" display="https://xrspace.atlassian.net/issues/?jql=created+%3E%3D+2025-01-01+AND+created+%3C%3D+2025-12-31+AND+type+%3D+Bug+AND+project+%3D+SOVA+AND+Sprint+%3D+3575+AND+status+%3D+%22IN+REVIEW+%2880%25%29%22" xr:uid="{2C284DB7-FD7E-4970-BB34-F942D2E85328}"/>
    <hyperlink ref="H16" r:id="rId103" display="https://xrspace.atlassian.net/issues/?jql=created+%3E%3D+2025-01-01+AND+created+%3C%3D+2025-12-31+AND+type+%3D+Bug+AND+project+%3D+SOVA+AND+Sprint+%3D+3575+AND+status+%3D+%22WON%27T+DO+%28100%25%29%22" xr:uid="{31EFA3F3-F53E-48B5-AAC5-E3DBEC69DF59}"/>
    <hyperlink ref="C16" r:id="rId104" display="https://xrspace.atlassian.net/issues/?jql=created+%3E%3D+2025-01-01+AND+created+%3C%3D+2025-12-31+AND+type+%3D+Bug+AND+project+%3D+SOVA+AND+Sprint+%3D+3575+AND+status+%3D+%22STARTING+%2810+%7E+40%25%29%22" xr:uid="{41388141-3725-44FB-B33A-F86392F76360}"/>
    <hyperlink ref="F16" r:id="rId105" display="https://xrspace.atlassian.net/issues/?jql=created+%3E%3D+2025-01-01+AND+created+%3C%3D+2025-12-31+AND+type+%3D+Bug+AND+project+%3D+SOVA+AND+Sprint+%3D+3575+AND+status+%3D+%22READY+FOR+TESTING+%2890%25%29%22" xr:uid="{652CB5A3-07AC-46E7-86D5-AC71AE5F5926}"/>
    <hyperlink ref="B17" r:id="rId106" display="https://xrspace.atlassian.net/issues/?jql=created+%3E%3D+2025-01-01+AND+created+%3C%3D+2025-12-31+AND+type+%3D+Bug+AND+project+%3D+SOVA+AND+Sprint+%3D+3608+AND+status+%3D+%22To+Do+%280%25%29%22" xr:uid="{F62B488C-3958-495B-B7C4-0460B6E9E04D}"/>
    <hyperlink ref="D17" r:id="rId107" display="https://xrspace.atlassian.net/issues/?jql=created+%3E%3D+2025-01-01+AND+created+%3C%3D+2025-12-31+AND+type+%3D+Bug+AND+project+%3D+SOVA+AND+Sprint+%3D+3608+AND+status+%3D+%22In+Progress+%2850+%7E+70%25%29%22" xr:uid="{9B83EB02-419C-4754-BA52-1F03C2E0DDF5}"/>
    <hyperlink ref="G17" r:id="rId108" display="https://xrspace.atlassian.net/issues/?jql=created+%3E%3D+2025-01-01+AND+created+%3C%3D+2025-12-31+AND+type+%3D+Bug+AND+project+%3D+SOVA+AND+Sprint+%3D+3608+AND+status+%3D+%22Done+%28100%25%29%22" xr:uid="{3860F83F-3A61-4011-96F5-7BC54868A3FC}"/>
    <hyperlink ref="E17" r:id="rId109" display="https://xrspace.atlassian.net/issues/?jql=created+%3E%3D+2025-01-01+AND+created+%3C%3D+2025-12-31+AND+type+%3D+Bug+AND+project+%3D+SOVA+AND+Sprint+%3D+3608+AND+status+%3D+%22IN+REVIEW+%2880%25%29%22" xr:uid="{B1EE15D3-7B7B-4325-9CC8-D603A36A2E24}"/>
    <hyperlink ref="H17" r:id="rId110" display="https://xrspace.atlassian.net/issues/?jql=created+%3E%3D+2025-01-01+AND+created+%3C%3D+2025-12-31+AND+type+%3D+Bug+AND+project+%3D+SOVA+AND+Sprint+%3D+3608+AND+status+%3D+%22WON%27T+DO+%28100%25%29%22" xr:uid="{A878A828-630A-49BF-953A-D111C3EA01A2}"/>
    <hyperlink ref="C17" r:id="rId111" display="https://xrspace.atlassian.net/issues/?jql=created+%3E%3D+2025-01-01+AND+created+%3C%3D+2025-12-31+AND+type+%3D+Bug+AND+project+%3D+SOVA+AND+Sprint+%3D+3608+AND+status+%3D+%22STARTING+%2810+%7E+40%25%29%22" xr:uid="{D73890FC-CAE6-478D-8E90-EAACD708D5B7}"/>
    <hyperlink ref="F17" r:id="rId112" display="https://xrspace.atlassian.net/issues/?jql=created+%3E%3D+2025-01-01+AND+created+%3C%3D+2025-12-31+AND+type+%3D+Bug+AND+project+%3D+SOVA+AND+Sprint+%3D+3608+AND+status+%3D+%22READY+FOR+TESTING+%2890%25%29%22" xr:uid="{3F0559BC-0481-4B35-A0A4-6D35244B622C}"/>
    <hyperlink ref="B18" r:id="rId113" display="https://xrspace.atlassian.net/issues/?jql=created+%3E%3D+2025-01-01+AND+created+%3C%3D+2025-12-31+AND+type+%3D+Bug+AND+project+%3D+SOVA+AND+Sprint+%3D+3872+AND+status+%3D+%22To+Do+%280%25%29%22" xr:uid="{3533D27C-9C88-4C45-8B25-A90FF9716A12}"/>
    <hyperlink ref="D18" r:id="rId114" display="https://xrspace.atlassian.net/issues/?jql=created+%3E%3D+2025-01-01+AND+created+%3C%3D+2025-12-31+AND+type+%3D+Bug+AND+project+%3D+SOVA+AND+Sprint+%3D+3872+AND+status+%3D+%22In+Progress+%2850+%7E+70%25%29%22" xr:uid="{C28E6A35-3B6E-4BB2-8045-372D106A7E6F}"/>
    <hyperlink ref="G18" r:id="rId115" display="https://xrspace.atlassian.net/issues/?jql=created+%3E%3D+2025-01-01+AND+created+%3C%3D+2025-12-31+AND+type+%3D+Bug+AND+project+%3D+SOVA+AND+Sprint+%3D+3872+AND+status+%3D+%22Done+%28100%25%29%22" xr:uid="{12DD2771-48E5-4870-A1F0-073DF08CDA75}"/>
    <hyperlink ref="E18" r:id="rId116" display="https://xrspace.atlassian.net/issues/?jql=created+%3E%3D+2025-01-01+AND+created+%3C%3D+2025-12-31+AND+type+%3D+Bug+AND+project+%3D+SOVA+AND+Sprint+%3D+3872+AND+status+%3D+%22IN+REVIEW+%2880%25%29%22" xr:uid="{97CDB184-1CD1-463B-9F9C-3F4BC665E309}"/>
    <hyperlink ref="H18" r:id="rId117" display="https://xrspace.atlassian.net/issues/?jql=created+%3E%3D+2025-01-01+AND+created+%3C%3D+2025-12-31+AND+type+%3D+Bug+AND+project+%3D+SOVA+AND+Sprint+%3D+3872+AND+status+%3D+%22WON%27T+DO+%28100%25%29%22" xr:uid="{8A07F582-39E7-4236-AA49-364F352A1368}"/>
    <hyperlink ref="C18" r:id="rId118" display="https://xrspace.atlassian.net/issues/?jql=created+%3E%3D+2025-01-01+AND+created+%3C%3D+2025-12-31+AND+type+%3D+Bug+AND+project+%3D+SOVA+AND+Sprint+%3D+3872+AND+status+%3D+%22STARTING+%2810+%7E+40%25%29%22" xr:uid="{7E5A7DDE-BBED-4988-B999-662079FA993D}"/>
    <hyperlink ref="F18" r:id="rId119" display="https://xrspace.atlassian.net/issues/?jql=created+%3E%3D+2025-01-01+AND+created+%3C%3D+2025-12-31+AND+type+%3D+Bug+AND+project+%3D+SOVA+AND+Sprint+%3D+3872+AND+status+%3D+%22READY+FOR+TESTING+%2890%25%29%22" xr:uid="{C791434C-2168-4FB8-B3ED-7339DF36E578}"/>
    <hyperlink ref="B19" r:id="rId120" display="https://xrspace.atlassian.net/issues/?jql=created+%3E%3D+2025-01-01+AND+created+%3C%3D+2025-12-31+AND+type+%3D+Bug+AND+project+%3D+SOVA+AND+Sprint+%3D+3873+AND+status+%3D+%22To+Do+%280%25%29%22" xr:uid="{393D35E3-5C78-4E92-9DD2-C386E2CAB865}"/>
    <hyperlink ref="D19" r:id="rId121" display="https://xrspace.atlassian.net/issues/?jql=created+%3E%3D+2025-01-01+AND+created+%3C%3D+2025-12-31+AND+type+%3D+Bug+AND+project+%3D+SOVA+AND+Sprint+%3D+3873+AND+status+%3D+%22In+Progress+%2850+%7E+70%25%29%22" xr:uid="{BB842A0F-C16A-4064-88D5-77962D3E0397}"/>
    <hyperlink ref="G19" r:id="rId122" display="https://xrspace.atlassian.net/issues/?jql=created+%3E%3D+2025-01-01+AND+created+%3C%3D+2025-12-31+AND+type+%3D+Bug+AND+project+%3D+SOVA+AND+Sprint+%3D+3873+AND+status+%3D+%22Done+%28100%25%29%22" xr:uid="{C130E122-CB63-496F-B00C-F9AEE6DF2FAF}"/>
    <hyperlink ref="E19" r:id="rId123" display="https://xrspace.atlassian.net/issues/?jql=created+%3E%3D+2025-01-01+AND+created+%3C%3D+2025-12-31+AND+type+%3D+Bug+AND+project+%3D+SOVA+AND+Sprint+%3D+3873+AND+status+%3D+%22IN+REVIEW+%2880%25%29%22" xr:uid="{48F5DB7D-4B87-49FD-B2A2-25099C1189DE}"/>
    <hyperlink ref="H19" r:id="rId124" display="https://xrspace.atlassian.net/issues/?jql=created+%3E%3D+2025-01-01+AND+created+%3C%3D+2025-12-31+AND+type+%3D+Bug+AND+project+%3D+SOVA+AND+Sprint+%3D+3873+AND+status+%3D+%22WON%27T+DO+%28100%25%29%22" xr:uid="{5F96BACD-267C-4C45-ABF7-534E34311912}"/>
    <hyperlink ref="C19" r:id="rId125" display="https://xrspace.atlassian.net/issues/?jql=created+%3E%3D+2025-01-01+AND+created+%3C%3D+2025-12-31+AND+type+%3D+Bug+AND+project+%3D+SOVA+AND+Sprint+%3D+3873+AND+status+%3D+%22STARTING+%2810+%7E+40%25%29%22" xr:uid="{F99172FC-4EE4-44CA-BE6C-9C9E9E681CEE}"/>
    <hyperlink ref="F19" r:id="rId126" display="https://xrspace.atlassian.net/issues/?jql=created+%3E%3D+2025-01-01+AND+created+%3C%3D+2025-12-31+AND+type+%3D+Bug+AND+project+%3D+SOVA+AND+Sprint+%3D+3873+AND+status+%3D+%22READY+FOR+TESTING+%2890%25%29%22" xr:uid="{A66E746B-B822-4CA9-A976-AFD2B5194D24}"/>
    <hyperlink ref="B20" r:id="rId127" display="https://xrspace.atlassian.net/issues/?jql=created+%3E%3D+2025-01-01+AND+created+%3C%3D+2025-12-31+AND+type+%3D+Bug+AND+project+%3D+SOVA+AND+Sprint+%3D+4140+AND+status+%3D+%22To+Do+%280%25%29%22" xr:uid="{AC918E67-1FC7-4B5C-B406-1C4026B5787C}"/>
    <hyperlink ref="D20" r:id="rId128" display="https://xrspace.atlassian.net/issues/?jql=created+%3E%3D+2025-01-01+AND+created+%3C%3D+2025-12-31+AND+type+%3D+Bug+AND+project+%3D+SOVA+AND+Sprint+%3D+4140+AND+status+%3D+%22In+Progress+%2850+%7E+70%25%29%22" xr:uid="{4B9D8F78-A829-4D50-A56E-520D7896EEF4}"/>
    <hyperlink ref="G20" r:id="rId129" display="https://xrspace.atlassian.net/issues/?jql=created+%3E%3D+2025-01-01+AND+created+%3C%3D+2025-12-31+AND+type+%3D+Bug+AND+project+%3D+SOVA+AND+Sprint+%3D+4140+AND+status+%3D+%22Done+%28100%25%29%22" xr:uid="{75FD8BD4-2DF9-4928-BC8C-D8556C73C9E8}"/>
    <hyperlink ref="E20" r:id="rId130" display="https://xrspace.atlassian.net/issues/?jql=created+%3E%3D+2025-01-01+AND+created+%3C%3D+2025-12-31+AND+type+%3D+Bug+AND+project+%3D+SOVA+AND+Sprint+%3D+4140+AND+status+%3D+%22IN+REVIEW+%2880%25%29%22" xr:uid="{5B0686A1-F8B1-4522-BB2F-B1B1B45139D8}"/>
    <hyperlink ref="H20" r:id="rId131" display="https://xrspace.atlassian.net/issues/?jql=created+%3E%3D+2025-01-01+AND+created+%3C%3D+2025-12-31+AND+type+%3D+Bug+AND+project+%3D+SOVA+AND+Sprint+%3D+4140+AND+status+%3D+%22WON%27T+DO+%28100%25%29%22" xr:uid="{BD68FBD6-F085-41BB-9321-231A0C69B2FC}"/>
    <hyperlink ref="C20" r:id="rId132" display="https://xrspace.atlassian.net/issues/?jql=created+%3E%3D+2025-01-01+AND+created+%3C%3D+2025-12-31+AND+type+%3D+Bug+AND+project+%3D+SOVA+AND+Sprint+%3D+4140+AND+status+%3D+%22STARTING+%2810+%7E+40%25%29%22" xr:uid="{959709DD-E8F5-4B8B-AC55-5E8929EED0CC}"/>
    <hyperlink ref="F20" r:id="rId133" display="https://xrspace.atlassian.net/issues/?jql=created+%3E%3D+2025-01-01+AND+created+%3C%3D+2025-12-31+AND+type+%3D+Bug+AND+project+%3D+SOVA+AND+Sprint+%3D+4140+AND+status+%3D+%22READY+FOR+TESTING+%2890%25%29%22" xr:uid="{9F86EE7F-592E-45EE-9F42-B3C51691158C}"/>
    <hyperlink ref="B21" r:id="rId134" display="https://xrspace.atlassian.net/issues/?jql=created+%3E%3D+2025-01-01+AND+created+%3C%3D+2025-12-31+AND+type+%3D+Bug+AND+project+%3D+SOVA+AND+Sprint+%3D+4206+AND+status+%3D+%22To+Do+%280%25%29%22" xr:uid="{F0027490-C6E8-4C15-9191-B811A4EA88FB}"/>
    <hyperlink ref="D21" r:id="rId135" display="https://xrspace.atlassian.net/issues/?jql=created+%3E%3D+2025-01-01+AND+created+%3C%3D+2025-12-31+AND+type+%3D+Bug+AND+project+%3D+SOVA+AND+Sprint+%3D+4206+AND+status+%3D+%22In+Progress+%2850+%7E+70%25%29%22" xr:uid="{EBE9727C-1BBA-4FE8-9A49-458CAF9E16EE}"/>
    <hyperlink ref="G21" r:id="rId136" display="https://xrspace.atlassian.net/issues/?jql=created+%3E%3D+2025-01-01+AND+created+%3C%3D+2025-12-31+AND+type+%3D+Bug+AND+project+%3D+SOVA+AND+Sprint+%3D+4206+AND+status+%3D+%22Done+%28100%25%29%22" xr:uid="{F22CBFDB-5384-4390-8224-2B9C1DC86E1D}"/>
    <hyperlink ref="E21" r:id="rId137" display="https://xrspace.atlassian.net/issues/?jql=created+%3E%3D+2025-01-01+AND+created+%3C%3D+2025-12-31+AND+type+%3D+Bug+AND+project+%3D+SOVA+AND+Sprint+%3D+4206+AND+status+%3D+%22IN+REVIEW+%2880%25%29%22" xr:uid="{5FF9CD0D-8C66-43B2-A917-B215126BF2E3}"/>
    <hyperlink ref="H21" r:id="rId138" display="https://xrspace.atlassian.net/issues/?jql=created+%3E%3D+2025-01-01+AND+created+%3C%3D+2025-12-31+AND+type+%3D+Bug+AND+project+%3D+SOVA+AND+Sprint+%3D+4206+AND+status+%3D+%22WON%27T+DO+%28100%25%29%22" xr:uid="{ADDD0EEE-206D-440A-A23A-3989DB057857}"/>
    <hyperlink ref="C21" r:id="rId139" display="https://xrspace.atlassian.net/issues/?jql=created+%3E%3D+2025-01-01+AND+created+%3C%3D+2025-12-31+AND+type+%3D+Bug+AND+project+%3D+SOVA+AND+Sprint+%3D+4206+AND+status+%3D+%22STARTING+%2810+%7E+40%25%29%22" xr:uid="{8C3025F9-6EEC-4F24-AE7A-937CCFD6074C}"/>
    <hyperlink ref="F21" r:id="rId140" display="https://xrspace.atlassian.net/issues/?jql=created+%3E%3D+2025-01-01+AND+created+%3C%3D+2025-12-31+AND+type+%3D+Bug+AND+project+%3D+SOVA+AND+Sprint+%3D+4206+AND+status+%3D+%22READY+FOR+TESTING+%2890%25%29%22" xr:uid="{D13CE6C1-6E1E-43DE-8E05-C248264185AC}"/>
  </hyperlinks>
  <pageMargins left="0.7" right="0.7" top="0.75" bottom="0.75" header="0.3" footer="0.3"/>
  <pageSetup orientation="portrait" r:id="rId141"/>
  <drawing r:id="rId142"/>
  <tableParts count="1">
    <tablePart r:id="rId14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F3FC-17EF-4D6A-9290-8FAFFC789915}">
  <dimension ref="A1:E14"/>
  <sheetViews>
    <sheetView tabSelected="1" workbookViewId="0">
      <selection activeCell="K22" sqref="K22"/>
    </sheetView>
  </sheetViews>
  <sheetFormatPr defaultRowHeight="15"/>
  <cols>
    <col min="1" max="1" width="9.5546875" customWidth="1"/>
    <col min="2" max="5" width="20.77734375" customWidth="1"/>
  </cols>
  <sheetData>
    <row r="1" spans="1:5">
      <c r="A1" s="2" t="s">
        <v>48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0.100000000000001" customHeight="1">
      <c r="A2" s="2" t="s">
        <v>69</v>
      </c>
      <c r="B2" s="14">
        <v>0</v>
      </c>
      <c r="C2" s="14">
        <v>0</v>
      </c>
      <c r="D2" s="14">
        <v>91</v>
      </c>
      <c r="E2" s="14">
        <f>SUM(Table25[[#This Row],[Done]:[TODO (P1)]])</f>
        <v>91</v>
      </c>
    </row>
    <row r="3" spans="1:5" ht="20.100000000000001" customHeight="1">
      <c r="A3" s="3" t="s">
        <v>70</v>
      </c>
      <c r="B3" s="15">
        <v>0</v>
      </c>
      <c r="C3" s="15">
        <v>1</v>
      </c>
      <c r="D3" s="15">
        <v>90</v>
      </c>
      <c r="E3" s="15">
        <f>SUM(Table25[[#This Row],[Done]:[TODO (P1)]])</f>
        <v>91</v>
      </c>
    </row>
    <row r="4" spans="1:5" ht="20.100000000000001" customHeight="1">
      <c r="A4" s="2" t="s">
        <v>71</v>
      </c>
      <c r="B4" s="15">
        <v>0</v>
      </c>
      <c r="C4" s="15">
        <v>1</v>
      </c>
      <c r="D4" s="15">
        <v>90</v>
      </c>
      <c r="E4" s="15">
        <f>SUM(Table25[[#This Row],[Done]:[TODO (P1)]])</f>
        <v>91</v>
      </c>
    </row>
    <row r="5" spans="1:5" ht="20.100000000000001" customHeight="1">
      <c r="A5" s="3" t="s">
        <v>72</v>
      </c>
      <c r="B5" s="15">
        <v>0</v>
      </c>
      <c r="C5" s="15">
        <v>1</v>
      </c>
      <c r="D5" s="15">
        <v>90</v>
      </c>
      <c r="E5" s="15">
        <f>SUM(Table25[[#This Row],[Done]:[TODO (P1)]])</f>
        <v>91</v>
      </c>
    </row>
    <row r="6" spans="1:5" ht="20.100000000000001" customHeight="1">
      <c r="A6" s="3" t="s">
        <v>73</v>
      </c>
      <c r="B6" s="15">
        <v>5</v>
      </c>
      <c r="C6" s="15">
        <v>0</v>
      </c>
      <c r="D6" s="15">
        <v>77</v>
      </c>
      <c r="E6" s="15">
        <f>SUM(Table25[[#This Row],[Done]:[TODO (P1)]])</f>
        <v>82</v>
      </c>
    </row>
    <row r="7" spans="1:5" ht="20.100000000000001" customHeight="1">
      <c r="A7" s="3" t="s">
        <v>74</v>
      </c>
      <c r="B7" s="15">
        <v>5</v>
      </c>
      <c r="C7" s="15">
        <v>0</v>
      </c>
      <c r="D7" s="15">
        <v>77</v>
      </c>
      <c r="E7" s="15">
        <f>SUM(Table25[[#This Row],[Done]:[TODO (P1)]])</f>
        <v>82</v>
      </c>
    </row>
    <row r="8" spans="1:5" ht="20.100000000000001" customHeight="1">
      <c r="A8" s="3" t="s">
        <v>75</v>
      </c>
      <c r="B8" s="15">
        <v>5</v>
      </c>
      <c r="C8" s="15">
        <v>1</v>
      </c>
      <c r="D8" s="15">
        <v>76</v>
      </c>
      <c r="E8" s="15">
        <f>SUM(Table25[[#This Row],[Done]:[TODO (P1)]])</f>
        <v>82</v>
      </c>
    </row>
    <row r="9" spans="1:5" ht="20.100000000000001" customHeight="1">
      <c r="A9" s="3" t="s">
        <v>76</v>
      </c>
      <c r="B9" s="15">
        <v>6</v>
      </c>
      <c r="C9" s="15">
        <v>1</v>
      </c>
      <c r="D9" s="15">
        <v>76</v>
      </c>
      <c r="E9" s="15">
        <f>SUM(Table25[[#This Row],[Done]:[TODO (P1)]])</f>
        <v>83</v>
      </c>
    </row>
    <row r="10" spans="1:5" ht="20.100000000000001" customHeight="1">
      <c r="A10" s="3" t="s">
        <v>77</v>
      </c>
      <c r="B10" s="15">
        <v>6</v>
      </c>
      <c r="C10" s="15">
        <v>1</v>
      </c>
      <c r="D10" s="15">
        <v>76</v>
      </c>
      <c r="E10" s="15">
        <f>SUM(Table25[[#This Row],[Done]:[TODO (P1)]])</f>
        <v>83</v>
      </c>
    </row>
    <row r="11" spans="1:5" ht="20.100000000000001" customHeight="1">
      <c r="A11" s="3" t="s">
        <v>78</v>
      </c>
      <c r="B11" s="15">
        <v>12</v>
      </c>
      <c r="C11" s="15">
        <v>0</v>
      </c>
      <c r="D11" s="15">
        <v>77</v>
      </c>
      <c r="E11" s="15">
        <v>89</v>
      </c>
    </row>
    <row r="12" spans="1:5" ht="20.100000000000001" customHeight="1">
      <c r="A12" s="3" t="s">
        <v>79</v>
      </c>
      <c r="B12" s="15">
        <v>22</v>
      </c>
      <c r="C12" s="15">
        <v>0</v>
      </c>
      <c r="D12" s="15">
        <v>74</v>
      </c>
      <c r="E12" s="15">
        <f>SUM(Table25[[#This Row],[Done]:[TODO (P1)]])</f>
        <v>96</v>
      </c>
    </row>
    <row r="13" spans="1:5" ht="20.100000000000001" customHeight="1">
      <c r="A13" s="3" t="s">
        <v>80</v>
      </c>
      <c r="B13" s="15">
        <v>27</v>
      </c>
      <c r="C13" s="15">
        <v>0</v>
      </c>
      <c r="D13" s="15">
        <v>69</v>
      </c>
      <c r="E13" s="15">
        <f>SUM(Table25[[#This Row],[Done]:[TODO (P1)]])</f>
        <v>96</v>
      </c>
    </row>
    <row r="14" spans="1:5" ht="20.100000000000001" customHeight="1">
      <c r="A14" s="3" t="s">
        <v>68</v>
      </c>
      <c r="B14" s="15">
        <v>27</v>
      </c>
      <c r="C14" s="15">
        <v>2</v>
      </c>
      <c r="D14" s="15">
        <v>67</v>
      </c>
      <c r="E14" s="15">
        <f>SUM(Table25[[#This Row],[Done]:[TODO (P1)]])</f>
        <v>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EA836-90D3-4533-84B8-03F1DE3687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TestAutomationProgress</vt:lpstr>
      <vt:lpstr>Humi-TestResult</vt:lpstr>
      <vt:lpstr>SOVA-TestResult</vt:lpstr>
      <vt:lpstr>Humi-BugTrend</vt:lpstr>
      <vt:lpstr>SOVA-BugTrend</vt:lpstr>
      <vt:lpstr>SOVA-UIAutomation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Hsu</dc:creator>
  <cp:lastModifiedBy>William Hsu</cp:lastModifiedBy>
  <dcterms:created xsi:type="dcterms:W3CDTF">2025-08-28T03:22:38Z</dcterms:created>
  <dcterms:modified xsi:type="dcterms:W3CDTF">2026-01-01T23:57:36Z</dcterms:modified>
</cp:coreProperties>
</file>