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DE40250D-F82C-44C8-BD95-9B3E7695F689}" xr6:coauthVersionLast="47" xr6:coauthVersionMax="47" xr10:uidLastSave="{00000000-0000-0000-0000-000000000000}"/>
  <bookViews>
    <workbookView xWindow="-120" yWindow="-120" windowWidth="29040" windowHeight="15720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4" l="1"/>
  <c r="H18" i="4"/>
  <c r="H19" i="4"/>
  <c r="H20" i="4"/>
  <c r="B20" i="4"/>
  <c r="H38" i="2"/>
  <c r="I22" i="5"/>
  <c r="I23" i="5"/>
  <c r="I24" i="5"/>
  <c r="E26" i="6"/>
  <c r="E25" i="6"/>
  <c r="H37" i="2"/>
  <c r="H36" i="2"/>
  <c r="E24" i="6"/>
  <c r="H21" i="3"/>
  <c r="E23" i="6"/>
  <c r="H35" i="2"/>
  <c r="E22" i="6"/>
  <c r="I21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E21" i="1"/>
  <c r="H34" i="2"/>
  <c r="E21" i="6"/>
  <c r="E20" i="1"/>
  <c r="H39" i="2"/>
  <c r="H32" i="2"/>
  <c r="H33" i="2"/>
  <c r="E20" i="6"/>
  <c r="E19" i="6"/>
  <c r="E19" i="1"/>
  <c r="H31" i="2"/>
  <c r="E18" i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7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<sst xmlns="http://schemas.openxmlformats.org/spreadsheetml/2006/main" count="198" uniqueCount="112">
  <si>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</si>
  <si>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</si>
  <si>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</si>
  <si>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</si>
  <si>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</si>
  <si>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</si>
  <si>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</si>
  <si>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</si>
  <si>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</si>
  <si>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</si>
  <si>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</si>
  <si>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</si>
  <si>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</si>
  <si>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</si>
  <si>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</si>
  <si>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</si>
  <si>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</si>
  <si>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</si>
  <si>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</si>
  <si>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</si>
  <si>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</si>
  <si>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</si>
  <si>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</si>
  <si>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</si>
  <si>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</si>
  <si>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</si>
  <si>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</si>
  <si>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</si>
  <si>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</si>
  <si>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</si>
  <si>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</si>
  <si>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</si>
  <si>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</si>
  <si>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</si>
  <si>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</si>
  <si>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</si>
  <si>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</si>
  <si>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</si>
  <si>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</si>
  <si>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</si>
  <si>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</si>
  <si>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</si>
  <si>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</si>
  <si>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</si>
  <si>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</si>
  <si>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</si>
  <si>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</si>
  <si>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</si>
  <si>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</si>
  <si>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</si>
  <si>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</si>
  <si>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</si>
  <si>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</si>
  <si>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</si>
  <si>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</si>
  <si>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</si>
  <si>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</si>
  <si>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</si>
  <si>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</si>
  <si>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</si>
  <si>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</si>
  <si>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</si>
  <si>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</si>
  <si>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</si>
  <si>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</si>
  <si>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</si>
  <si>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</si>
  <si>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</si>
  <si>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</si>
  <si>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</si>
  <si>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</si>
  <si>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</si>
  <si>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</si>
  <si>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</si>
  <si>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</si>
  <si>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</si>
  <si>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</si>
  <si>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</si>
  <si>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</si>
  <si>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</si>
  <si>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</si>
  <si>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</si>
  <si>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</si>
  <si>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</si>
  <si>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</si>
  <si>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</si>
  <si>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</si>
  <si>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</si>
  <si>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</si>
  <si>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</si>
  <si>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</si>
  <si>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</si>
  <si>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</si>
  <si>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</si>
  <si>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</si>
  <si>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</si>
  <si>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</si>
  <si>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</si>
  <si>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</si>
  <si>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</si>
  <si>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</si>
  <si>
    <t>y26w14</t>
  </si>
  <si>
    <t>26W12</t>
  </si>
  <si>
    <t>y26w16</t>
  </si>
  <si>
    <t>26W13</t>
  </si>
  <si>
    <t>v1.41</t>
  </si>
  <si>
    <t>y25w28</t>
  </si>
  <si>
    <t>26W14</t>
  </si>
  <si>
    <t>26W15</t>
  </si>
  <si>
    <t>26W16</t>
  </si>
  <si>
    <t>y26w18</t>
  </si>
  <si>
    <t>v1.42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</si>
</sst>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</c:strCache>
            </c:strRef>
          </c:cat>
          <c:val>
            <c:numRef>
              <c:f>TestAutomationProgress!$B$2:$B$27</c:f>
              <c:numCache>
                <c:formatCode>General</c:formatCode>
                <c:ptCount val="26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</c:strCache>
            </c:strRef>
          </c:cat>
          <c:val>
            <c:numRef>
              <c:f>TestAutomationProgress!$C$2:$C$27</c:f>
              <c:numCache>
                <c:formatCode>General</c:formatCode>
                <c:ptCount val="26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</c:strCache>
            </c:strRef>
          </c:cat>
          <c:val>
            <c:numRef>
              <c:f>TestAutomationProgress!$D$2:$D$27</c:f>
              <c:numCache>
                <c:formatCode>General</c:formatCode>
                <c:ptCount val="26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  <c:pt idx="21">
                  <c:v>160</c:v>
                </c:pt>
                <c:pt idx="22">
                  <c:v>160</c:v>
                </c:pt>
                <c:pt idx="23">
                  <c:v>160</c:v>
                </c:pt>
                <c:pt idx="24">
                  <c:v>160</c:v>
                </c:pt>
                <c:pt idx="25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'Humi-TestResult'!$B$2:$B$21</c:f>
              <c:numCache>
                <c:formatCode>General</c:formatCode>
                <c:ptCount val="20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572</c:v>
                </c:pt>
                <c:pt idx="18">
                  <c:v>246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'Humi-TestResult'!$D$2:$D$21</c:f>
              <c:numCache>
                <c:formatCode>General</c:formatCode>
                <c:ptCount val="20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'Humi-TestResult'!$E$2:$E$21</c:f>
              <c:numCache>
                <c:formatCode>General</c:formatCode>
                <c:ptCount val="20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'Humi-TestResult'!$F$2:$F$21</c:f>
              <c:numCache>
                <c:formatCode>General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6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'Humi-TestResult'!$G$2:$G$21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</c:v>
                </c:pt>
                <c:pt idx="18">
                  <c:v>0</c:v>
                </c:pt>
                <c:pt idx="19">
                  <c:v>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'Humi-TestResult'!$H$2:$H$21</c:f>
              <c:numCache>
                <c:formatCode>General</c:formatCode>
                <c:ptCount val="20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592</c:v>
                </c:pt>
                <c:pt idx="18">
                  <c:v>248</c:v>
                </c:pt>
                <c:pt idx="19">
                  <c:v>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'SOVA-TestResult'!$B$2:$B$39</c:f>
              <c:numCache>
                <c:formatCode>General</c:formatCode>
                <c:ptCount val="38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  <c:pt idx="34">
                  <c:v>0</c:v>
                </c:pt>
                <c:pt idx="35">
                  <c:v>481</c:v>
                </c:pt>
                <c:pt idx="36">
                  <c:v>837</c:v>
                </c:pt>
                <c:pt idx="37">
                  <c:v>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'SOVA-TestResult'!$C$2:$C$39</c:f>
              <c:numCache>
                <c:formatCode>General</c:formatCode>
                <c:ptCount val="38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14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'SOVA-TestResult'!$D$2:$D$39</c:f>
              <c:numCache>
                <c:formatCode>General</c:formatCode>
                <c:ptCount val="38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'SOVA-TestResult'!$E$2:$E$39</c:f>
              <c:numCache>
                <c:formatCode>General</c:formatCode>
                <c:ptCount val="38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'SOVA-TestResult'!$F$2:$F$39</c:f>
              <c:numCache>
                <c:formatCode>General</c:formatCode>
                <c:ptCount val="38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  <c:pt idx="34">
                  <c:v>0</c:v>
                </c:pt>
                <c:pt idx="35">
                  <c:v>9</c:v>
                </c:pt>
                <c:pt idx="36">
                  <c:v>13</c:v>
                </c:pt>
                <c:pt idx="3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'SOVA-TestResult'!$G$2:$G$39</c:f>
              <c:numCache>
                <c:formatCode>General</c:formatCode>
                <c:ptCount val="38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508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'SOVA-TestResult'!$A$2:$A$39</c:f>
              <c:strCache>
                <c:ptCount val="38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</c:strCache>
            </c:strRef>
          </c:cat>
          <c:val>
            <c:numRef>
              <c:f>'SOVA-TestResult'!$H$2:$H$39</c:f>
              <c:numCache>
                <c:formatCode>General</c:formatCode>
                <c:ptCount val="38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  <c:pt idx="34">
                  <c:v>508</c:v>
                </c:pt>
                <c:pt idx="35">
                  <c:v>508</c:v>
                </c:pt>
                <c:pt idx="36">
                  <c:v>857</c:v>
                </c:pt>
                <c:pt idx="37">
                  <c:v>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'Humi-BugTrend'!$B$2:$B$23</c:f>
              <c:numCache>
                <c:formatCode>General</c:formatCode>
                <c:ptCount val="22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10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8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'Humi-BugTrend'!$G$2:$G$23</c:f>
              <c:numCache>
                <c:formatCode>General</c:formatCode>
                <c:ptCount val="22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41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</c:strCache>
            </c:strRef>
          </c:cat>
          <c:val>
            <c:numRef>
              <c:f>'Humi-BugTrend'!$H$2:$H$23</c:f>
              <c:numCache>
                <c:formatCode>General</c:formatCode>
                <c:ptCount val="22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50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10</c:v>
                </c:pt>
                <c:pt idx="20">
                  <c:v>49</c:v>
                </c:pt>
                <c:pt idx="2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'SOVA-BugTrend'!$B$2:$B$24</c:f>
              <c:numCache>
                <c:formatCode>General</c:formatCode>
                <c:ptCount val="23"/>
                <c:pt idx="0">
                  <c:v>32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0</c:v>
                </c:pt>
                <c:pt idx="15">
                  <c:v>1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15</c:v>
                </c:pt>
                <c:pt idx="2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'SOVA-BugTrend'!$G$2:$G$24</c:f>
              <c:numCache>
                <c:formatCode>General</c:formatCode>
                <c:ptCount val="23"/>
                <c:pt idx="0">
                  <c:v>6</c:v>
                </c:pt>
                <c:pt idx="1">
                  <c:v>39</c:v>
                </c:pt>
                <c:pt idx="2">
                  <c:v>42</c:v>
                </c:pt>
                <c:pt idx="3">
                  <c:v>48</c:v>
                </c:pt>
                <c:pt idx="4">
                  <c:v>19</c:v>
                </c:pt>
                <c:pt idx="5">
                  <c:v>29</c:v>
                </c:pt>
                <c:pt idx="6">
                  <c:v>50</c:v>
                </c:pt>
                <c:pt idx="7">
                  <c:v>24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41</c:v>
                </c:pt>
                <c:pt idx="12">
                  <c:v>33</c:v>
                </c:pt>
                <c:pt idx="13">
                  <c:v>32</c:v>
                </c:pt>
                <c:pt idx="14">
                  <c:v>31</c:v>
                </c:pt>
                <c:pt idx="15">
                  <c:v>33</c:v>
                </c:pt>
                <c:pt idx="16">
                  <c:v>28</c:v>
                </c:pt>
                <c:pt idx="17">
                  <c:v>14</c:v>
                </c:pt>
                <c:pt idx="18">
                  <c:v>14</c:v>
                </c:pt>
                <c:pt idx="19">
                  <c:v>19</c:v>
                </c:pt>
                <c:pt idx="20">
                  <c:v>10</c:v>
                </c:pt>
                <c:pt idx="21">
                  <c:v>3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'SOVA-BugTrend'!$H$2:$H$24</c:f>
              <c:numCache>
                <c:formatCode>General</c:formatCode>
                <c:ptCount val="23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5</c:v>
                </c:pt>
                <c:pt idx="17">
                  <c:v>8</c:v>
                </c:pt>
                <c:pt idx="18">
                  <c:v>10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'SOVA-BugTrend'!$I$2:$I$24</c:f>
              <c:numCache>
                <c:formatCode>General</c:formatCode>
                <c:ptCount val="23"/>
                <c:pt idx="0">
                  <c:v>40</c:v>
                </c:pt>
                <c:pt idx="1">
                  <c:v>42</c:v>
                </c:pt>
                <c:pt idx="2">
                  <c:v>46</c:v>
                </c:pt>
                <c:pt idx="3">
                  <c:v>53</c:v>
                </c:pt>
                <c:pt idx="4">
                  <c:v>20</c:v>
                </c:pt>
                <c:pt idx="5">
                  <c:v>32</c:v>
                </c:pt>
                <c:pt idx="6">
                  <c:v>53</c:v>
                </c:pt>
                <c:pt idx="7">
                  <c:v>25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44</c:v>
                </c:pt>
                <c:pt idx="12">
                  <c:v>36</c:v>
                </c:pt>
                <c:pt idx="13">
                  <c:v>36</c:v>
                </c:pt>
                <c:pt idx="14">
                  <c:v>31</c:v>
                </c:pt>
                <c:pt idx="15">
                  <c:v>36</c:v>
                </c:pt>
                <c:pt idx="16">
                  <c:v>37</c:v>
                </c:pt>
                <c:pt idx="17">
                  <c:v>26</c:v>
                </c:pt>
                <c:pt idx="18">
                  <c:v>27</c:v>
                </c:pt>
                <c:pt idx="19">
                  <c:v>23</c:v>
                </c:pt>
                <c:pt idx="20">
                  <c:v>11</c:v>
                </c:pt>
                <c:pt idx="21">
                  <c:v>21</c:v>
                </c:pt>
                <c:pt idx="2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28</xdr:row>
      <xdr:rowOff>171448</xdr:rowOff>
    </xdr:from>
    <xdr:to>
      <xdr:col>8</xdr:col>
      <xdr:colOff>95250</xdr:colOff>
      <xdr:row>57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23</xdr:row>
      <xdr:rowOff>180975</xdr:rowOff>
    </xdr:from>
    <xdr:to>
      <xdr:col>6</xdr:col>
      <xdr:colOff>1057275</xdr:colOff>
      <xdr:row>52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45</xdr:row>
      <xdr:rowOff>41087</xdr:rowOff>
    </xdr:from>
    <xdr:to>
      <xdr:col>6</xdr:col>
      <xdr:colOff>1047750</xdr:colOff>
      <xdr:row>74</xdr:row>
      <xdr:rowOff>2987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23</xdr:row>
      <xdr:rowOff>142875</xdr:rowOff>
    </xdr:from>
    <xdr:to>
      <xdr:col>8</xdr:col>
      <xdr:colOff>428625</xdr:colOff>
      <xdr:row>52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27</xdr:row>
      <xdr:rowOff>165100</xdr:rowOff>
    </xdr:from>
    <xdr:to>
      <xdr:col>8</xdr:col>
      <xdr:colOff>219075</xdr:colOff>
      <xdr:row>56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7" totalsRowShown="0" headerRowDxfId="35">
  <autoFilter ref="A1:E27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21" totalsRowShown="0" headerRowDxfId="33">
  <autoFilter ref="A1:H21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9" totalsRowShown="0" headerRowDxfId="31">
  <autoFilter ref="A1:H39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3" totalsRowShown="0" headerRowDxfId="29">
  <autoFilter ref="A1:H23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4" totalsRowShown="0" headerRowDxfId="20" dataDxfId="18" headerRowBorderDxfId="19" tableBorderDxfId="17" totalsRowBorderDxfId="16" dataCellStyle="Hyperlink">
  <autoFilter ref="A1:I24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7" totalsRowShown="0" headerRowDxfId="6" dataDxfId="5">
  <autoFilter ref="A1:E27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5044+AND+status+%3D+%22WON%27T+DO+%28100%25%29%22" TargetMode="External"/><Relationship Id="rId159" Type="http://schemas.openxmlformats.org/officeDocument/2006/relationships/hyperlink" Target="https://xrspace.atlassian.net/issues/?jql=created+%3E%3D+2025-02-01+AND+created+%3C%3D+2026-12-31+AND+type+%3D+Bug+AND+project+%3D+SOVA+AND+Sprint+%3D+5044+AND+status+%3D+%22Done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5078+AND+status+%3D+%22IN+REVIEW+%288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60" Type="http://schemas.openxmlformats.org/officeDocument/2006/relationships/hyperlink" Target="https://xrspace.atlassian.net/issues/?jql=created+%3E%3D+2025-02-01+AND+created+%3C%3D+2026-12-31+AND+type+%3D+Bug+AND+project+%3D+SOVA+AND+Sprint+%3D+5045+AND+status+%3D+%22Done+%2810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5044+AND+status+%3D+%22STARTING+%2810+%7E+4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5078+AND+status+%3D+%22WON%27T+DO+%2810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5044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5045+AND+status+%3D+%22STARTING+%2810+%7E+40%25%29%22" TargetMode="External"/><Relationship Id="rId161" Type="http://schemas.openxmlformats.org/officeDocument/2006/relationships/hyperlink" Target="https://xrspace.atlassian.net/issues/?jql=created+%3E%3D+2025-02-01+AND+created+%3C%3D+2026-12-31+AND+type+%3D+Bug+AND+project+%3D+SOVA+AND+Sprint+%3D+5078+AND+status+%3D+%22Done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5044+AND+status+%3D+%22To+Do+%28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5078+AND+status+%3D+%22STARTING+%2810+%7E+40%25%29%22" TargetMode="External"/><Relationship Id="rId156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5045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5045+AND+status+%3D+%22READY+FOR+TESTING+%289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162" Type="http://schemas.openxmlformats.org/officeDocument/2006/relationships/printerSettings" Target="../printerSettings/printerSettings3.bin"/><Relationship Id="rId2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5044+AND+status+%3D+%22In+Progress+%2850+%7E+70%25%29%22" TargetMode="External"/><Relationship Id="rId157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5078+AND+status+%3D+%22READY+FOR+TESTING+%289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5078+AND+status+%3D+%22To+Do+%28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5045+AND+status+%3D+%22In+Progress+%2850+%7E+70%25%29%22" TargetMode="External"/><Relationship Id="rId163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5044+AND+status+%3D+%22IN+REVIEW+%2880%25%29%22" TargetMode="External"/><Relationship Id="rId158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5045+AND+status+%3D+%22IN+REVIEW+%288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5078+AND+status+%3D+%22In+Progress+%2850+%7E+70%25%29%22" TargetMode="External"/><Relationship Id="rId164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5045+AND+status+%3D+%22WON%27T+DO+%2810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155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7"/>
  <sheetViews>
    <sheetView tabSelected="1" topLeftCell="A7" zoomScaleNormal="100" workbookViewId="0">
      <selection activeCell="J26" sqref="J26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  <row r="23" spans="1:5" ht="21.95" customHeight="1">
      <c r="A23" t="s">
        <v>102</v>
      </c>
      <c r="B23">
        <v>37</v>
      </c>
      <c r="C23">
        <v>1</v>
      </c>
      <c r="D23">
        <v>160</v>
      </c>
      <c r="E23" s="12">
        <v>198</v>
      </c>
    </row>
    <row r="24" spans="1:5" ht="21.95" customHeight="1">
      <c r="A24" t="s">
        <v>104</v>
      </c>
      <c r="B24">
        <v>37</v>
      </c>
      <c r="C24">
        <v>1</v>
      </c>
      <c r="D24">
        <v>160</v>
      </c>
      <c r="E24" s="12">
        <v>198</v>
      </c>
    </row>
    <row r="25" spans="1:5" ht="21.95" customHeight="1">
      <c r="A25" t="s">
        <v>107</v>
      </c>
      <c r="B25">
        <v>37</v>
      </c>
      <c r="C25">
        <v>1</v>
      </c>
      <c r="D25">
        <v>160</v>
      </c>
      <c r="E25" s="12">
        <v>198</v>
      </c>
    </row>
    <row r="26" spans="1:5" ht="21.95" customHeight="1">
      <c r="A26" t="s">
        <v>108</v>
      </c>
      <c r="B26">
        <v>37</v>
      </c>
      <c r="C26">
        <v>1</v>
      </c>
      <c r="D26">
        <v>160</v>
      </c>
      <c r="E26" s="12">
        <v>198</v>
      </c>
    </row>
    <row r="27" spans="1:5">
      <c r="A27" t="s">
        <v>109</v>
      </c>
      <c r="B27">
        <v>37</v>
      </c>
      <c r="C27">
        <v>1</v>
      </c>
      <c r="D27">
        <v>160</v>
      </c>
      <c r="E27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21"/>
  <sheetViews>
    <sheetView topLeftCell="D1" zoomScaleNormal="100" workbookViewId="0">
      <selection activeCell="I18" sqref="I18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572</v>
      </c>
      <c r="C19">
        <v>0</v>
      </c>
      <c r="D19">
        <v>1</v>
      </c>
      <c r="E19">
        <v>4</v>
      </c>
      <c r="F19">
        <v>6</v>
      </c>
      <c r="G19">
        <v>9</v>
      </c>
      <c r="H19">
        <f>SUM(Table1[[#This Row],[Passed]:[Untested]])</f>
        <v>592</v>
      </c>
    </row>
    <row r="20" spans="1:8" ht="21.95" customHeight="1">
      <c r="A20" t="s">
        <v>105</v>
      </c>
      <c r="B20">
        <f>179+67</f>
        <v>246</v>
      </c>
      <c r="C20">
        <v>0</v>
      </c>
      <c r="D20">
        <v>2</v>
      </c>
      <c r="E20">
        <v>0</v>
      </c>
      <c r="F20">
        <v>0</v>
      </c>
      <c r="G20">
        <v>0</v>
      </c>
      <c r="H20">
        <f>SUM(Table1[[#This Row],[Passed]:[Untested]])</f>
        <v>248</v>
      </c>
    </row>
    <row r="21" spans="1:8" ht="21.95" customHeight="1">
      <c r="A21" t="s">
        <v>111</v>
      </c>
      <c r="B21">
        <v>0</v>
      </c>
      <c r="C21">
        <v>0</v>
      </c>
      <c r="D21">
        <v>0</v>
      </c>
      <c r="E21">
        <v>0</v>
      </c>
      <c r="F21">
        <v>0</v>
      </c>
      <c r="G21">
        <v>489</v>
      </c>
      <c r="H21">
        <f>SUM(Table1[[#This Row],[Passed]:[Untested]])</f>
        <v>489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9"/>
  <sheetViews>
    <sheetView topLeftCell="D13" zoomScaleNormal="100" workbookViewId="0">
      <selection activeCell="G40" sqref="G40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  <row r="36" spans="1:8" ht="20.100000000000001" customHeight="1">
      <c r="A36" s="3" t="s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508</v>
      </c>
      <c r="H36" s="12">
        <f>SUM(Table3[[#This Row],[Passed]:[Untested]])</f>
        <v>508</v>
      </c>
    </row>
    <row r="37" spans="1:8" ht="20.100000000000001" customHeight="1">
      <c r="A37" s="3" t="s">
        <v>104</v>
      </c>
      <c r="B37">
        <v>481</v>
      </c>
      <c r="C37">
        <v>14</v>
      </c>
      <c r="D37">
        <v>0</v>
      </c>
      <c r="E37">
        <v>4</v>
      </c>
      <c r="F37">
        <v>9</v>
      </c>
      <c r="G37">
        <v>0</v>
      </c>
      <c r="H37" s="12">
        <f>SUM(Table3[[#This Row],[Passed]:[Untested]])</f>
        <v>508</v>
      </c>
    </row>
    <row r="38" spans="1:8" ht="20.100000000000001" customHeight="1">
      <c r="A38" s="3" t="s">
        <v>107</v>
      </c>
      <c r="B38">
        <v>837</v>
      </c>
      <c r="C38">
        <v>0</v>
      </c>
      <c r="D38">
        <v>2</v>
      </c>
      <c r="E38">
        <v>5</v>
      </c>
      <c r="F38">
        <v>13</v>
      </c>
      <c r="G38">
        <v>0</v>
      </c>
      <c r="H38" s="12">
        <f>SUM(Table3[[#This Row],[Passed]:[Untested]])</f>
        <v>857</v>
      </c>
    </row>
    <row r="39" spans="1:8" ht="20.100000000000001" customHeight="1">
      <c r="A39" s="3" t="s">
        <v>109</v>
      </c>
      <c r="B39">
        <v>957</v>
      </c>
      <c r="C39">
        <v>0</v>
      </c>
      <c r="D39">
        <v>2</v>
      </c>
      <c r="E39">
        <v>5</v>
      </c>
      <c r="F39">
        <v>3</v>
      </c>
      <c r="G39">
        <v>0</v>
      </c>
      <c r="H39" s="12">
        <f>SUM(Table3[[#This Row],[Passed]:[Untested]])</f>
        <v>967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3"/>
  <sheetViews>
    <sheetView zoomScaleNormal="100" workbookViewId="0">
      <selection activeCell="K24" sqref="K24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10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50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t="s">
        <v>87</v>
      </c>
      <c r="B21">
        <v>2</v>
      </c>
      <c r="C21">
        <v>0</v>
      </c>
      <c r="D21">
        <v>0</v>
      </c>
      <c r="E21">
        <v>0</v>
      </c>
      <c r="F21">
        <v>0</v>
      </c>
      <c r="G21">
        <v>8</v>
      </c>
      <c r="H21" s="12">
        <f>SUM(Table7[[#This Row],[To Do]:[Done]])</f>
        <v>10</v>
      </c>
    </row>
    <row r="22" spans="1:8">
      <c r="A22" t="s">
        <v>93</v>
      </c>
      <c r="B22">
        <v>8</v>
      </c>
      <c r="C22">
        <v>0</v>
      </c>
      <c r="D22">
        <v>0</v>
      </c>
      <c r="E22">
        <v>0</v>
      </c>
      <c r="F22">
        <v>0</v>
      </c>
      <c r="G22">
        <v>41</v>
      </c>
      <c r="H22">
        <f>SUM(Table7[[#This Row],[To Do]:[Done]])</f>
        <v>49</v>
      </c>
    </row>
    <row r="23" spans="1:8">
      <c r="A23" t="s">
        <v>105</v>
      </c>
      <c r="B23">
        <v>2</v>
      </c>
      <c r="C23">
        <v>0</v>
      </c>
      <c r="D23">
        <v>0</v>
      </c>
      <c r="E23">
        <v>0</v>
      </c>
      <c r="F23">
        <v>0</v>
      </c>
      <c r="G23">
        <v>2</v>
      </c>
      <c r="H23" s="12">
        <f>SUM(Table7[[#This Row],[To Do]:[Done]])</f>
        <v>4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4"/>
  <sheetViews>
    <sheetView zoomScaleNormal="100" workbookViewId="0">
      <selection activeCell="E27" sqref="E27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32</v>
      </c>
      <c r="C2" s="5">
        <v>0</v>
      </c>
      <c r="D2" s="5">
        <v>0</v>
      </c>
      <c r="E2" s="5">
        <v>0</v>
      </c>
      <c r="F2" s="5">
        <v>0</v>
      </c>
      <c r="G2" s="5">
        <v>6</v>
      </c>
      <c r="H2" s="5">
        <v>2</v>
      </c>
      <c r="I2" s="15">
        <f>SUM(Table5[[#This Row],[To Do (0%)]:[WON''T DO (100%)]])</f>
        <v>40</v>
      </c>
    </row>
    <row r="3" spans="1:9" ht="18" thickBot="1">
      <c r="A3" s="4" t="s">
        <v>106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2</v>
      </c>
      <c r="I3" s="5">
        <f>SUM(Table5[[#This Row],[To Do (0%)]:[WON''T DO (100%)]])</f>
        <v>42</v>
      </c>
    </row>
    <row r="4" spans="1:9" ht="18" thickBot="1">
      <c r="A4" s="4" t="s">
        <v>28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42</v>
      </c>
      <c r="H4" s="5">
        <v>3</v>
      </c>
      <c r="I4" s="5">
        <f>SUM(Table5[[#This Row],[To Do (0%)]:[WON''T DO (100%)]])</f>
        <v>46</v>
      </c>
    </row>
    <row r="5" spans="1:9" ht="18" thickBot="1">
      <c r="A5" s="4" t="s">
        <v>29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48</v>
      </c>
      <c r="H5" s="5">
        <v>4</v>
      </c>
      <c r="I5" s="5">
        <f>SUM(Table5[[#This Row],[To Do (0%)]:[WON''T DO (100%)]])</f>
        <v>53</v>
      </c>
    </row>
    <row r="6" spans="1:9" ht="18" thickBot="1">
      <c r="A6" s="4" t="s">
        <v>30</v>
      </c>
      <c r="B6" s="5">
        <v>1</v>
      </c>
      <c r="C6" s="5">
        <v>0</v>
      </c>
      <c r="D6" s="5">
        <v>0</v>
      </c>
      <c r="E6" s="5">
        <v>0</v>
      </c>
      <c r="F6" s="5">
        <v>0</v>
      </c>
      <c r="G6" s="5">
        <v>19</v>
      </c>
      <c r="H6" s="5">
        <v>0</v>
      </c>
      <c r="I6" s="5">
        <f>SUM(Table5[[#This Row],[To Do (0%)]:[WON''T DO (100%)]])</f>
        <v>20</v>
      </c>
    </row>
    <row r="7" spans="1:9" ht="18" thickBot="1">
      <c r="A7" s="4" t="s">
        <v>31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29</v>
      </c>
      <c r="H7" s="5">
        <v>0</v>
      </c>
      <c r="I7" s="5">
        <f>SUM(Table5[[#This Row],[To Do (0%)]:[WON''T DO (100%)]])</f>
        <v>32</v>
      </c>
    </row>
    <row r="8" spans="1:9" ht="18" thickBot="1">
      <c r="A8" s="4" t="s">
        <v>33</v>
      </c>
      <c r="B8" s="5">
        <v>3</v>
      </c>
      <c r="C8" s="5">
        <v>0</v>
      </c>
      <c r="D8" s="5">
        <v>0</v>
      </c>
      <c r="E8" s="5">
        <v>0</v>
      </c>
      <c r="F8" s="5">
        <v>0</v>
      </c>
      <c r="G8" s="5">
        <v>50</v>
      </c>
      <c r="H8" s="5">
        <v>0</v>
      </c>
      <c r="I8" s="5">
        <f>SUM(Table5[[#This Row],[To Do (0%)]:[WON''T DO (100%)]])</f>
        <v>53</v>
      </c>
    </row>
    <row r="9" spans="1:9" ht="18" thickBot="1">
      <c r="A9" s="4" t="s">
        <v>34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24</v>
      </c>
      <c r="H9" s="5">
        <v>1</v>
      </c>
      <c r="I9" s="5">
        <f>SUM(Table5[[#This Row],[To Do (0%)]:[WON''T DO (100%)]])</f>
        <v>25</v>
      </c>
    </row>
    <row r="10" spans="1:9" ht="18" thickBot="1">
      <c r="A10" s="4" t="s">
        <v>41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43</v>
      </c>
      <c r="H10" s="5">
        <v>0</v>
      </c>
      <c r="I10" s="5">
        <f>SUM(Table5[[#This Row],[To Do (0%)]:[WON''T DO (100%)]])</f>
        <v>43</v>
      </c>
    </row>
    <row r="11" spans="1:9" ht="18" thickBot="1">
      <c r="A11" s="4" t="s">
        <v>44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35</v>
      </c>
      <c r="H11" s="5">
        <v>0</v>
      </c>
      <c r="I11" s="5">
        <f>SUM(Table5[[#This Row],[To Do (0%)]:[WON''T DO (100%)]])</f>
        <v>35</v>
      </c>
    </row>
    <row r="12" spans="1:9" ht="18" thickBot="1">
      <c r="A12" s="4" t="s">
        <v>45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29</v>
      </c>
      <c r="H12" s="5">
        <v>0</v>
      </c>
      <c r="I12" s="5">
        <f>SUM(Table5[[#This Row],[To Do (0%)]:[WON''T DO (100%)]])</f>
        <v>29</v>
      </c>
    </row>
    <row r="13" spans="1:9" ht="18" thickBot="1">
      <c r="A13" s="4" t="s">
        <v>48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41</v>
      </c>
      <c r="H13" s="5">
        <v>0</v>
      </c>
      <c r="I13" s="5">
        <f>SUM(Table5[[#This Row],[To Do (0%)]:[WON''T DO (100%)]])</f>
        <v>44</v>
      </c>
    </row>
    <row r="14" spans="1:9" ht="18" thickBot="1">
      <c r="A14" s="4" t="s">
        <v>50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33</v>
      </c>
      <c r="H14" s="5">
        <v>0</v>
      </c>
      <c r="I14" s="5">
        <f>SUM(Table5[[#This Row],[To Do (0%)]:[WON''T DO (100%)]])</f>
        <v>36</v>
      </c>
    </row>
    <row r="15" spans="1:9" ht="18" thickBot="1">
      <c r="A15" s="4" t="s">
        <v>51</v>
      </c>
      <c r="B15" s="5">
        <v>4</v>
      </c>
      <c r="C15" s="5">
        <v>0</v>
      </c>
      <c r="D15" s="5">
        <v>0</v>
      </c>
      <c r="E15" s="5">
        <v>0</v>
      </c>
      <c r="F15" s="5">
        <v>0</v>
      </c>
      <c r="G15" s="5">
        <v>32</v>
      </c>
      <c r="H15" s="5">
        <v>0</v>
      </c>
      <c r="I15" s="5">
        <f>SUM(Table5[[#This Row],[To Do (0%)]:[WON''T DO (100%)]])</f>
        <v>36</v>
      </c>
    </row>
    <row r="16" spans="1:9" ht="18" thickBot="1">
      <c r="A16" s="4" t="s">
        <v>94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31</v>
      </c>
      <c r="H16" s="5">
        <v>0</v>
      </c>
      <c r="I16" s="5">
        <f>SUM(Table5[[#This Row],[To Do (0%)]:[WON''T DO (100%)]])</f>
        <v>31</v>
      </c>
    </row>
    <row r="17" spans="1:9" ht="18" thickBot="1">
      <c r="A17" s="4" t="s">
        <v>95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33</v>
      </c>
      <c r="H17" s="5">
        <v>2</v>
      </c>
      <c r="I17" s="15">
        <f>SUM(Table5[[#This Row],[To Do (0%)]:[WON''T DO (100%)]])</f>
        <v>36</v>
      </c>
    </row>
    <row r="18" spans="1:9" ht="18" thickBot="1">
      <c r="A18" s="4" t="s">
        <v>96</v>
      </c>
      <c r="B18" s="5">
        <v>4</v>
      </c>
      <c r="C18" s="5">
        <v>0</v>
      </c>
      <c r="D18" s="5">
        <v>0</v>
      </c>
      <c r="E18" s="5">
        <v>0</v>
      </c>
      <c r="F18" s="5">
        <v>0</v>
      </c>
      <c r="G18" s="5">
        <v>28</v>
      </c>
      <c r="H18" s="5">
        <v>5</v>
      </c>
      <c r="I18" s="5">
        <f>SUM(Table5[[#This Row],[To Do (0%)]:[WON''T DO (100%)]])</f>
        <v>37</v>
      </c>
    </row>
    <row r="19" spans="1:9" ht="18" thickBot="1">
      <c r="A19" s="4" t="s">
        <v>97</v>
      </c>
      <c r="B19" s="5">
        <v>3</v>
      </c>
      <c r="C19" s="5">
        <v>1</v>
      </c>
      <c r="D19" s="5">
        <v>0</v>
      </c>
      <c r="E19" s="5">
        <v>0</v>
      </c>
      <c r="F19" s="5">
        <v>0</v>
      </c>
      <c r="G19" s="5">
        <v>14</v>
      </c>
      <c r="H19" s="5">
        <v>8</v>
      </c>
      <c r="I19" s="15">
        <f>SUM(Table5[[#This Row],[To Do (0%)]:[WON''T DO (100%)]])</f>
        <v>26</v>
      </c>
    </row>
    <row r="20" spans="1:9" ht="18" thickBot="1">
      <c r="A20" s="4" t="s">
        <v>88</v>
      </c>
      <c r="B20" s="5">
        <v>2</v>
      </c>
      <c r="C20" s="5">
        <v>1</v>
      </c>
      <c r="D20" s="5">
        <v>0</v>
      </c>
      <c r="E20" s="5">
        <v>0</v>
      </c>
      <c r="F20" s="5">
        <v>0</v>
      </c>
      <c r="G20" s="5">
        <v>14</v>
      </c>
      <c r="H20" s="5">
        <v>10</v>
      </c>
      <c r="I20" s="15">
        <f>SUM(Table5[[#This Row],[To Do (0%)]:[WON''T DO (100%)]])</f>
        <v>27</v>
      </c>
    </row>
    <row r="21" spans="1:9" ht="18" thickBot="1">
      <c r="A21" s="4" t="s">
        <v>98</v>
      </c>
      <c r="B21" s="5">
        <v>2</v>
      </c>
      <c r="C21" s="5">
        <v>1</v>
      </c>
      <c r="D21" s="5">
        <v>0</v>
      </c>
      <c r="E21" s="5">
        <v>0</v>
      </c>
      <c r="F21" s="5">
        <v>0</v>
      </c>
      <c r="G21" s="5">
        <v>19</v>
      </c>
      <c r="H21" s="5">
        <v>1</v>
      </c>
      <c r="I21" s="15">
        <f>SUM(Table5[[#This Row],[To Do (0%)]:[WON''T DO (100%)]])</f>
        <v>23</v>
      </c>
    </row>
    <row r="22" spans="1:9" ht="18" thickBot="1">
      <c r="A22" s="4" t="s">
        <v>101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10</v>
      </c>
      <c r="H22" s="5">
        <v>0</v>
      </c>
      <c r="I22" s="15">
        <f>SUM(Table5[[#This Row],[To Do (0%)]:[WON''T DO (100%)]])</f>
        <v>11</v>
      </c>
    </row>
    <row r="23" spans="1:9" ht="18" thickBot="1">
      <c r="A23" s="4" t="s">
        <v>103</v>
      </c>
      <c r="B23" s="5">
        <v>15</v>
      </c>
      <c r="C23" s="5">
        <v>2</v>
      </c>
      <c r="D23" s="5">
        <v>0</v>
      </c>
      <c r="E23" s="5">
        <v>0</v>
      </c>
      <c r="F23" s="5">
        <v>1</v>
      </c>
      <c r="G23" s="5">
        <v>3</v>
      </c>
      <c r="H23" s="5">
        <v>0</v>
      </c>
      <c r="I23" s="15">
        <f>SUM(Table5[[#This Row],[To Do (0%)]:[WON''T DO (100%)]])</f>
        <v>21</v>
      </c>
    </row>
    <row r="24" spans="1:9" ht="18" thickBot="1">
      <c r="A24" s="4" t="s">
        <v>110</v>
      </c>
      <c r="B24" s="5">
        <v>8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15">
        <f>SUM(Table5[[#This Row],[To Do (0%)]:[WON''T DO (100%)]])</f>
        <v>8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6+AND+status+%3D+%22To+Do+%280%25%29%22" xr:uid="{97F6B08B-6331-4B8C-8F45-657EC3D1E8F9}"/>
    <hyperlink ref="D3" r:id="rId2" display="https://xrspace.atlassian.net/issues/?jql=created+%3E%3D+2025-02-01+AND+created+%3C%3D+2026-12-31+AND+type+%3D+Bug+AND+project+%3D+SOVA+AND+Sprint+%3D+2156+AND+status+%3D+%22In+Progress+%2850+%7E+70%25%29%22" xr:uid="{2CE19764-8741-47E6-85F8-7CA5266C34CB}"/>
    <hyperlink ref="G3" r:id="rId3" display="https://xrspace.atlassian.net/issues/?jql=created+%3E%3D+2025-02-01+AND+created+%3C%3D+2026-12-31+AND+type+%3D+Bug+AND+project+%3D+SOVA+AND+Sprint+%3D+2156+AND+status+%3D+%22Done+%28100%25%29%22" xr:uid="{CF707013-C81F-4A85-AC48-8FCF6228781D}"/>
    <hyperlink ref="E3" r:id="rId4" display="https://xrspace.atlassian.net/issues/?jql=created+%3E%3D+2025-02-01+AND+created+%3C%3D+2026-12-31+AND+type+%3D+Bug+AND+project+%3D+SOVA+AND+Sprint+%3D+2156+AND+status+%3D+%22IN+REVIEW+%2880%25%29%22" xr:uid="{D762CE94-80AB-4734-93A5-3F8508FE931D}"/>
    <hyperlink ref="H3" r:id="rId5" display="https://xrspace.atlassian.net/issues/?jql=created+%3E%3D+2025-02-01+AND+created+%3C%3D+2026-12-31+AND+type+%3D+Bug+AND+project+%3D+SOVA+AND+Sprint+%3D+2156+AND+status+%3D+%22WON%27T+DO+%28100%25%29%22" xr:uid="{B93EF06E-2C7D-43C1-B359-60CCA19800CB}"/>
    <hyperlink ref="C3" r:id="rId6" display="https://xrspace.atlassian.net/issues/?jql=created+%3E%3D+2025-02-01+AND+created+%3C%3D+2026-12-31+AND+type+%3D+Bug+AND+project+%3D+SOVA+AND+Sprint+%3D+2156+AND+status+%3D+%22STARTING+%2810+%7E+40%25%29%22" xr:uid="{753B0838-D5BE-4F91-9081-9E257AE874C3}"/>
    <hyperlink ref="F3" r:id="rId7" display="https://xrspace.atlassian.net/issues/?jql=created+%3E%3D+2025-02-01+AND+created+%3C%3D+2026-12-31+AND+type+%3D+Bug+AND+project+%3D+SOVA+AND+Sprint+%3D+2156+AND+status+%3D+%22READY+FOR+TESTING+%2890%25%29%22" xr:uid="{AE59092D-3518-45A2-9C3F-02A6A1D47B0A}"/>
    <hyperlink ref="B4" r:id="rId8" display="https://xrspace.atlassian.net/issues/?jql=created+%3E%3D+2025-02-01+AND+created+%3C%3D+2026-12-31+AND+type+%3D+Bug+AND+project+%3D+SOVA+AND+Sprint+%3D+2157+AND+status+%3D+%22To+Do+%280%25%29%22" xr:uid="{73D7B8FF-149D-473C-BDD3-8EEA2EAA0104}"/>
    <hyperlink ref="D4" r:id="rId9" display="https://xrspace.atlassian.net/issues/?jql=created+%3E%3D+2025-02-01+AND+created+%3C%3D+2026-12-31+AND+type+%3D+Bug+AND+project+%3D+SOVA+AND+Sprint+%3D+2157+AND+status+%3D+%22In+Progress+%2850+%7E+70%25%29%22" xr:uid="{338ADF01-6813-4C9D-B03A-31B18A007CF8}"/>
    <hyperlink ref="G4" r:id="rId10" display="https://xrspace.atlassian.net/issues/?jql=created+%3E%3D+2025-02-01+AND+created+%3C%3D+2026-12-31+AND+type+%3D+Bug+AND+project+%3D+SOVA+AND+Sprint+%3D+2157+AND+status+%3D+%22Done+%28100%25%29%22" xr:uid="{3E1AB134-96A5-4197-903E-EF3A2259BA3D}"/>
    <hyperlink ref="E4" r:id="rId11" display="https://xrspace.atlassian.net/issues/?jql=created+%3E%3D+2025-02-01+AND+created+%3C%3D+2026-12-31+AND+type+%3D+Bug+AND+project+%3D+SOVA+AND+Sprint+%3D+2157+AND+status+%3D+%22IN+REVIEW+%2880%25%29%22" xr:uid="{85F19B3A-B9D0-47D0-91D4-956E9C8E6AEE}"/>
    <hyperlink ref="H4" r:id="rId12" display="https://xrspace.atlassian.net/issues/?jql=created+%3E%3D+2025-02-01+AND+created+%3C%3D+2026-12-31+AND+type+%3D+Bug+AND+project+%3D+SOVA+AND+Sprint+%3D+2157+AND+status+%3D+%22WON%27T+DO+%28100%25%29%22" xr:uid="{6857D4D8-6A00-4708-AC64-E948460F069E}"/>
    <hyperlink ref="C4" r:id="rId13" display="https://xrspace.atlassian.net/issues/?jql=created+%3E%3D+2025-02-01+AND+created+%3C%3D+2026-12-31+AND+type+%3D+Bug+AND+project+%3D+SOVA+AND+Sprint+%3D+2157+AND+status+%3D+%22STARTING+%2810+%7E+40%25%29%22" xr:uid="{9D260C02-F8A0-4CC6-9CCF-8227DD109586}"/>
    <hyperlink ref="F4" r:id="rId14" display="https://xrspace.atlassian.net/issues/?jql=created+%3E%3D+2025-02-01+AND+created+%3C%3D+2026-12-31+AND+type+%3D+Bug+AND+project+%3D+SOVA+AND+Sprint+%3D+2157+AND+status+%3D+%22READY+FOR+TESTING+%2890%25%29%22" xr:uid="{F391AB16-864C-4532-9AE9-EDAF9BE839A2}"/>
    <hyperlink ref="B5" r:id="rId15" display="https://xrspace.atlassian.net/issues/?jql=created+%3E%3D+2025-02-01+AND+created+%3C%3D+2026-12-31+AND+type+%3D+Bug+AND+project+%3D+SOVA+AND+Sprint+%3D+2618+AND+status+%3D+%22To+Do+%280%25%29%22" xr:uid="{8D9CA4CA-2C99-49B9-8FE4-0AEB844094E2}"/>
    <hyperlink ref="D5" r:id="rId16" display="https://xrspace.atlassian.net/issues/?jql=created+%3E%3D+2025-02-01+AND+created+%3C%3D+2026-12-31+AND+type+%3D+Bug+AND+project+%3D+SOVA+AND+Sprint+%3D+2618+AND+status+%3D+%22In+Progress+%2850+%7E+70%25%29%22" xr:uid="{9FEB4A96-9FA8-4DC4-BA13-E4DB16C5E09C}"/>
    <hyperlink ref="G5" r:id="rId17" display="https://xrspace.atlassian.net/issues/?jql=created+%3E%3D+2025-02-01+AND+created+%3C%3D+2026-12-31+AND+type+%3D+Bug+AND+project+%3D+SOVA+AND+Sprint+%3D+2618+AND+status+%3D+%22Done+%28100%25%29%22" xr:uid="{C2FCBAEC-77EE-486B-BB2F-E7187364689E}"/>
    <hyperlink ref="E5" r:id="rId18" display="https://xrspace.atlassian.net/issues/?jql=created+%3E%3D+2025-02-01+AND+created+%3C%3D+2026-12-31+AND+type+%3D+Bug+AND+project+%3D+SOVA+AND+Sprint+%3D+2618+AND+status+%3D+%22IN+REVIEW+%2880%25%29%22" xr:uid="{2472A073-4D5B-43CF-89E8-2A2E2107B462}"/>
    <hyperlink ref="H5" r:id="rId19" display="https://xrspace.atlassian.net/issues/?jql=created+%3E%3D+2025-02-01+AND+created+%3C%3D+2026-12-31+AND+type+%3D+Bug+AND+project+%3D+SOVA+AND+Sprint+%3D+2618+AND+status+%3D+%22WON%27T+DO+%28100%25%29%22" xr:uid="{1A0C03D5-0020-4246-9C4D-97AE0A5B0F73}"/>
    <hyperlink ref="C5" r:id="rId20" display="https://xrspace.atlassian.net/issues/?jql=created+%3E%3D+2025-02-01+AND+created+%3C%3D+2026-12-31+AND+type+%3D+Bug+AND+project+%3D+SOVA+AND+Sprint+%3D+2618+AND+status+%3D+%22STARTING+%2810+%7E+40%25%29%22" xr:uid="{A868CD39-A0B9-4D70-88E3-9CD6EF84BF04}"/>
    <hyperlink ref="F5" r:id="rId21" display="https://xrspace.atlassian.net/issues/?jql=created+%3E%3D+2025-02-01+AND+created+%3C%3D+2026-12-31+AND+type+%3D+Bug+AND+project+%3D+SOVA+AND+Sprint+%3D+2618+AND+status+%3D+%22READY+FOR+TESTING+%2890%25%29%22" xr:uid="{636AF472-7827-4003-A180-F737B814B3FE}"/>
    <hyperlink ref="B6" r:id="rId22" display="https://xrspace.atlassian.net/issues/?jql=created+%3E%3D+2025-02-01+AND+created+%3C%3D+2026-12-31+AND+type+%3D+Bug+AND+project+%3D+SOVA+AND+Sprint+%3D+2619+AND+status+%3D+%22To+Do+%280%25%29%22" xr:uid="{2B251480-09E8-4A43-AD3C-753FDF561FD3}"/>
    <hyperlink ref="D6" r:id="rId23" display="https://xrspace.atlassian.net/issues/?jql=created+%3E%3D+2025-02-01+AND+created+%3C%3D+2026-12-31+AND+type+%3D+Bug+AND+project+%3D+SOVA+AND+Sprint+%3D+2619+AND+status+%3D+%22In+Progress+%2850+%7E+70%25%29%22" xr:uid="{5BB7BA55-FF8C-4004-A094-422BC877741B}"/>
    <hyperlink ref="G6" r:id="rId24" display="https://xrspace.atlassian.net/issues/?jql=created+%3E%3D+2025-02-01+AND+created+%3C%3D+2026-12-31+AND+type+%3D+Bug+AND+project+%3D+SOVA+AND+Sprint+%3D+2619+AND+status+%3D+%22Done+%28100%25%29%22" xr:uid="{193FF21A-0ED8-49AB-AF60-21B747D3794B}"/>
    <hyperlink ref="E6" r:id="rId25" display="https://xrspace.atlassian.net/issues/?jql=created+%3E%3D+2025-02-01+AND+created+%3C%3D+2026-12-31+AND+type+%3D+Bug+AND+project+%3D+SOVA+AND+Sprint+%3D+2619+AND+status+%3D+%22IN+REVIEW+%2880%25%29%22" xr:uid="{713C196C-10CB-43CD-98A5-4427DA027DB1}"/>
    <hyperlink ref="H6" r:id="rId26" display="https://xrspace.atlassian.net/issues/?jql=created+%3E%3D+2025-02-01+AND+created+%3C%3D+2026-12-31+AND+type+%3D+Bug+AND+project+%3D+SOVA+AND+Sprint+%3D+2619+AND+status+%3D+%22WON%27T+DO+%28100%25%29%22" xr:uid="{E476F302-AF43-4566-BB7D-B874C8986983}"/>
    <hyperlink ref="C6" r:id="rId27" display="https://xrspace.atlassian.net/issues/?jql=created+%3E%3D+2025-02-01+AND+created+%3C%3D+2026-12-31+AND+type+%3D+Bug+AND+project+%3D+SOVA+AND+Sprint+%3D+2619+AND+status+%3D+%22STARTING+%2810+%7E+40%25%29%22" xr:uid="{07CA0DE7-2310-47D4-BBE4-F6F66BDB5C3E}"/>
    <hyperlink ref="F6" r:id="rId28" display="https://xrspace.atlassian.net/issues/?jql=created+%3E%3D+2025-02-01+AND+created+%3C%3D+2026-12-31+AND+type+%3D+Bug+AND+project+%3D+SOVA+AND+Sprint+%3D+2619+AND+status+%3D+%22READY+FOR+TESTING+%2890%25%29%22" xr:uid="{AFD24D83-E5B2-452A-95B9-A2822703D296}"/>
    <hyperlink ref="B7" r:id="rId29" display="https://xrspace.atlassian.net/issues/?jql=created+%3E%3D+2025-02-01+AND+created+%3C%3D+2026-12-31+AND+type+%3D+Bug+AND+project+%3D+SOVA+AND+Sprint+%3D+2882+AND+status+%3D+%22To+Do+%280%25%29%22" xr:uid="{DCC996B8-9960-491F-A751-9CDDC79A61EE}"/>
    <hyperlink ref="D7" r:id="rId30" display="https://xrspace.atlassian.net/issues/?jql=created+%3E%3D+2025-02-01+AND+created+%3C%3D+2026-12-31+AND+type+%3D+Bug+AND+project+%3D+SOVA+AND+Sprint+%3D+2882+AND+status+%3D+%22In+Progress+%2850+%7E+70%25%29%22" xr:uid="{FE7264C0-0F9D-4443-92BB-C40DECE26D7B}"/>
    <hyperlink ref="G7" r:id="rId31" display="https://xrspace.atlassian.net/issues/?jql=created+%3E%3D+2025-02-01+AND+created+%3C%3D+2026-12-31+AND+type+%3D+Bug+AND+project+%3D+SOVA+AND+Sprint+%3D+2882+AND+status+%3D+%22Done+%28100%25%29%22" xr:uid="{D5115A28-51E3-4F3A-B1B4-7F9A251D1052}"/>
    <hyperlink ref="E7" r:id="rId32" display="https://xrspace.atlassian.net/issues/?jql=created+%3E%3D+2025-02-01+AND+created+%3C%3D+2026-12-31+AND+type+%3D+Bug+AND+project+%3D+SOVA+AND+Sprint+%3D+2882+AND+status+%3D+%22IN+REVIEW+%2880%25%29%22" xr:uid="{B7ABA0A0-9A6D-4E20-BA5B-8997ECDF265D}"/>
    <hyperlink ref="H7" r:id="rId33" display="https://xrspace.atlassian.net/issues/?jql=created+%3E%3D+2025-02-01+AND+created+%3C%3D+2026-12-31+AND+type+%3D+Bug+AND+project+%3D+SOVA+AND+Sprint+%3D+2882+AND+status+%3D+%22WON%27T+DO+%28100%25%29%22" xr:uid="{7156FC73-161C-408A-9A74-49E0A3B2D6A7}"/>
    <hyperlink ref="C7" r:id="rId34" display="https://xrspace.atlassian.net/issues/?jql=created+%3E%3D+2025-02-01+AND+created+%3C%3D+2026-12-31+AND+type+%3D+Bug+AND+project+%3D+SOVA+AND+Sprint+%3D+2882+AND+status+%3D+%22STARTING+%2810+%7E+40%25%29%22" xr:uid="{3FEBD497-4D52-460D-9057-0F6F38CF4F1D}"/>
    <hyperlink ref="F7" r:id="rId35" display="https://xrspace.atlassian.net/issues/?jql=created+%3E%3D+2025-02-01+AND+created+%3C%3D+2026-12-31+AND+type+%3D+Bug+AND+project+%3D+SOVA+AND+Sprint+%3D+2882+AND+status+%3D+%22READY+FOR+TESTING+%2890%25%29%22" xr:uid="{E1955951-9D86-49A1-B7E4-A829A83D9AEA}"/>
    <hyperlink ref="B8" r:id="rId36" display="https://xrspace.atlassian.net/issues/?jql=created+%3E%3D+2025-02-01+AND+created+%3C%3D+2026-12-31+AND+type+%3D+Bug+AND+project+%3D+SOVA+AND+Sprint+%3D+3213+AND+status+%3D+%22To+Do+%280%25%29%22" xr:uid="{21D631C3-CCAF-4571-BEB4-8934C2A0EA14}"/>
    <hyperlink ref="D8" r:id="rId37" display="https://xrspace.atlassian.net/issues/?jql=created+%3E%3D+2025-02-01+AND+created+%3C%3D+2026-12-31+AND+type+%3D+Bug+AND+project+%3D+SOVA+AND+Sprint+%3D+3213+AND+status+%3D+%22In+Progress+%2850+%7E+70%25%29%22" xr:uid="{74FCAD1E-672D-4858-A527-8016C02B69F2}"/>
    <hyperlink ref="G8" r:id="rId38" display="https://xrspace.atlassian.net/issues/?jql=created+%3E%3D+2025-02-01+AND+created+%3C%3D+2026-12-31+AND+type+%3D+Bug+AND+project+%3D+SOVA+AND+Sprint+%3D+3213+AND+status+%3D+%22Done+%28100%25%29%22" xr:uid="{2FD5EA99-7F49-4E6F-90CD-D0417CDA9D43}"/>
    <hyperlink ref="E8" r:id="rId39" display="https://xrspace.atlassian.net/issues/?jql=created+%3E%3D+2025-02-01+AND+created+%3C%3D+2026-12-31+AND+type+%3D+Bug+AND+project+%3D+SOVA+AND+Sprint+%3D+3213+AND+status+%3D+%22IN+REVIEW+%2880%25%29%22" xr:uid="{408419E7-55DB-4A54-B48F-B1A57DCE1E54}"/>
    <hyperlink ref="H8" r:id="rId40" display="https://xrspace.atlassian.net/issues/?jql=created+%3E%3D+2025-02-01+AND+created+%3C%3D+2026-12-31+AND+type+%3D+Bug+AND+project+%3D+SOVA+AND+Sprint+%3D+3213+AND+status+%3D+%22WON%27T+DO+%28100%25%29%22" xr:uid="{CA56B963-4041-4A2D-A107-EE6A817089F6}"/>
    <hyperlink ref="C8" r:id="rId41" display="https://xrspace.atlassian.net/issues/?jql=created+%3E%3D+2025-02-01+AND+created+%3C%3D+2026-12-31+AND+type+%3D+Bug+AND+project+%3D+SOVA+AND+Sprint+%3D+3213+AND+status+%3D+%22STARTING+%2810+%7E+40%25%29%22" xr:uid="{C798F4C5-C890-4D2A-91BC-ED3B44418D1D}"/>
    <hyperlink ref="F8" r:id="rId42" display="https://xrspace.atlassian.net/issues/?jql=created+%3E%3D+2025-02-01+AND+created+%3C%3D+2026-12-31+AND+type+%3D+Bug+AND+project+%3D+SOVA+AND+Sprint+%3D+3213+AND+status+%3D+%22READY+FOR+TESTING+%2890%25%29%22" xr:uid="{70DAA7BF-2490-4212-A726-3DC65D836F6D}"/>
    <hyperlink ref="B9" r:id="rId43" display="https://xrspace.atlassian.net/issues/?jql=created+%3E%3D+2025-02-01+AND+created+%3C%3D+2026-12-31+AND+type+%3D+Bug+AND+project+%3D+SOVA+AND+Sprint+%3D+3245+AND+status+%3D+%22To+Do+%280%25%29%22" xr:uid="{29752EE5-C54C-489D-9FBB-2AF3B7661FE8}"/>
    <hyperlink ref="D9" r:id="rId44" display="https://xrspace.atlassian.net/issues/?jql=created+%3E%3D+2025-02-01+AND+created+%3C%3D+2026-12-31+AND+type+%3D+Bug+AND+project+%3D+SOVA+AND+Sprint+%3D+3245+AND+status+%3D+%22In+Progress+%2850+%7E+70%25%29%22" xr:uid="{14EDA7AB-AD21-446B-8CDD-B814135C7218}"/>
    <hyperlink ref="G9" r:id="rId45" display="https://xrspace.atlassian.net/issues/?jql=created+%3E%3D+2025-02-01+AND+created+%3C%3D+2026-12-31+AND+type+%3D+Bug+AND+project+%3D+SOVA+AND+Sprint+%3D+3245+AND+status+%3D+%22Done+%28100%25%29%22" xr:uid="{380DEAE9-0EAC-42B9-A71D-1ED751710F8B}"/>
    <hyperlink ref="E9" r:id="rId46" display="https://xrspace.atlassian.net/issues/?jql=created+%3E%3D+2025-02-01+AND+created+%3C%3D+2026-12-31+AND+type+%3D+Bug+AND+project+%3D+SOVA+AND+Sprint+%3D+3245+AND+status+%3D+%22IN+REVIEW+%2880%25%29%22" xr:uid="{06EC0BDC-3CFA-44AB-9836-0A1C78B39465}"/>
    <hyperlink ref="H9" r:id="rId47" display="https://xrspace.atlassian.net/issues/?jql=created+%3E%3D+2025-02-01+AND+created+%3C%3D+2026-12-31+AND+type+%3D+Bug+AND+project+%3D+SOVA+AND+Sprint+%3D+3245+AND+status+%3D+%22WON%27T+DO+%28100%25%29%22" xr:uid="{57B347BC-893B-4BA7-944F-4A19B27AD104}"/>
    <hyperlink ref="C9" r:id="rId48" display="https://xrspace.atlassian.net/issues/?jql=created+%3E%3D+2025-02-01+AND+created+%3C%3D+2026-12-31+AND+type+%3D+Bug+AND+project+%3D+SOVA+AND+Sprint+%3D+3245+AND+status+%3D+%22STARTING+%2810+%7E+40%25%29%22" xr:uid="{19A8BDBF-4974-411F-A11B-AF1BC33D4474}"/>
    <hyperlink ref="F9" r:id="rId49" display="https://xrspace.atlassian.net/issues/?jql=created+%3E%3D+2025-02-01+AND+created+%3C%3D+2026-12-31+AND+type+%3D+Bug+AND+project+%3D+SOVA+AND+Sprint+%3D+3245+AND+status+%3D+%22READY+FOR+TESTING+%2890%25%29%22" xr:uid="{C8535763-75D1-4770-BF9F-D1637AC16360}"/>
    <hyperlink ref="B10" r:id="rId50" display="https://xrspace.atlassian.net/issues/?jql=created+%3E%3D+2025-02-01+AND+created+%3C%3D+2026-12-31+AND+type+%3D+Bug+AND+project+%3D+SOVA+AND+Sprint+%3D+3246+AND+status+%3D+%22To+Do+%280%25%29%22" xr:uid="{1FD3BB21-AF4D-4E52-AADE-B519EEA0E6F8}"/>
    <hyperlink ref="D10" r:id="rId51" display="https://xrspace.atlassian.net/issues/?jql=created+%3E%3D+2025-02-01+AND+created+%3C%3D+2026-12-31+AND+type+%3D+Bug+AND+project+%3D+SOVA+AND+Sprint+%3D+3246+AND+status+%3D+%22In+Progress+%2850+%7E+70%25%29%22" xr:uid="{615399CA-430B-4E09-94AE-342652153380}"/>
    <hyperlink ref="G10" r:id="rId52" display="https://xrspace.atlassian.net/issues/?jql=created+%3E%3D+2025-02-01+AND+created+%3C%3D+2026-12-31+AND+type+%3D+Bug+AND+project+%3D+SOVA+AND+Sprint+%3D+3246+AND+status+%3D+%22Done+%28100%25%29%22" xr:uid="{F575ACC0-675C-4047-9EB9-FD7F3D22277C}"/>
    <hyperlink ref="E10" r:id="rId53" display="https://xrspace.atlassian.net/issues/?jql=created+%3E%3D+2025-02-01+AND+created+%3C%3D+2026-12-31+AND+type+%3D+Bug+AND+project+%3D+SOVA+AND+Sprint+%3D+3246+AND+status+%3D+%22IN+REVIEW+%2880%25%29%22" xr:uid="{A3397DB6-62C6-466B-9472-A430A42CEB6C}"/>
    <hyperlink ref="H10" r:id="rId54" display="https://xrspace.atlassian.net/issues/?jql=created+%3E%3D+2025-02-01+AND+created+%3C%3D+2026-12-31+AND+type+%3D+Bug+AND+project+%3D+SOVA+AND+Sprint+%3D+3246+AND+status+%3D+%22WON%27T+DO+%28100%25%29%22" xr:uid="{3B3EE6CC-0D3D-415A-80AF-A6C6BE933731}"/>
    <hyperlink ref="C10" r:id="rId55" display="https://xrspace.atlassian.net/issues/?jql=created+%3E%3D+2025-02-01+AND+created+%3C%3D+2026-12-31+AND+type+%3D+Bug+AND+project+%3D+SOVA+AND+Sprint+%3D+3246+AND+status+%3D+%22STARTING+%2810+%7E+40%25%29%22" xr:uid="{7C001704-87D3-41D7-AF65-F99635990AFC}"/>
    <hyperlink ref="F10" r:id="rId56" display="https://xrspace.atlassian.net/issues/?jql=created+%3E%3D+2025-02-01+AND+created+%3C%3D+2026-12-31+AND+type+%3D+Bug+AND+project+%3D+SOVA+AND+Sprint+%3D+3246+AND+status+%3D+%22READY+FOR+TESTING+%2890%25%29%22" xr:uid="{DD5BB0F2-DBF5-44FD-BAC9-CFE228FE7724}"/>
    <hyperlink ref="B11" r:id="rId57" display="https://xrspace.atlassian.net/issues/?jql=created+%3E%3D+2025-02-01+AND+created+%3C%3D+2026-12-31+AND+type+%3D+Bug+AND+project+%3D+SOVA+AND+Sprint+%3D+3575+AND+status+%3D+%22To+Do+%280%25%29%22" xr:uid="{DDDE3DF0-6E6E-46B5-A29C-33D29B33D304}"/>
    <hyperlink ref="D11" r:id="rId58" display="https://xrspace.atlassian.net/issues/?jql=created+%3E%3D+2025-02-01+AND+created+%3C%3D+2026-12-31+AND+type+%3D+Bug+AND+project+%3D+SOVA+AND+Sprint+%3D+3575+AND+status+%3D+%22In+Progress+%2850+%7E+70%25%29%22" xr:uid="{52A3BC6B-4C12-438B-B198-BE3634D73DCD}"/>
    <hyperlink ref="G11" r:id="rId59" display="https://xrspace.atlassian.net/issues/?jql=created+%3E%3D+2025-02-01+AND+created+%3C%3D+2026-12-31+AND+type+%3D+Bug+AND+project+%3D+SOVA+AND+Sprint+%3D+3575+AND+status+%3D+%22Done+%28100%25%29%22" xr:uid="{3D811382-00B5-43EA-B32D-3278480D9E68}"/>
    <hyperlink ref="E11" r:id="rId60" display="https://xrspace.atlassian.net/issues/?jql=created+%3E%3D+2025-02-01+AND+created+%3C%3D+2026-12-31+AND+type+%3D+Bug+AND+project+%3D+SOVA+AND+Sprint+%3D+3575+AND+status+%3D+%22IN+REVIEW+%2880%25%29%22" xr:uid="{803C85B2-F2C8-4AC9-85BA-F16C339B96E6}"/>
    <hyperlink ref="H11" r:id="rId61" display="https://xrspace.atlassian.net/issues/?jql=created+%3E%3D+2025-02-01+AND+created+%3C%3D+2026-12-31+AND+type+%3D+Bug+AND+project+%3D+SOVA+AND+Sprint+%3D+3575+AND+status+%3D+%22WON%27T+DO+%28100%25%29%22" xr:uid="{21E346AE-2AC3-4A55-8717-7C6ABD2CB25C}"/>
    <hyperlink ref="C11" r:id="rId62" display="https://xrspace.atlassian.net/issues/?jql=created+%3E%3D+2025-02-01+AND+created+%3C%3D+2026-12-31+AND+type+%3D+Bug+AND+project+%3D+SOVA+AND+Sprint+%3D+3575+AND+status+%3D+%22STARTING+%2810+%7E+40%25%29%22" xr:uid="{CC47B98E-F61B-49C8-B8EF-AFFBAA4E5447}"/>
    <hyperlink ref="F11" r:id="rId63" display="https://xrspace.atlassian.net/issues/?jql=created+%3E%3D+2025-02-01+AND+created+%3C%3D+2026-12-31+AND+type+%3D+Bug+AND+project+%3D+SOVA+AND+Sprint+%3D+3575+AND+status+%3D+%22READY+FOR+TESTING+%2890%25%29%22" xr:uid="{855D923A-E1A6-41C9-8B06-3776053E30FE}"/>
    <hyperlink ref="B12" r:id="rId64" display="https://xrspace.atlassian.net/issues/?jql=created+%3E%3D+2025-02-01+AND+created+%3C%3D+2026-12-31+AND+type+%3D+Bug+AND+project+%3D+SOVA+AND+Sprint+%3D+3608+AND+status+%3D+%22To+Do+%280%25%29%22" xr:uid="{EEEA534A-3E56-4005-8B3C-889884CBF0D3}"/>
    <hyperlink ref="D12" r:id="rId65" display="https://xrspace.atlassian.net/issues/?jql=created+%3E%3D+2025-02-01+AND+created+%3C%3D+2026-12-31+AND+type+%3D+Bug+AND+project+%3D+SOVA+AND+Sprint+%3D+3608+AND+status+%3D+%22In+Progress+%2850+%7E+70%25%29%22" xr:uid="{E65D65D7-94A6-4C4A-9792-59817A87728A}"/>
    <hyperlink ref="G12" r:id="rId66" display="https://xrspace.atlassian.net/issues/?jql=created+%3E%3D+2025-02-01+AND+created+%3C%3D+2026-12-31+AND+type+%3D+Bug+AND+project+%3D+SOVA+AND+Sprint+%3D+3608+AND+status+%3D+%22Done+%28100%25%29%22" xr:uid="{383B18D0-3DEE-4FAB-A3A5-9F92891C889B}"/>
    <hyperlink ref="E12" r:id="rId67" display="https://xrspace.atlassian.net/issues/?jql=created+%3E%3D+2025-02-01+AND+created+%3C%3D+2026-12-31+AND+type+%3D+Bug+AND+project+%3D+SOVA+AND+Sprint+%3D+3608+AND+status+%3D+%22IN+REVIEW+%2880%25%29%22" xr:uid="{6C05C6E7-2529-4C75-9098-B3C20460C320}"/>
    <hyperlink ref="H12" r:id="rId68" display="https://xrspace.atlassian.net/issues/?jql=created+%3E%3D+2025-02-01+AND+created+%3C%3D+2026-12-31+AND+type+%3D+Bug+AND+project+%3D+SOVA+AND+Sprint+%3D+3608+AND+status+%3D+%22WON%27T+DO+%28100%25%29%22" xr:uid="{D4FD4B56-5AB4-494E-8724-56BAB26A761B}"/>
    <hyperlink ref="C12" r:id="rId69" display="https://xrspace.atlassian.net/issues/?jql=created+%3E%3D+2025-02-01+AND+created+%3C%3D+2026-12-31+AND+type+%3D+Bug+AND+project+%3D+SOVA+AND+Sprint+%3D+3608+AND+status+%3D+%22STARTING+%2810+%7E+40%25%29%22" xr:uid="{800875E2-867C-485D-8C29-3D8B910B70EB}"/>
    <hyperlink ref="F12" r:id="rId70" display="https://xrspace.atlassian.net/issues/?jql=created+%3E%3D+2025-02-01+AND+created+%3C%3D+2026-12-31+AND+type+%3D+Bug+AND+project+%3D+SOVA+AND+Sprint+%3D+3608+AND+status+%3D+%22READY+FOR+TESTING+%2890%25%29%22" xr:uid="{1B892854-2C9F-4EB7-82DA-88BCD24757CB}"/>
    <hyperlink ref="B13" r:id="rId71" display="https://xrspace.atlassian.net/issues/?jql=created+%3E%3D+2025-02-01+AND+created+%3C%3D+2026-12-31+AND+type+%3D+Bug+AND+project+%3D+SOVA+AND+Sprint+%3D+3872+AND+status+%3D+%22To+Do+%280%25%29%22" xr:uid="{48E94CC3-E6CB-4057-8C7D-EF75D371AC4E}"/>
    <hyperlink ref="D13" r:id="rId72" display="https://xrspace.atlassian.net/issues/?jql=created+%3E%3D+2025-02-01+AND+created+%3C%3D+2026-12-31+AND+type+%3D+Bug+AND+project+%3D+SOVA+AND+Sprint+%3D+3872+AND+status+%3D+%22In+Progress+%2850+%7E+70%25%29%22" xr:uid="{786A83B5-36C4-4A25-85D9-B5063E225F64}"/>
    <hyperlink ref="G13" r:id="rId73" display="https://xrspace.atlassian.net/issues/?jql=created+%3E%3D+2025-02-01+AND+created+%3C%3D+2026-12-31+AND+type+%3D+Bug+AND+project+%3D+SOVA+AND+Sprint+%3D+3872+AND+status+%3D+%22Done+%28100%25%29%22" xr:uid="{F3B6E45C-D41B-43CE-AE71-3D0FD1C4B5B8}"/>
    <hyperlink ref="E13" r:id="rId74" display="https://xrspace.atlassian.net/issues/?jql=created+%3E%3D+2025-02-01+AND+created+%3C%3D+2026-12-31+AND+type+%3D+Bug+AND+project+%3D+SOVA+AND+Sprint+%3D+3872+AND+status+%3D+%22IN+REVIEW+%2880%25%29%22" xr:uid="{1B8A11DA-A114-4D3A-BBD7-7A1C44B63CAB}"/>
    <hyperlink ref="H13" r:id="rId75" display="https://xrspace.atlassian.net/issues/?jql=created+%3E%3D+2025-02-01+AND+created+%3C%3D+2026-12-31+AND+type+%3D+Bug+AND+project+%3D+SOVA+AND+Sprint+%3D+3872+AND+status+%3D+%22WON%27T+DO+%28100%25%29%22" xr:uid="{73A9633C-3DBF-47C8-AB17-2875D8083CD2}"/>
    <hyperlink ref="C13" r:id="rId76" display="https://xrspace.atlassian.net/issues/?jql=created+%3E%3D+2025-02-01+AND+created+%3C%3D+2026-12-31+AND+type+%3D+Bug+AND+project+%3D+SOVA+AND+Sprint+%3D+3872+AND+status+%3D+%22STARTING+%2810+%7E+40%25%29%22" xr:uid="{41BE0B95-7F00-41BD-B26E-F61E0D0ECF57}"/>
    <hyperlink ref="F13" r:id="rId77" display="https://xrspace.atlassian.net/issues/?jql=created+%3E%3D+2025-02-01+AND+created+%3C%3D+2026-12-31+AND+type+%3D+Bug+AND+project+%3D+SOVA+AND+Sprint+%3D+3872+AND+status+%3D+%22READY+FOR+TESTING+%2890%25%29%22" xr:uid="{C5303366-F11C-48A2-A19B-37666DB31384}"/>
    <hyperlink ref="B14" r:id="rId78" display="https://xrspace.atlassian.net/issues/?jql=created+%3E%3D+2025-02-01+AND+created+%3C%3D+2026-12-31+AND+type+%3D+Bug+AND+project+%3D+SOVA+AND+Sprint+%3D+3873+AND+status+%3D+%22To+Do+%280%25%29%22" xr:uid="{1F783EF2-0C56-40FB-A7FC-BBDB76FC95A2}"/>
    <hyperlink ref="D14" r:id="rId79" display="https://xrspace.atlassian.net/issues/?jql=created+%3E%3D+2025-02-01+AND+created+%3C%3D+2026-12-31+AND+type+%3D+Bug+AND+project+%3D+SOVA+AND+Sprint+%3D+3873+AND+status+%3D+%22In+Progress+%2850+%7E+70%25%29%22" xr:uid="{C80B98EC-3369-4CC5-8D4B-4B0CAE809355}"/>
    <hyperlink ref="G14" r:id="rId80" display="https://xrspace.atlassian.net/issues/?jql=created+%3E%3D+2025-02-01+AND+created+%3C%3D+2026-12-31+AND+type+%3D+Bug+AND+project+%3D+SOVA+AND+Sprint+%3D+3873+AND+status+%3D+%22Done+%28100%25%29%22" xr:uid="{430F09D6-5389-47F0-92F3-6673E410CCF8}"/>
    <hyperlink ref="E14" r:id="rId81" display="https://xrspace.atlassian.net/issues/?jql=created+%3E%3D+2025-02-01+AND+created+%3C%3D+2026-12-31+AND+type+%3D+Bug+AND+project+%3D+SOVA+AND+Sprint+%3D+3873+AND+status+%3D+%22IN+REVIEW+%2880%25%29%22" xr:uid="{B7B40CED-8051-46D8-AC23-AA0B60E07991}"/>
    <hyperlink ref="H14" r:id="rId82" display="https://xrspace.atlassian.net/issues/?jql=created+%3E%3D+2025-02-01+AND+created+%3C%3D+2026-12-31+AND+type+%3D+Bug+AND+project+%3D+SOVA+AND+Sprint+%3D+3873+AND+status+%3D+%22WON%27T+DO+%28100%25%29%22" xr:uid="{311E5105-9939-4D2B-B29D-90CE009DC12C}"/>
    <hyperlink ref="C14" r:id="rId83" display="https://xrspace.atlassian.net/issues/?jql=created+%3E%3D+2025-02-01+AND+created+%3C%3D+2026-12-31+AND+type+%3D+Bug+AND+project+%3D+SOVA+AND+Sprint+%3D+3873+AND+status+%3D+%22STARTING+%2810+%7E+40%25%29%22" xr:uid="{37C5211C-854A-4824-8F7A-0EE2AD92CF8F}"/>
    <hyperlink ref="F14" r:id="rId84" display="https://xrspace.atlassian.net/issues/?jql=created+%3E%3D+2025-02-01+AND+created+%3C%3D+2026-12-31+AND+type+%3D+Bug+AND+project+%3D+SOVA+AND+Sprint+%3D+3873+AND+status+%3D+%22READY+FOR+TESTING+%2890%25%29%22" xr:uid="{ECE827E7-7014-4EBE-8731-C173A3E16090}"/>
    <hyperlink ref="B2" r:id="rId85" display="https://xrspace.atlassian.net/issues/?jql=created+%3E%3D+2025-02-01+AND+created+%3C%3D+2026-12-31+AND+type+%3D+Bug+AND+project+%3D+SOVA+AND+Sprint+%3D+2915+AND+status+%3D+%22To+Do+%280%25%29%22" xr:uid="{ECC2139E-791E-4770-9749-924C8171413E}"/>
    <hyperlink ref="D2" r:id="rId86" display="https://xrspace.atlassian.net/issues/?jql=created+%3E%3D+2025-02-01+AND+created+%3C%3D+2026-12-31+AND+type+%3D+Bug+AND+project+%3D+SOVA+AND+Sprint+%3D+2915+AND+status+%3D+%22In+Progress+%2850+%7E+70%25%29%22" xr:uid="{A3490D76-D554-40B0-94C2-6BCE62D65128}"/>
    <hyperlink ref="G2" r:id="rId87" display="https://xrspace.atlassian.net/issues/?jql=created+%3E%3D+2025-02-01+AND+created+%3C%3D+2026-12-31+AND+type+%3D+Bug+AND+project+%3D+SOVA+AND+Sprint+%3D+2915+AND+status+%3D+%22Done+%28100%25%29%22" xr:uid="{E73331BD-FAD2-46B3-9C4A-B1F1944F18FC}"/>
    <hyperlink ref="E2" r:id="rId88" display="https://xrspace.atlassian.net/issues/?jql=created+%3E%3D+2025-02-01+AND+created+%3C%3D+2026-12-31+AND+type+%3D+Bug+AND+project+%3D+SOVA+AND+Sprint+%3D+2915+AND+status+%3D+%22IN+REVIEW+%2880%25%29%22" xr:uid="{363312FF-8351-469B-A0E2-96F2CEBC31DF}"/>
    <hyperlink ref="H2" r:id="rId89" display="https://xrspace.atlassian.net/issues/?jql=created+%3E%3D+2025-02-01+AND+created+%3C%3D+2026-12-31+AND+type+%3D+Bug+AND+project+%3D+SOVA+AND+Sprint+%3D+2915+AND+status+%3D+%22WON%27T+DO+%28100%25%29%22" xr:uid="{33FD27D8-D06C-4600-84C6-9AF958F84B2B}"/>
    <hyperlink ref="C2" r:id="rId90" display="https://xrspace.atlassian.net/issues/?jql=created+%3E%3D+2025-02-01+AND+created+%3C%3D+2026-12-31+AND+type+%3D+Bug+AND+project+%3D+SOVA+AND+Sprint+%3D+2915+AND+status+%3D+%22STARTING+%2810+%7E+40%25%29%22" xr:uid="{C0932090-8C86-4ADD-B05E-5218E24825BD}"/>
    <hyperlink ref="F2" r:id="rId91" display="https://xrspace.atlassian.net/issues/?jql=created+%3E%3D+2025-02-01+AND+created+%3C%3D+2026-12-31+AND+type+%3D+Bug+AND+project+%3D+SOVA+AND+Sprint+%3D+2915+AND+status+%3D+%22READY+FOR+TESTING+%2890%25%29%22" xr:uid="{A689B4DB-1B76-459A-A757-14C2A4E04261}"/>
    <hyperlink ref="B15" r:id="rId92" display="https://xrspace.atlassian.net/issues/?jql=created+%3E%3D+2025-02-01+AND+created+%3C%3D+2026-12-31+AND+type+%3D+Bug+AND+project+%3D+SOVA+AND+Sprint+%3D+4140+AND+status+%3D+%22To+Do+%280%25%29%22" xr:uid="{CEC46233-AEB1-43F5-BBF4-45B55E1036E7}"/>
    <hyperlink ref="D15" r:id="rId93" display="https://xrspace.atlassian.net/issues/?jql=created+%3E%3D+2025-02-01+AND+created+%3C%3D+2026-12-31+AND+type+%3D+Bug+AND+project+%3D+SOVA+AND+Sprint+%3D+4140+AND+status+%3D+%22In+Progress+%2850+%7E+70%25%29%22" xr:uid="{E00230F7-006F-4483-8FF9-293DDDC7BCD2}"/>
    <hyperlink ref="G15" r:id="rId94" display="https://xrspace.atlassian.net/issues/?jql=created+%3E%3D+2025-02-01+AND+created+%3C%3D+2026-12-31+AND+type+%3D+Bug+AND+project+%3D+SOVA+AND+Sprint+%3D+4140+AND+status+%3D+%22Done+%28100%25%29%22" xr:uid="{08C36869-7439-481C-88F2-C2B5F3E85362}"/>
    <hyperlink ref="E15" r:id="rId95" display="https://xrspace.atlassian.net/issues/?jql=created+%3E%3D+2025-02-01+AND+created+%3C%3D+2026-12-31+AND+type+%3D+Bug+AND+project+%3D+SOVA+AND+Sprint+%3D+4140+AND+status+%3D+%22IN+REVIEW+%2880%25%29%22" xr:uid="{A80CFC3A-2BAA-4A2C-943E-E0A50A2D9378}"/>
    <hyperlink ref="H15" r:id="rId96" display="https://xrspace.atlassian.net/issues/?jql=created+%3E%3D+2025-02-01+AND+created+%3C%3D+2026-12-31+AND+type+%3D+Bug+AND+project+%3D+SOVA+AND+Sprint+%3D+4140+AND+status+%3D+%22WON%27T+DO+%28100%25%29%22" xr:uid="{8B8D1DAF-6253-472F-9A66-933E4916940C}"/>
    <hyperlink ref="C15" r:id="rId97" display="https://xrspace.atlassian.net/issues/?jql=created+%3E%3D+2025-02-01+AND+created+%3C%3D+2026-12-31+AND+type+%3D+Bug+AND+project+%3D+SOVA+AND+Sprint+%3D+4140+AND+status+%3D+%22STARTING+%2810+%7E+40%25%29%22" xr:uid="{A6CEB30F-B1BB-4EEF-B70E-3EC83B3E3438}"/>
    <hyperlink ref="F15" r:id="rId98" display="https://xrspace.atlassian.net/issues/?jql=created+%3E%3D+2025-02-01+AND+created+%3C%3D+2026-12-31+AND+type+%3D+Bug+AND+project+%3D+SOVA+AND+Sprint+%3D+4140+AND+status+%3D+%22READY+FOR+TESTING+%2890%25%29%22" xr:uid="{1D76AB3E-7128-401F-BCD5-4869C78E8EAE}"/>
    <hyperlink ref="B16" r:id="rId99" display="https://xrspace.atlassian.net/issues/?jql=created+%3E%3D+2025-02-01+AND+created+%3C%3D+2026-12-31+AND+type+%3D+Bug+AND+project+%3D+SOVA+AND+Sprint+%3D+4206+AND+status+%3D+%22To+Do+%280%25%29%22" xr:uid="{EBE7433A-5296-449E-BBB7-313B398D004B}"/>
    <hyperlink ref="D16" r:id="rId100" display="https://xrspace.atlassian.net/issues/?jql=created+%3E%3D+2025-02-01+AND+created+%3C%3D+2026-12-31+AND+type+%3D+Bug+AND+project+%3D+SOVA+AND+Sprint+%3D+4206+AND+status+%3D+%22In+Progress+%2850+%7E+70%25%29%22" xr:uid="{D874F7C9-B94F-48A0-915C-704EEAAC0A20}"/>
    <hyperlink ref="E16" r:id="rId101" display="https://xrspace.atlassian.net/issues/?jql=created+%3E%3D+2025-02-01+AND+created+%3C%3D+2026-12-31+AND+type+%3D+Bug+AND+project+%3D+SOVA+AND+Sprint+%3D+4206+AND+status+%3D+%22IN+REVIEW+%2880%25%29%22" xr:uid="{9F1D3361-B1B3-4C77-84C8-3C11CE2DE020}"/>
    <hyperlink ref="H16" r:id="rId102" display="https://xrspace.atlassian.net/issues/?jql=created+%3E%3D+2025-02-01+AND+created+%3C%3D+2026-12-31+AND+type+%3D+Bug+AND+project+%3D+SOVA+AND+Sprint+%3D+4206+AND+status+%3D+%22WON%27T+DO+%28100%25%29%22" xr:uid="{D7147B34-65EC-45ED-81A5-F54C88208DB7}"/>
    <hyperlink ref="C16" r:id="rId103" display="https://xrspace.atlassian.net/issues/?jql=created+%3E%3D+2025-02-01+AND+created+%3C%3D+2026-12-31+AND+type+%3D+Bug+AND+project+%3D+SOVA+AND+Sprint+%3D+4206+AND+status+%3D+%22STARTING+%2810+%7E+40%25%29%22" xr:uid="{C4B33AA8-220C-4E12-8F9A-34AF8A2A6704}"/>
    <hyperlink ref="F16" r:id="rId104" display="https://xrspace.atlassian.net/issues/?jql=created+%3E%3D+2025-02-01+AND+created+%3C%3D+2026-12-31+AND+type+%3D+Bug+AND+project+%3D+SOVA+AND+Sprint+%3D+4206+AND+status+%3D+%22READY+FOR+TESTING+%2890%25%29%22" xr:uid="{FA2A7FCF-6347-4D7A-80C3-6D8350C82DA4}"/>
    <hyperlink ref="B17" r:id="rId105" display="https://xrspace.atlassian.net/issues/?jql=created+%3E%3D+2025-02-01+AND+created+%3C%3D+2026-12-31+AND+type+%3D+Bug+AND+project+%3D+SOVA+AND+Sprint+%3D+4477+AND+status+%3D+%22To+Do+%280%25%29%22" xr:uid="{59CA8689-C1F2-41EE-A465-066C0E0DEFAF}"/>
    <hyperlink ref="D17" r:id="rId106" display="https://xrspace.atlassian.net/issues/?jql=created+%3E%3D+2025-02-01+AND+created+%3C%3D+2026-12-31+AND+type+%3D+Bug+AND+project+%3D+SOVA+AND+Sprint+%3D+4477+AND+status+%3D+%22In+Progress+%2850+%7E+70%25%29%22" xr:uid="{F50DDE7E-9D60-4E00-9DC2-6D595997FB9C}"/>
    <hyperlink ref="E17" r:id="rId107" display="https://xrspace.atlassian.net/issues/?jql=created+%3E%3D+2025-02-01+AND+created+%3C%3D+2026-12-31+AND+type+%3D+Bug+AND+project+%3D+SOVA+AND+Sprint+%3D+4477+AND+status+%3D+%22IN+REVIEW+%2880%25%29%22" xr:uid="{0A86B503-ADC0-444D-ABBB-6764D5EEB2B1}"/>
    <hyperlink ref="H17" r:id="rId108" display="https://xrspace.atlassian.net/issues/?jql=created+%3E%3D+2025-02-01+AND+created+%3C%3D+2026-12-31+AND+type+%3D+Bug+AND+project+%3D+SOVA+AND+Sprint+%3D+4477+AND+status+%3D+%22WON%27T+DO+%28100%25%29%22" xr:uid="{E95F6969-5600-4805-A22E-451097FF33C3}"/>
    <hyperlink ref="C17" r:id="rId109" display="https://xrspace.atlassian.net/issues/?jql=created+%3E%3D+2025-02-01+AND+created+%3C%3D+2026-12-31+AND+type+%3D+Bug+AND+project+%3D+SOVA+AND+Sprint+%3D+4477+AND+status+%3D+%22STARTING+%2810+%7E+40%25%29%22" xr:uid="{F5CD2F46-915C-47FF-912B-89000081E733}"/>
    <hyperlink ref="F17" r:id="rId110" display="https://xrspace.atlassian.net/issues/?jql=created+%3E%3D+2025-02-01+AND+created+%3C%3D+2026-12-31+AND+type+%3D+Bug+AND+project+%3D+SOVA+AND+Sprint+%3D+4477+AND+status+%3D+%22READY+FOR+TESTING+%2890%25%29%22" xr:uid="{200E82B0-B654-4A00-8530-FCEB858874D0}"/>
    <hyperlink ref="B18" r:id="rId111" display="https://xrspace.atlassian.net/issues/?jql=created+%3E%3D+2025-02-01+AND+created+%3C%3D+2026-12-31+AND+type+%3D+Bug+AND+project+%3D+SOVA+AND+Sprint+%3D+4478+AND+status+%3D+%22To+Do+%280%25%29%22" xr:uid="{BCDCF649-5CBC-42E4-8620-1C81AF1B23FF}"/>
    <hyperlink ref="D18" r:id="rId112" display="https://xrspace.atlassian.net/issues/?jql=created+%3E%3D+2025-02-01+AND+created+%3C%3D+2026-12-31+AND+type+%3D+Bug+AND+project+%3D+SOVA+AND+Sprint+%3D+4478+AND+status+%3D+%22In+Progress+%2850+%7E+70%25%29%22" xr:uid="{E54331BB-C33D-4380-B73F-3756F0FC2F14}"/>
    <hyperlink ref="E18" r:id="rId113" display="https://xrspace.atlassian.net/issues/?jql=created+%3E%3D+2025-02-01+AND+created+%3C%3D+2026-12-31+AND+type+%3D+Bug+AND+project+%3D+SOVA+AND+Sprint+%3D+4478+AND+status+%3D+%22IN+REVIEW+%2880%25%29%22" xr:uid="{2A006D1C-721E-497A-B5CC-85CAEE423836}"/>
    <hyperlink ref="H18" r:id="rId114" display="https://xrspace.atlassian.net/issues/?jql=created+%3E%3D+2025-02-01+AND+created+%3C%3D+2026-12-31+AND+type+%3D+Bug+AND+project+%3D+SOVA+AND+Sprint+%3D+4478+AND+status+%3D+%22WON%27T+DO+%28100%25%29%22" xr:uid="{57474496-F8C0-4883-9C04-278511F4F901}"/>
    <hyperlink ref="C18" r:id="rId115" display="https://xrspace.atlassian.net/issues/?jql=created+%3E%3D+2025-02-01+AND+created+%3C%3D+2026-12-31+AND+type+%3D+Bug+AND+project+%3D+SOVA+AND+Sprint+%3D+4478+AND+status+%3D+%22STARTING+%2810+%7E+40%25%29%22" xr:uid="{4CA530EA-7090-445A-B98D-FACDA3F39B99}"/>
    <hyperlink ref="F18" r:id="rId116" display="https://xrspace.atlassian.net/issues/?jql=created+%3E%3D+2025-02-01+AND+created+%3C%3D+2026-12-31+AND+type+%3D+Bug+AND+project+%3D+SOVA+AND+Sprint+%3D+4478+AND+status+%3D+%22READY+FOR+TESTING+%2890%25%29%22" xr:uid="{3FB61006-C835-41E0-A898-176B637118A4}"/>
    <hyperlink ref="B19" r:id="rId117" display="https://xrspace.atlassian.net/issues/?jql=created+%3E%3D+2025-02-01+AND+created+%3C%3D+2026-12-31+AND+type+%3D+Bug+AND+project+%3D+SOVA+AND+Sprint+%3D+4677+AND+status+%3D+%22To+Do+%280%25%29%22" xr:uid="{654A79F9-EC00-4B49-BB80-493704BBFB18}"/>
    <hyperlink ref="D19" r:id="rId118" display="https://xrspace.atlassian.net/issues/?jql=created+%3E%3D+2025-02-01+AND+created+%3C%3D+2026-12-31+AND+type+%3D+Bug+AND+project+%3D+SOVA+AND+Sprint+%3D+4677+AND+status+%3D+%22In+Progress+%2850+%7E+70%25%29%22" xr:uid="{E38AD4A5-6768-4CD8-914B-6C113E6877F5}"/>
    <hyperlink ref="E19" r:id="rId119" display="https://xrspace.atlassian.net/issues/?jql=created+%3E%3D+2025-02-01+AND+created+%3C%3D+2026-12-31+AND+type+%3D+Bug+AND+project+%3D+SOVA+AND+Sprint+%3D+4677+AND+status+%3D+%22IN+REVIEW+%2880%25%29%22" xr:uid="{945C014B-9E64-40C4-8707-855DE9581DB7}"/>
    <hyperlink ref="H19" r:id="rId120" display="https://xrspace.atlassian.net/issues/?jql=created+%3E%3D+2025-02-01+AND+created+%3C%3D+2026-12-31+AND+type+%3D+Bug+AND+project+%3D+SOVA+AND+Sprint+%3D+4677+AND+status+%3D+%22WON%27T+DO+%28100%25%29%22" xr:uid="{CD41350E-CC13-46C9-9B58-5FD048617A17}"/>
    <hyperlink ref="C19" r:id="rId121" display="https://xrspace.atlassian.net/issues/?jql=created+%3E%3D+2025-02-01+AND+created+%3C%3D+2026-12-31+AND+type+%3D+Bug+AND+project+%3D+SOVA+AND+Sprint+%3D+4677+AND+status+%3D+%22STARTING+%2810+%7E+40%25%29%22" xr:uid="{A5900141-601A-4A94-BF84-E34806FCEE5E}"/>
    <hyperlink ref="F19" r:id="rId122" display="https://xrspace.atlassian.net/issues/?jql=created+%3E%3D+2025-02-01+AND+created+%3C%3D+2026-12-31+AND+type+%3D+Bug+AND+project+%3D+SOVA+AND+Sprint+%3D+4677+AND+status+%3D+%22READY+FOR+TESTING+%2890%25%29%22" xr:uid="{31386E48-3615-49CF-AFA9-BFCFBF36DEC6}"/>
    <hyperlink ref="B20" r:id="rId123" display="https://xrspace.atlassian.net/issues/?jql=created+%3E%3D+2025-02-01+AND+created+%3C%3D+2026-12-31+AND+type+%3D+Bug+AND+project+%3D+SOVA+AND+Sprint+%3D+4678+AND+status+%3D+%22To+Do+%280%25%29%22" xr:uid="{C9CA4C4B-AEBC-4EB6-857A-159C4D3A53E8}"/>
    <hyperlink ref="D20" r:id="rId124" display="https://xrspace.atlassian.net/issues/?jql=created+%3E%3D+2025-02-01+AND+created+%3C%3D+2026-12-31+AND+type+%3D+Bug+AND+project+%3D+SOVA+AND+Sprint+%3D+4678+AND+status+%3D+%22In+Progress+%2850+%7E+70%25%29%22" xr:uid="{9A281456-11AE-473B-8CBA-EFE9C54F7885}"/>
    <hyperlink ref="E20" r:id="rId125" display="https://xrspace.atlassian.net/issues/?jql=created+%3E%3D+2025-02-01+AND+created+%3C%3D+2026-12-31+AND+type+%3D+Bug+AND+project+%3D+SOVA+AND+Sprint+%3D+4678+AND+status+%3D+%22IN+REVIEW+%2880%25%29%22" xr:uid="{34A1D8C0-20A6-4436-A4B1-C6F90A138397}"/>
    <hyperlink ref="H20" r:id="rId126" display="https://xrspace.atlassian.net/issues/?jql=created+%3E%3D+2025-02-01+AND+created+%3C%3D+2026-12-31+AND+type+%3D+Bug+AND+project+%3D+SOVA+AND+Sprint+%3D+4678+AND+status+%3D+%22WON%27T+DO+%28100%25%29%22" xr:uid="{6814B0AE-3A96-4530-8883-02C68E3974C5}"/>
    <hyperlink ref="C20" r:id="rId127" display="https://xrspace.atlassian.net/issues/?jql=created+%3E%3D+2025-02-01+AND+created+%3C%3D+2026-12-31+AND+type+%3D+Bug+AND+project+%3D+SOVA+AND+Sprint+%3D+4678+AND+status+%3D+%22STARTING+%2810+%7E+40%25%29%22" xr:uid="{7B7C24DA-E67D-488C-90E9-3AEF3BC30D9B}"/>
    <hyperlink ref="F20" r:id="rId128" display="https://xrspace.atlassian.net/issues/?jql=created+%3E%3D+2025-02-01+AND+created+%3C%3D+2026-12-31+AND+type+%3D+Bug+AND+project+%3D+SOVA+AND+Sprint+%3D+4678+AND+status+%3D+%22READY+FOR+TESTING+%2890%25%29%22" xr:uid="{B5B90D06-A815-4003-8ACA-27DFC2CAE260}"/>
    <hyperlink ref="B21" r:id="rId129" display="https://xrspace.atlassian.net/issues/?jql=created+%3E%3D+2025-02-01+AND+created+%3C%3D+2026-12-31+AND+type+%3D+Bug+AND+project+%3D+SOVA+AND+Sprint+%3D+4910+AND+status+%3D+%22To+Do+%280%25%29%22" xr:uid="{C57E3CD6-E2E1-4878-86C0-C8A4F74B6943}"/>
    <hyperlink ref="D21" r:id="rId130" display="https://xrspace.atlassian.net/issues/?jql=created+%3E%3D+2025-02-01+AND+created+%3C%3D+2026-12-31+AND+type+%3D+Bug+AND+project+%3D+SOVA+AND+Sprint+%3D+4910+AND+status+%3D+%22In+Progress+%2850+%7E+70%25%29%22" xr:uid="{0C6FD858-1ADF-4092-AA2B-9713208568CA}"/>
    <hyperlink ref="E21" r:id="rId131" display="https://xrspace.atlassian.net/issues/?jql=created+%3E%3D+2025-02-01+AND+created+%3C%3D+2026-12-31+AND+type+%3D+Bug+AND+project+%3D+SOVA+AND+Sprint+%3D+4910+AND+status+%3D+%22IN+REVIEW+%2880%25%29%22" xr:uid="{6CC6B938-791A-41C1-9389-927962895B22}"/>
    <hyperlink ref="H21" r:id="rId132" display="https://xrspace.atlassian.net/issues/?jql=created+%3E%3D+2025-02-01+AND+created+%3C%3D+2026-12-31+AND+type+%3D+Bug+AND+project+%3D+SOVA+AND+Sprint+%3D+4910+AND+status+%3D+%22WON%27T+DO+%28100%25%29%22" xr:uid="{DE0D1CEA-7FA4-4205-819F-73863F40783F}"/>
    <hyperlink ref="C21" r:id="rId133" display="https://xrspace.atlassian.net/issues/?jql=created+%3E%3D+2025-02-01+AND+created+%3C%3D+2026-12-31+AND+type+%3D+Bug+AND+project+%3D+SOVA+AND+Sprint+%3D+4910+AND+status+%3D+%22STARTING+%2810+%7E+40%25%29%22" xr:uid="{4D39EF51-3FDE-4C27-9EF4-5524AC910EEE}"/>
    <hyperlink ref="F21" r:id="rId134" display="https://xrspace.atlassian.net/issues/?jql=created+%3E%3D+2025-02-01+AND+created+%3C%3D+2026-12-31+AND+type+%3D+Bug+AND+project+%3D+SOVA+AND+Sprint+%3D+4910+AND+status+%3D+%22READY+FOR+TESTING+%2890%25%29%22" xr:uid="{9DFAE6B0-1AEE-448C-BA14-1F313DBE1602}"/>
    <hyperlink ref="B22" r:id="rId135" display="https://xrspace.atlassian.net/issues/?jql=created+%3E%3D+2025-02-01+AND+created+%3C%3D+2026-12-31+AND+type+%3D+Bug+AND+project+%3D+SOVA+AND+Sprint+%3D+5044+AND+status+%3D+%22To+Do+%280%25%29%22" xr:uid="{BE6D6466-4A5A-4AB2-9EFA-2C4D2C1E8AFF}"/>
    <hyperlink ref="D22" r:id="rId136" display="https://xrspace.atlassian.net/issues/?jql=created+%3E%3D+2025-02-01+AND+created+%3C%3D+2026-12-31+AND+type+%3D+Bug+AND+project+%3D+SOVA+AND+Sprint+%3D+5044+AND+status+%3D+%22In+Progress+%2850+%7E+70%25%29%22" xr:uid="{7470F8A9-8284-4AEA-9FA2-BF9CE7937358}"/>
    <hyperlink ref="E22" r:id="rId137" display="https://xrspace.atlassian.net/issues/?jql=created+%3E%3D+2025-02-01+AND+created+%3C%3D+2026-12-31+AND+type+%3D+Bug+AND+project+%3D+SOVA+AND+Sprint+%3D+5044+AND+status+%3D+%22IN+REVIEW+%2880%25%29%22" xr:uid="{7956657D-26D3-4605-9E99-33F3A1D6B6EE}"/>
    <hyperlink ref="H22" r:id="rId138" display="https://xrspace.atlassian.net/issues/?jql=created+%3E%3D+2025-02-01+AND+created+%3C%3D+2026-12-31+AND+type+%3D+Bug+AND+project+%3D+SOVA+AND+Sprint+%3D+5044+AND+status+%3D+%22WON%27T+DO+%28100%25%29%22" xr:uid="{C623CAE8-6648-4155-A74E-0042B043D15D}"/>
    <hyperlink ref="C22" r:id="rId139" display="https://xrspace.atlassian.net/issues/?jql=created+%3E%3D+2025-02-01+AND+created+%3C%3D+2026-12-31+AND+type+%3D+Bug+AND+project+%3D+SOVA+AND+Sprint+%3D+5044+AND+status+%3D+%22STARTING+%2810+%7E+40%25%29%22" xr:uid="{14ECCE02-C0D5-48C6-A5C8-CDCDF283EB78}"/>
    <hyperlink ref="F22" r:id="rId140" display="https://xrspace.atlassian.net/issues/?jql=created+%3E%3D+2025-02-01+AND+created+%3C%3D+2026-12-31+AND+type+%3D+Bug+AND+project+%3D+SOVA+AND+Sprint+%3D+5044+AND+status+%3D+%22READY+FOR+TESTING+%2890%25%29%22" xr:uid="{A9DEE48A-109D-4928-A89F-ABCB122792D5}"/>
    <hyperlink ref="B23" r:id="rId141" display="https://xrspace.atlassian.net/issues/?jql=created+%3E%3D+2025-02-01+AND+created+%3C%3D+2026-12-31+AND+type+%3D+Bug+AND+project+%3D+SOVA+AND+Sprint+%3D+5045+AND+status+%3D+%22To+Do+%280%25%29%22" xr:uid="{5A2F68C6-B54C-4C1F-94CC-2735B4FC62AA}"/>
    <hyperlink ref="D23" r:id="rId142" display="https://xrspace.atlassian.net/issues/?jql=created+%3E%3D+2025-02-01+AND+created+%3C%3D+2026-12-31+AND+type+%3D+Bug+AND+project+%3D+SOVA+AND+Sprint+%3D+5045+AND+status+%3D+%22In+Progress+%2850+%7E+70%25%29%22" xr:uid="{43B2273B-A0AD-40BF-B3CF-58D6ED229970}"/>
    <hyperlink ref="E23" r:id="rId143" display="https://xrspace.atlassian.net/issues/?jql=created+%3E%3D+2025-02-01+AND+created+%3C%3D+2026-12-31+AND+type+%3D+Bug+AND+project+%3D+SOVA+AND+Sprint+%3D+5045+AND+status+%3D+%22IN+REVIEW+%2880%25%29%22" xr:uid="{F142813D-5F7B-4E11-9FCD-070E0AC8ADEB}"/>
    <hyperlink ref="H23" r:id="rId144" display="https://xrspace.atlassian.net/issues/?jql=created+%3E%3D+2025-02-01+AND+created+%3C%3D+2026-12-31+AND+type+%3D+Bug+AND+project+%3D+SOVA+AND+Sprint+%3D+5045+AND+status+%3D+%22WON%27T+DO+%28100%25%29%22" xr:uid="{07AA1D2D-87B1-4E5F-9019-007777379DA0}"/>
    <hyperlink ref="C23" r:id="rId145" display="https://xrspace.atlassian.net/issues/?jql=created+%3E%3D+2025-02-01+AND+created+%3C%3D+2026-12-31+AND+type+%3D+Bug+AND+project+%3D+SOVA+AND+Sprint+%3D+5045+AND+status+%3D+%22STARTING+%2810+%7E+40%25%29%22" xr:uid="{514E936D-004B-4D0F-BFA9-D24E2C16742C}"/>
    <hyperlink ref="F23" r:id="rId146" display="https://xrspace.atlassian.net/issues/?jql=created+%3E%3D+2025-02-01+AND+created+%3C%3D+2026-12-31+AND+type+%3D+Bug+AND+project+%3D+SOVA+AND+Sprint+%3D+5045+AND+status+%3D+%22READY+FOR+TESTING+%2890%25%29%22" xr:uid="{D2B98F43-625C-4C5F-B4CD-DAA65AAD3C31}"/>
    <hyperlink ref="B24" r:id="rId147" display="https://xrspace.atlassian.net/issues/?jql=created+%3E%3D+2025-02-01+AND+created+%3C%3D+2026-12-31+AND+type+%3D+Bug+AND+project+%3D+SOVA+AND+Sprint+%3D+5078+AND+status+%3D+%22To+Do+%280%25%29%22" xr:uid="{843EBD87-0262-4B26-B795-F87A820AA39F}"/>
    <hyperlink ref="D24" r:id="rId148" display="https://xrspace.atlassian.net/issues/?jql=created+%3E%3D+2025-02-01+AND+created+%3C%3D+2026-12-31+AND+type+%3D+Bug+AND+project+%3D+SOVA+AND+Sprint+%3D+5078+AND+status+%3D+%22In+Progress+%2850+%7E+70%25%29%22" xr:uid="{D90209FA-5A42-4641-8FFF-5327312A652C}"/>
    <hyperlink ref="E24" r:id="rId149" display="https://xrspace.atlassian.net/issues/?jql=created+%3E%3D+2025-02-01+AND+created+%3C%3D+2026-12-31+AND+type+%3D+Bug+AND+project+%3D+SOVA+AND+Sprint+%3D+5078+AND+status+%3D+%22IN+REVIEW+%2880%25%29%22" xr:uid="{5BEC239B-6589-4860-9853-978B7AF22DF4}"/>
    <hyperlink ref="H24" r:id="rId150" display="https://xrspace.atlassian.net/issues/?jql=created+%3E%3D+2025-02-01+AND+created+%3C%3D+2026-12-31+AND+type+%3D+Bug+AND+project+%3D+SOVA+AND+Sprint+%3D+5078+AND+status+%3D+%22WON%27T+DO+%28100%25%29%22" xr:uid="{721280F6-C5CE-4331-88CE-6E49D1B5C6A3}"/>
    <hyperlink ref="C24" r:id="rId151" display="https://xrspace.atlassian.net/issues/?jql=created+%3E%3D+2025-02-01+AND+created+%3C%3D+2026-12-31+AND+type+%3D+Bug+AND+project+%3D+SOVA+AND+Sprint+%3D+5078+AND+status+%3D+%22STARTING+%2810+%7E+40%25%29%22" xr:uid="{0D134C8E-43C9-4790-9EB4-58547C99D977}"/>
    <hyperlink ref="F24" r:id="rId152" display="https://xrspace.atlassian.net/issues/?jql=created+%3E%3D+2025-02-01+AND+created+%3C%3D+2026-12-31+AND+type+%3D+Bug+AND+project+%3D+SOVA+AND+Sprint+%3D+5078+AND+status+%3D+%22READY+FOR+TESTING+%2890%25%29%22" xr:uid="{C239BF9C-0D18-44ED-B019-C3E5AA99FF46}"/>
    <hyperlink ref="G16" r:id="rId153" display="https://xrspace.atlassian.net/issues/?jql=created+%3E%3D+2025-02-01+AND+created+%3C%3D+2026-12-31+AND+type+%3D+Bug+AND+project+%3D+SOVA+AND+Sprint+%3D+4206+AND+status+%3D+%22Done+%28100%25%29%22" xr:uid="{A125BFD2-35B7-40C9-B4E3-CABF3B4FB481}"/>
    <hyperlink ref="G17" r:id="rId154" display="https://xrspace.atlassian.net/issues/?jql=created+%3E%3D+2025-02-01+AND+created+%3C%3D+2026-12-31+AND+type+%3D+Bug+AND+project+%3D+SOVA+AND+Sprint+%3D+4477+AND+status+%3D+%22Done+%28100%25%29%22" xr:uid="{F068A1F6-B397-4F92-8579-C9F34E179374}"/>
    <hyperlink ref="G18" r:id="rId155" display="https://xrspace.atlassian.net/issues/?jql=created+%3E%3D+2025-02-01+AND+created+%3C%3D+2026-12-31+AND+type+%3D+Bug+AND+project+%3D+SOVA+AND+Sprint+%3D+4478+AND+status+%3D+%22Done+%28100%25%29%22" xr:uid="{6FCF7054-5C99-4F04-86EB-D0211B256B99}"/>
    <hyperlink ref="G19" r:id="rId156" display="https://xrspace.atlassian.net/issues/?jql=created+%3E%3D+2025-02-01+AND+created+%3C%3D+2026-12-31+AND+type+%3D+Bug+AND+project+%3D+SOVA+AND+Sprint+%3D+4677+AND+status+%3D+%22Done+%28100%25%29%22" xr:uid="{6412AB69-01AB-4A0A-AF48-238CB8933AD9}"/>
    <hyperlink ref="G20" r:id="rId157" display="https://xrspace.atlassian.net/issues/?jql=created+%3E%3D+2025-02-01+AND+created+%3C%3D+2026-12-31+AND+type+%3D+Bug+AND+project+%3D+SOVA+AND+Sprint+%3D+4678+AND+status+%3D+%22Done+%28100%25%29%22" xr:uid="{EF22CFFE-00E3-4A1C-A810-8165B0B35800}"/>
    <hyperlink ref="G21" r:id="rId158" display="https://xrspace.atlassian.net/issues/?jql=created+%3E%3D+2025-02-01+AND+created+%3C%3D+2026-12-31+AND+type+%3D+Bug+AND+project+%3D+SOVA+AND+Sprint+%3D+4910+AND+status+%3D+%22Done+%28100%25%29%22" xr:uid="{9F3AD8E1-4C46-4BB4-9335-A8617D665C34}"/>
    <hyperlink ref="G22" r:id="rId159" display="https://xrspace.atlassian.net/issues/?jql=created+%3E%3D+2025-02-01+AND+created+%3C%3D+2026-12-31+AND+type+%3D+Bug+AND+project+%3D+SOVA+AND+Sprint+%3D+5044+AND+status+%3D+%22Done+%28100%25%29%22" xr:uid="{771970A7-7F19-4D05-9B7C-C3CA4FF29043}"/>
    <hyperlink ref="G23" r:id="rId160" display="https://xrspace.atlassian.net/issues/?jql=created+%3E%3D+2025-02-01+AND+created+%3C%3D+2026-12-31+AND+type+%3D+Bug+AND+project+%3D+SOVA+AND+Sprint+%3D+5045+AND+status+%3D+%22Done+%28100%25%29%22" xr:uid="{710A57A1-3964-4216-9E22-27B2DBD33277}"/>
    <hyperlink ref="G24" r:id="rId161" display="https://xrspace.atlassian.net/issues/?jql=created+%3E%3D+2025-02-01+AND+created+%3C%3D+2026-12-31+AND+type+%3D+Bug+AND+project+%3D+SOVA+AND+Sprint+%3D+5078+AND+status+%3D+%22Done+%28100%25%29%22" xr:uid="{5B0ED04E-0ED3-48B4-AE9E-2217221918C2}"/>
  </hyperlinks>
  <pageMargins left="0.7" right="0.7" top="0.75" bottom="0.75" header="0.3" footer="0.3"/>
  <pageSetup orientation="portrait" r:id="rId162"/>
  <drawing r:id="rId163"/>
  <tableParts count="1">
    <tablePart r:id="rId16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7"/>
  <sheetViews>
    <sheetView workbookViewId="0">
      <selection activeCell="A28" sqref="A28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  <row r="23" spans="1:5" ht="20.100000000000001" customHeight="1">
      <c r="A23" s="3" t="s">
        <v>102</v>
      </c>
      <c r="B23" s="14">
        <v>98</v>
      </c>
      <c r="C23" s="14">
        <v>1</v>
      </c>
      <c r="D23" s="14">
        <v>14</v>
      </c>
      <c r="E23" s="14">
        <f>SUM(Table25[[#This Row],[Done]:[TODO (P1)]])</f>
        <v>113</v>
      </c>
    </row>
    <row r="24" spans="1:5" ht="20.100000000000001" customHeight="1">
      <c r="A24" s="3" t="s">
        <v>104</v>
      </c>
      <c r="B24" s="14">
        <v>98</v>
      </c>
      <c r="C24" s="14">
        <v>1</v>
      </c>
      <c r="D24" s="14">
        <v>14</v>
      </c>
      <c r="E24" s="14">
        <f>SUM(Table25[[#This Row],[Done]:[TODO (P1)]])</f>
        <v>113</v>
      </c>
    </row>
    <row r="25" spans="1:5" ht="20.100000000000001" customHeight="1">
      <c r="A25" s="3" t="s">
        <v>107</v>
      </c>
      <c r="B25" s="14">
        <v>98</v>
      </c>
      <c r="C25" s="14">
        <v>1</v>
      </c>
      <c r="D25" s="14">
        <v>14</v>
      </c>
      <c r="E25" s="14">
        <f>SUM(Table25[[#This Row],[Done]:[TODO (P1)]])</f>
        <v>113</v>
      </c>
    </row>
    <row r="26" spans="1:5" ht="20.100000000000001" customHeight="1">
      <c r="A26" s="3" t="s">
        <v>108</v>
      </c>
      <c r="B26" s="14">
        <v>98</v>
      </c>
      <c r="C26" s="14">
        <v>1</v>
      </c>
      <c r="D26" s="14">
        <v>14</v>
      </c>
      <c r="E26" s="14">
        <f>SUM(Table25[[#This Row],[Done]:[TODO (P1)]])</f>
        <v>113</v>
      </c>
    </row>
    <row r="27" spans="1:5" ht="20.100000000000001" customHeight="1">
      <c r="A27" s="3" t="s">
        <v>109</v>
      </c>
      <c r="B27" s="14">
        <v>98</v>
      </c>
      <c r="C27" s="14">
        <v>1</v>
      </c>
      <c r="D27" s="14">
        <v>14</v>
      </c>
      <c r="E27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2026-04-16T23:45:05Z</dcterms:modified>
</cp:coreProperties>
</file>