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443002C4-4E3D-47F6-8236-D86F70EE479B}" xr6:coauthVersionLast="47" xr6:coauthVersionMax="47" xr10:uidLastSave="{00000000-0000-0000-0000-000000000000}"/>
  <bookViews>
    <workbookView xWindow="-120" yWindow="-120" windowWidth="29040" windowHeight="15720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" i="1" l="1"/>
  <c r="H34" i="2"/>
  <c r="H32" i="2"/>
  <c r="H33" i="2"/>
  <c r="E20" i="6"/>
  <c r="E19" i="6"/>
  <c r="E27" i="1"/>
  <c r="H31" i="2"/>
  <c r="E26" i="1"/>
  <c r="H18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21" i="6"/>
  <c r="E18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E29" i="1"/>
  <c r="E25" i="1"/>
  <c r="E17" i="6"/>
  <c r="H29" i="2"/>
  <c r="E24" i="1"/>
  <c r="E16" i="6"/>
  <c r="H28" i="2"/>
  <c r="H27" i="2"/>
  <c r="E23" i="1"/>
  <c r="E15" i="6"/>
  <c r="E22" i="1"/>
  <c r="E14" i="6"/>
  <c r="E13" i="6"/>
  <c r="H25" i="2"/>
  <c r="E21" i="1"/>
  <c r="E12" i="6"/>
  <c r="E20" i="1"/>
  <c r="E19" i="1"/>
  <c r="H24" i="2"/>
  <c r="H23" i="2"/>
  <c r="E18" i="1"/>
  <c r="E10" i="6"/>
  <c r="E17" i="1"/>
  <c r="H26" i="2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E2" i="1"/>
  <c r="E3" i="1"/>
  <c r="E4" i="1"/>
  <c r="E5" i="1"/>
  <c r="E6" i="1"/>
  <c r="E7" i="1"/>
  <c r="E8" i="1"/>
  <c r="E9" i="1"/>
  <c r="E10" i="1"/>
  <c r="E11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<sst xmlns="http://schemas.openxmlformats.org/spreadsheetml/2006/main" count="186" uniqueCount="105">
  <si>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</si>
  <si>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</si>
  <si>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</si>
  <si>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</si>
  <si>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</si>
  <si>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</si>
  <si>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</si>
  <si>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</si>
  <si>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</si>
  <si>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</si>
  <si>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</si>
  <si>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</si>
  <si>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</si>
  <si>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</si>
  <si>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</si>
  <si>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</si>
  <si>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</si>
  <si>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</si>
  <si>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</si>
  <si>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</si>
  <si>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</si>
  <si>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</si>
  <si>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</si>
  <si>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</si>
  <si>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</si>
  <si>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</si>
  <si>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</si>
  <si>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</si>
  <si>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</si>
  <si>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</si>
  <si>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</si>
  <si>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</si>
  <si>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</si>
  <si>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</si>
  <si>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</si>
  <si>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</si>
  <si>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</si>
  <si>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</si>
  <si>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</si>
  <si>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</si>
  <si>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</si>
  <si>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</si>
  <si>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</si>
  <si>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</si>
  <si>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</si>
  <si>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</si>
  <si>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</si>
  <si>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</si>
  <si>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</si>
  <si>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</si>
  <si>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</si>
  <si>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</si>
  <si>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</si>
  <si>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</si>
  <si>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</si>
  <si>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</si>
  <si>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</si>
  <si>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</si>
  <si>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</si>
  <si>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</si>
  <si>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</si>
  <si>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</si>
  <si>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</si>
  <si>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</si>
  <si>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</si>
  <si>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</si>
  <si>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</si>
  <si>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</si>
  <si>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</si>
  <si>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</si>
  <si>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</si>
  <si>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</si>
  <si>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</si>
  <si>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</si>
  <si>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</si>
  <si>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</si>
  <si>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</si>
  <si>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</si>
  <si>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</si>
  <si>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</si>
  <si>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</si>
  <si>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</si>
  <si>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</si>
  <si>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</si>
  <si>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</si>
  <si>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</si>
  <si>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</si>
  <si>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</si>
  <si>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</si>
  <si>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</si>
  <si>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26W03</t>
  </si>
  <si>
    <t>26W04</t>
  </si>
  <si>
    <t>26W05</t>
  </si>
  <si>
    <t>v1.38</t>
  </si>
  <si>
    <t>v1.39</t>
  </si>
  <si>
    <t>y26w10</t>
  </si>
  <si>
    <t>None</t>
  </si>
  <si>
    <t>26W06</t>
  </si>
  <si>
    <t>26W07</t>
  </si>
  <si>
    <t>y26w02</t>
  </si>
  <si>
    <t>y26w04</t>
  </si>
  <si>
    <t>y26w06</t>
  </si>
  <si>
    <t>y26w08</t>
  </si>
  <si>
    <t>26W10</t>
  </si>
  <si>
    <t>26W08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</si>
</sst>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TestAutomationProgress!$A$2:$A$29</c:f>
              <c:strCache>
                <c:ptCount val="28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  <c:pt idx="26">
                  <c:v>26W07</c:v>
                </c:pt>
                <c:pt idx="27">
                  <c:v>26W10</c:v>
                </c:pt>
              </c:strCache>
            </c:strRef>
          </c:cat>
          <c:val>
            <c:numRef>
              <c:f>TestAutomationProgress!$B$2:$B$29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TestAutomationProgress!$A$2:$A$29</c:f>
              <c:strCache>
                <c:ptCount val="28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  <c:pt idx="26">
                  <c:v>26W07</c:v>
                </c:pt>
                <c:pt idx="27">
                  <c:v>26W10</c:v>
                </c:pt>
              </c:strCache>
            </c:strRef>
          </c:cat>
          <c:val>
            <c:numRef>
              <c:f>TestAutomationProgress!$C$2:$C$29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TestAutomationProgress!$A$2:$A$29</c:f>
              <c:strCache>
                <c:ptCount val="28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  <c:pt idx="26">
                  <c:v>26W07</c:v>
                </c:pt>
                <c:pt idx="27">
                  <c:v>26W10</c:v>
                </c:pt>
              </c:strCache>
            </c:strRef>
          </c:cat>
          <c:val>
            <c:numRef>
              <c:f>TestAutomationProgress!$D$2:$D$29</c:f>
              <c:numCache>
                <c:formatCode>General</c:formatCode>
                <c:ptCount val="28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162</c:v>
                </c:pt>
                <c:pt idx="21">
                  <c:v>162</c:v>
                </c:pt>
                <c:pt idx="22">
                  <c:v>162</c:v>
                </c:pt>
                <c:pt idx="23">
                  <c:v>162</c:v>
                </c:pt>
                <c:pt idx="24">
                  <c:v>161</c:v>
                </c:pt>
                <c:pt idx="25">
                  <c:v>161</c:v>
                </c:pt>
                <c:pt idx="26">
                  <c:v>161</c:v>
                </c:pt>
                <c:pt idx="27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'Humi-TestResult'!$B$2:$B$18</c:f>
              <c:numCache>
                <c:formatCode>General</c:formatCode>
                <c:ptCount val="17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'Humi-TestResult'!$C$2:$C$18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'Humi-TestResult'!$D$2:$D$18</c:f>
              <c:numCache>
                <c:formatCode>General</c:formatCode>
                <c:ptCount val="17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'Humi-TestResult'!$E$2:$E$18</c:f>
              <c:numCache>
                <c:formatCode>General</c:formatCode>
                <c:ptCount val="17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'Humi-TestResult'!$F$2:$F$18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'Humi-TestResult'!$G$2:$G$18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'Humi-TestResult'!$H$2:$H$18</c:f>
              <c:numCache>
                <c:formatCode>General</c:formatCode>
                <c:ptCount val="17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'SOVA-TestResult'!$A$2:$A$34</c:f>
              <c:strCache>
                <c:ptCount val="33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</c:strCache>
            </c:strRef>
          </c:cat>
          <c:val>
            <c:numRef>
              <c:f>'SOVA-TestResult'!$B$2:$B$34</c:f>
              <c:numCache>
                <c:formatCode>General</c:formatCode>
                <c:ptCount val="33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  <c:pt idx="31">
                  <c:v>687</c:v>
                </c:pt>
                <c:pt idx="32">
                  <c:v>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'SOVA-TestResult'!$A$2:$A$34</c:f>
              <c:strCache>
                <c:ptCount val="33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</c:strCache>
            </c:strRef>
          </c:cat>
          <c:val>
            <c:numRef>
              <c:f>'SOVA-TestResult'!$C$2:$C$34</c:f>
              <c:numCache>
                <c:formatCode>General</c:formatCode>
                <c:ptCount val="33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  <c:pt idx="31">
                  <c:v>1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'SOVA-TestResult'!$A$2:$A$34</c:f>
              <c:strCache>
                <c:ptCount val="33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</c:strCache>
            </c:strRef>
          </c:cat>
          <c:val>
            <c:numRef>
              <c:f>'SOVA-TestResult'!$D$2:$D$34</c:f>
              <c:numCache>
                <c:formatCode>General</c:formatCode>
                <c:ptCount val="33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'SOVA-TestResult'!$A$2:$A$34</c:f>
              <c:strCache>
                <c:ptCount val="33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</c:strCache>
            </c:strRef>
          </c:cat>
          <c:val>
            <c:numRef>
              <c:f>'SOVA-TestResult'!$E$2:$E$34</c:f>
              <c:numCache>
                <c:formatCode>General</c:formatCode>
                <c:ptCount val="33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  <c:pt idx="31">
                  <c:v>3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'SOVA-TestResult'!$A$2:$A$34</c:f>
              <c:strCache>
                <c:ptCount val="33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</c:strCache>
            </c:strRef>
          </c:cat>
          <c:val>
            <c:numRef>
              <c:f>'SOVA-TestResult'!$F$2:$F$34</c:f>
              <c:numCache>
                <c:formatCode>General</c:formatCode>
                <c:ptCount val="33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  <c:pt idx="31">
                  <c:v>12</c:v>
                </c:pt>
                <c:pt idx="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'SOVA-TestResult'!$A$2:$A$34</c:f>
              <c:strCache>
                <c:ptCount val="33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</c:strCache>
            </c:strRef>
          </c:cat>
          <c:val>
            <c:numRef>
              <c:f>'SOVA-TestResult'!$G$2:$G$34</c:f>
              <c:numCache>
                <c:formatCode>General</c:formatCode>
                <c:ptCount val="33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'SOVA-TestResult'!$A$2:$A$34</c:f>
              <c:strCache>
                <c:ptCount val="33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</c:strCache>
            </c:strRef>
          </c:cat>
          <c:val>
            <c:numRef>
              <c:f>'SOVA-TestResult'!$H$2:$H$34</c:f>
              <c:numCache>
                <c:formatCode>General</c:formatCode>
                <c:ptCount val="33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  <c:pt idx="31">
                  <c:v>704</c:v>
                </c:pt>
                <c:pt idx="32">
                  <c:v>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'Humi-BugTrend'!$B$2:$B$21</c:f>
              <c:numCache>
                <c:formatCode>General</c:formatCode>
                <c:ptCount val="20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12</c:v>
                </c:pt>
                <c:pt idx="11">
                  <c:v>0</c:v>
                </c:pt>
                <c:pt idx="12">
                  <c:v>2</c:v>
                </c:pt>
                <c:pt idx="13">
                  <c:v>11</c:v>
                </c:pt>
                <c:pt idx="14">
                  <c:v>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'Humi-BugTrend'!$D$2:$D$21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'Humi-BugTrend'!$E$2:$E$21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'Humi-BugTrend'!$F$2:$F$21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'Humi-BugTrend'!$G$2:$G$21</c:f>
              <c:numCache>
                <c:formatCode>General</c:formatCode>
                <c:ptCount val="20"/>
                <c:pt idx="0">
                  <c:v>66</c:v>
                </c:pt>
                <c:pt idx="1">
                  <c:v>48</c:v>
                </c:pt>
                <c:pt idx="2">
                  <c:v>46</c:v>
                </c:pt>
                <c:pt idx="3">
                  <c:v>34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40</c:v>
                </c:pt>
                <c:pt idx="14">
                  <c:v>38</c:v>
                </c:pt>
                <c:pt idx="15">
                  <c:v>35</c:v>
                </c:pt>
                <c:pt idx="16">
                  <c:v>18</c:v>
                </c:pt>
                <c:pt idx="17">
                  <c:v>12</c:v>
                </c:pt>
                <c:pt idx="18">
                  <c:v>8</c:v>
                </c:pt>
                <c:pt idx="1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'Humi-BugTrend'!$H$2:$H$21</c:f>
              <c:numCache>
                <c:formatCode>General</c:formatCode>
                <c:ptCount val="20"/>
                <c:pt idx="0">
                  <c:v>75</c:v>
                </c:pt>
                <c:pt idx="1">
                  <c:v>52</c:v>
                </c:pt>
                <c:pt idx="2">
                  <c:v>61</c:v>
                </c:pt>
                <c:pt idx="3">
                  <c:v>49</c:v>
                </c:pt>
                <c:pt idx="4">
                  <c:v>40</c:v>
                </c:pt>
                <c:pt idx="5">
                  <c:v>68</c:v>
                </c:pt>
                <c:pt idx="6">
                  <c:v>48</c:v>
                </c:pt>
                <c:pt idx="7">
                  <c:v>39</c:v>
                </c:pt>
                <c:pt idx="8">
                  <c:v>37</c:v>
                </c:pt>
                <c:pt idx="9">
                  <c:v>2</c:v>
                </c:pt>
                <c:pt idx="10">
                  <c:v>21</c:v>
                </c:pt>
                <c:pt idx="11">
                  <c:v>12</c:v>
                </c:pt>
                <c:pt idx="12">
                  <c:v>11</c:v>
                </c:pt>
                <c:pt idx="13">
                  <c:v>51</c:v>
                </c:pt>
                <c:pt idx="14">
                  <c:v>38</c:v>
                </c:pt>
                <c:pt idx="15">
                  <c:v>42</c:v>
                </c:pt>
                <c:pt idx="16">
                  <c:v>21</c:v>
                </c:pt>
                <c:pt idx="17">
                  <c:v>12</c:v>
                </c:pt>
                <c:pt idx="18">
                  <c:v>9</c:v>
                </c:pt>
                <c:pt idx="1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'SOVA-BugTrend'!$B$2:$B$26</c:f>
              <c:numCache>
                <c:formatCode>General</c:formatCode>
                <c:ptCount val="25"/>
                <c:pt idx="0">
                  <c:v>159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</c:v>
                </c:pt>
                <c:pt idx="18">
                  <c:v>4</c:v>
                </c:pt>
                <c:pt idx="19">
                  <c:v>6</c:v>
                </c:pt>
                <c:pt idx="20">
                  <c:v>2</c:v>
                </c:pt>
                <c:pt idx="21">
                  <c:v>3</c:v>
                </c:pt>
                <c:pt idx="22">
                  <c:v>7</c:v>
                </c:pt>
                <c:pt idx="23">
                  <c:v>6</c:v>
                </c:pt>
                <c:pt idx="2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'SOVA-BugTrend'!$D$2:$D$26</c:f>
              <c:numCache>
                <c:formatCode>General</c:formatCode>
                <c:ptCount val="2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'SOVA-BugTrend'!$E$2:$E$26</c:f>
              <c:numCache>
                <c:formatCode>General</c:formatCode>
                <c:ptCount val="25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'SOVA-BugTrend'!$F$2:$F$26</c:f>
              <c:numCache>
                <c:formatCode>General</c:formatCode>
                <c:ptCount val="25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'SOVA-BugTrend'!$G$2:$G$26</c:f>
              <c:numCache>
                <c:formatCode>General</c:formatCode>
                <c:ptCount val="25"/>
                <c:pt idx="0">
                  <c:v>133</c:v>
                </c:pt>
                <c:pt idx="1">
                  <c:v>20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55</c:v>
                </c:pt>
                <c:pt idx="6">
                  <c:v>35</c:v>
                </c:pt>
                <c:pt idx="7">
                  <c:v>39</c:v>
                </c:pt>
                <c:pt idx="8">
                  <c:v>39</c:v>
                </c:pt>
                <c:pt idx="9">
                  <c:v>45</c:v>
                </c:pt>
                <c:pt idx="10">
                  <c:v>18</c:v>
                </c:pt>
                <c:pt idx="11">
                  <c:v>25</c:v>
                </c:pt>
                <c:pt idx="12">
                  <c:v>45</c:v>
                </c:pt>
                <c:pt idx="13">
                  <c:v>24</c:v>
                </c:pt>
                <c:pt idx="14">
                  <c:v>43</c:v>
                </c:pt>
                <c:pt idx="15">
                  <c:v>35</c:v>
                </c:pt>
                <c:pt idx="16">
                  <c:v>29</c:v>
                </c:pt>
                <c:pt idx="17">
                  <c:v>39</c:v>
                </c:pt>
                <c:pt idx="18">
                  <c:v>31</c:v>
                </c:pt>
                <c:pt idx="19">
                  <c:v>29</c:v>
                </c:pt>
                <c:pt idx="20">
                  <c:v>29</c:v>
                </c:pt>
                <c:pt idx="21">
                  <c:v>31</c:v>
                </c:pt>
                <c:pt idx="22">
                  <c:v>24</c:v>
                </c:pt>
                <c:pt idx="23">
                  <c:v>11</c:v>
                </c:pt>
                <c:pt idx="2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'SOVA-BugTrend'!$H$2:$H$26</c:f>
              <c:numCache>
                <c:formatCode>General</c:formatCode>
                <c:ptCount val="25"/>
                <c:pt idx="0">
                  <c:v>87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6</c:v>
                </c:pt>
                <c:pt idx="9">
                  <c:v>7</c:v>
                </c:pt>
                <c:pt idx="10">
                  <c:v>1</c:v>
                </c:pt>
                <c:pt idx="11">
                  <c:v>4</c:v>
                </c:pt>
                <c:pt idx="12">
                  <c:v>5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5</c:v>
                </c:pt>
                <c:pt idx="23">
                  <c:v>8</c:v>
                </c:pt>
                <c:pt idx="2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'SOVA-BugTrend'!$A$2:$A$26</c:f>
              <c:strCache>
                <c:ptCount val="25"/>
                <c:pt idx="0">
                  <c:v>None</c:v>
                </c:pt>
                <c:pt idx="1">
                  <c:v>y25w16</c:v>
                </c:pt>
                <c:pt idx="2">
                  <c:v>y25w18</c:v>
                </c:pt>
                <c:pt idx="3">
                  <c:v>y25w20</c:v>
                </c:pt>
                <c:pt idx="4">
                  <c:v>y25w22</c:v>
                </c:pt>
                <c:pt idx="5">
                  <c:v>y25w24</c:v>
                </c:pt>
                <c:pt idx="6">
                  <c:v>y25w26</c:v>
                </c:pt>
                <c:pt idx="7">
                  <c:v>y25w28</c:v>
                </c:pt>
                <c:pt idx="8">
                  <c:v>y25w30</c:v>
                </c:pt>
                <c:pt idx="9">
                  <c:v>y25w32</c:v>
                </c:pt>
                <c:pt idx="10">
                  <c:v>y25w34</c:v>
                </c:pt>
                <c:pt idx="11">
                  <c:v>y25w36</c:v>
                </c:pt>
                <c:pt idx="12">
                  <c:v>y25w38</c:v>
                </c:pt>
                <c:pt idx="13">
                  <c:v>y25w40</c:v>
                </c:pt>
                <c:pt idx="14">
                  <c:v>y25w42</c:v>
                </c:pt>
                <c:pt idx="15">
                  <c:v>y25w44</c:v>
                </c:pt>
                <c:pt idx="16">
                  <c:v>y25w46</c:v>
                </c:pt>
                <c:pt idx="17">
                  <c:v>y25w48</c:v>
                </c:pt>
                <c:pt idx="18">
                  <c:v>y25w50</c:v>
                </c:pt>
                <c:pt idx="19">
                  <c:v>y25w52</c:v>
                </c:pt>
                <c:pt idx="20">
                  <c:v>y26w02</c:v>
                </c:pt>
                <c:pt idx="21">
                  <c:v>y26w04</c:v>
                </c:pt>
                <c:pt idx="22">
                  <c:v>y26w06</c:v>
                </c:pt>
                <c:pt idx="23">
                  <c:v>y26w08</c:v>
                </c:pt>
                <c:pt idx="24">
                  <c:v>y26w10</c:v>
                </c:pt>
              </c:strCache>
            </c:strRef>
          </c:cat>
          <c:val>
            <c:numRef>
              <c:f>'SOVA-BugTrend'!$I$2:$I$26</c:f>
              <c:numCache>
                <c:formatCode>General</c:formatCode>
                <c:ptCount val="25"/>
                <c:pt idx="0">
                  <c:v>386</c:v>
                </c:pt>
                <c:pt idx="1">
                  <c:v>23</c:v>
                </c:pt>
                <c:pt idx="2">
                  <c:v>22</c:v>
                </c:pt>
                <c:pt idx="3">
                  <c:v>18</c:v>
                </c:pt>
                <c:pt idx="4">
                  <c:v>18</c:v>
                </c:pt>
                <c:pt idx="5">
                  <c:v>59</c:v>
                </c:pt>
                <c:pt idx="6">
                  <c:v>39</c:v>
                </c:pt>
                <c:pt idx="7">
                  <c:v>42</c:v>
                </c:pt>
                <c:pt idx="8">
                  <c:v>46</c:v>
                </c:pt>
                <c:pt idx="9">
                  <c:v>53</c:v>
                </c:pt>
                <c:pt idx="10">
                  <c:v>20</c:v>
                </c:pt>
                <c:pt idx="11">
                  <c:v>32</c:v>
                </c:pt>
                <c:pt idx="12">
                  <c:v>53</c:v>
                </c:pt>
                <c:pt idx="13">
                  <c:v>25</c:v>
                </c:pt>
                <c:pt idx="14">
                  <c:v>43</c:v>
                </c:pt>
                <c:pt idx="15">
                  <c:v>35</c:v>
                </c:pt>
                <c:pt idx="16">
                  <c:v>29</c:v>
                </c:pt>
                <c:pt idx="17">
                  <c:v>44</c:v>
                </c:pt>
                <c:pt idx="18">
                  <c:v>36</c:v>
                </c:pt>
                <c:pt idx="19">
                  <c:v>36</c:v>
                </c:pt>
                <c:pt idx="20">
                  <c:v>31</c:v>
                </c:pt>
                <c:pt idx="21">
                  <c:v>36</c:v>
                </c:pt>
                <c:pt idx="22">
                  <c:v>37</c:v>
                </c:pt>
                <c:pt idx="23">
                  <c:v>26</c:v>
                </c:pt>
                <c:pt idx="2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31</xdr:row>
      <xdr:rowOff>171448</xdr:rowOff>
    </xdr:from>
    <xdr:to>
      <xdr:col>8</xdr:col>
      <xdr:colOff>95250</xdr:colOff>
      <xdr:row>60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22</xdr:row>
      <xdr:rowOff>28575</xdr:rowOff>
    </xdr:from>
    <xdr:to>
      <xdr:col>6</xdr:col>
      <xdr:colOff>1057275</xdr:colOff>
      <xdr:row>50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37</xdr:row>
      <xdr:rowOff>69662</xdr:rowOff>
    </xdr:from>
    <xdr:to>
      <xdr:col>6</xdr:col>
      <xdr:colOff>1057275</xdr:colOff>
      <xdr:row>66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22</xdr:row>
      <xdr:rowOff>142875</xdr:rowOff>
    </xdr:from>
    <xdr:to>
      <xdr:col>8</xdr:col>
      <xdr:colOff>428625</xdr:colOff>
      <xdr:row>51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30</xdr:row>
      <xdr:rowOff>12700</xdr:rowOff>
    </xdr:from>
    <xdr:to>
      <xdr:col>8</xdr:col>
      <xdr:colOff>219075</xdr:colOff>
      <xdr:row>59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9" totalsRowShown="0" headerRowDxfId="35">
  <autoFilter ref="A1:E29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8" totalsRowShown="0" headerRowDxfId="33">
  <autoFilter ref="A1:H18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4" totalsRowShown="0" headerRowDxfId="31">
  <autoFilter ref="A1:H34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1" totalsRowShown="0" headerRowDxfId="29">
  <autoFilter ref="A1:H21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6" totalsRowShown="0" headerRowDxfId="20" dataDxfId="18" headerRowBorderDxfId="19" tableBorderDxfId="17" totalsRowBorderDxfId="16" dataCellStyle="Hyperlink">
  <autoFilter ref="A1:I26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21" totalsRowShown="0" headerRowDxfId="6" dataDxfId="5">
  <autoFilter ref="A1:E21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1466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1498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59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70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1463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1497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EMPTY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60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1496+AND+status+%3D+%22To+Do+%28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1499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71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1463+AND+status+%3D+%22WON%27T+DO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1497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61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EMPTY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1496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1496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1499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1499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156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177" Type="http://schemas.openxmlformats.org/officeDocument/2006/relationships/drawing" Target="../drawings/drawing5.xml"/><Relationship Id="rId172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13" Type="http://schemas.openxmlformats.org/officeDocument/2006/relationships/hyperlink" Target="https://xrspace.atlassian.net/issues/?jql=created+%3E%3D+2025-02-01+AND+created+%3C%3D+2026-12-31+AND+type+%3D+Bug+AND+project+%3D+SOVA+AND+Sprint+%3D+1463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1466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1498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1497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167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EMPTY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162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EMPTY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1497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1496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1498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1499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157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78" Type="http://schemas.openxmlformats.org/officeDocument/2006/relationships/table" Target="../tables/table5.xml"/><Relationship Id="rId61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73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1466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1463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1497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1497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68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1463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63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3" Type="http://schemas.openxmlformats.org/officeDocument/2006/relationships/hyperlink" Target="https://xrspace.atlassian.net/issues/?jql=created+%3E%3D+2025-02-01+AND+created+%3C%3D+2026-12-31+AND+type+%3D+Bug+AND+project+%3D+SOVA+AND+Sprint+%3D+EMPTY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1496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1499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58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1466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1498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74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1466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1498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1463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1497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64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69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4" Type="http://schemas.openxmlformats.org/officeDocument/2006/relationships/hyperlink" Target="https://xrspace.atlassian.net/issues/?jql=created+%3E%3D+2025-02-01+AND+created+%3C%3D+2026-12-31+AND+type+%3D+Bug+AND+project+%3D+SOVA+AND+Sprint+%3D+EMPTY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1463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1496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1499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75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1466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1498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165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1496+AND+status+%3D+%22STARTING+%2810+%7E+4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1499+AND+status+%3D+%22STARTING+%2810+%7E+4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155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76" Type="http://schemas.openxmlformats.org/officeDocument/2006/relationships/printerSettings" Target="../printerSettings/printerSettings3.bin"/><Relationship Id="rId17" Type="http://schemas.openxmlformats.org/officeDocument/2006/relationships/hyperlink" Target="https://xrspace.atlassian.net/issues/?jql=created+%3E%3D+2025-02-01+AND+created+%3C%3D+2026-12-31+AND+type+%3D+Bug+AND+project+%3D+SOVA+AND+Sprint+%3D+1466+AND+status+%3D+%22Done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1498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66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EMPTY+AND+status+%3D+%22To+Do+%28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9"/>
  <sheetViews>
    <sheetView tabSelected="1" topLeftCell="A7" zoomScaleNormal="100" workbookViewId="0">
      <selection activeCell="I18" sqref="I18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43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76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1.95" customHeight="1">
      <c r="A3" t="s">
        <v>77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1.95" customHeight="1">
      <c r="A4" t="s">
        <v>78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1.95" customHeight="1">
      <c r="A5" t="s">
        <v>79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1.95" customHeight="1">
      <c r="A6" t="s">
        <v>80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1.95" customHeight="1">
      <c r="A7" t="s">
        <v>81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1.95" customHeight="1">
      <c r="A8" t="s">
        <v>82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1.95" customHeight="1">
      <c r="A9" t="s">
        <v>83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1.95" customHeight="1">
      <c r="A10" t="s">
        <v>84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1.95" customHeight="1">
      <c r="A11" t="s">
        <v>63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1.95" customHeight="1">
      <c r="A12" t="s">
        <v>64</v>
      </c>
      <c r="B12">
        <v>13</v>
      </c>
      <c r="C12">
        <v>11</v>
      </c>
      <c r="D12">
        <v>172</v>
      </c>
      <c r="E12" s="12">
        <f>SUM(Table2[[#This Row],[Done]:[TODO (P1)]])</f>
        <v>196</v>
      </c>
    </row>
    <row r="13" spans="1:5" ht="21.95" customHeight="1">
      <c r="A13" t="s">
        <v>65</v>
      </c>
      <c r="B13">
        <v>15</v>
      </c>
      <c r="C13">
        <v>12</v>
      </c>
      <c r="D13">
        <v>168</v>
      </c>
      <c r="E13" s="12">
        <f>SUM(Table2[[#This Row],[Done]:[TODO (P1)]])</f>
        <v>195</v>
      </c>
    </row>
    <row r="14" spans="1:5" ht="21.95" customHeight="1">
      <c r="A14" t="s">
        <v>66</v>
      </c>
      <c r="B14">
        <v>18</v>
      </c>
      <c r="C14">
        <v>11</v>
      </c>
      <c r="D14">
        <v>166</v>
      </c>
      <c r="E14" s="12">
        <f>SUM(Table2[[#This Row],[Done]:[TODO (P1)]])</f>
        <v>195</v>
      </c>
    </row>
    <row r="15" spans="1:5" ht="21.95" customHeight="1">
      <c r="A15" t="s">
        <v>67</v>
      </c>
      <c r="B15">
        <v>21</v>
      </c>
      <c r="C15">
        <v>14</v>
      </c>
      <c r="D15">
        <v>160</v>
      </c>
      <c r="E15" s="12">
        <f>SUM(Table2[[#This Row],[Done]:[TODO (P1)]])</f>
        <v>195</v>
      </c>
    </row>
    <row r="16" spans="1:5" ht="21.95" customHeight="1">
      <c r="A16" t="s">
        <v>68</v>
      </c>
      <c r="B16">
        <v>22</v>
      </c>
      <c r="C16">
        <v>14</v>
      </c>
      <c r="D16">
        <v>160</v>
      </c>
      <c r="E16" s="12">
        <f>SUM(Table2[[#This Row],[Done]:[TODO (P1)]])</f>
        <v>196</v>
      </c>
    </row>
    <row r="17" spans="1:5" ht="21.95" customHeight="1">
      <c r="A17" t="s">
        <v>69</v>
      </c>
      <c r="B17">
        <v>25</v>
      </c>
      <c r="C17">
        <v>10</v>
      </c>
      <c r="D17">
        <v>161</v>
      </c>
      <c r="E17" s="12">
        <f>SUM(Table2[[#This Row],[Done]:[TODO (P1)]])</f>
        <v>196</v>
      </c>
    </row>
    <row r="18" spans="1:5" ht="21.95" customHeight="1">
      <c r="A18" t="s">
        <v>71</v>
      </c>
      <c r="B18">
        <v>28</v>
      </c>
      <c r="C18">
        <v>8</v>
      </c>
      <c r="D18">
        <v>160</v>
      </c>
      <c r="E18" s="12">
        <f>SUM(Table2[[#This Row],[Done]:[TODO (P1)]])</f>
        <v>196</v>
      </c>
    </row>
    <row r="19" spans="1:5" ht="21.95" customHeight="1">
      <c r="A19" t="s">
        <v>72</v>
      </c>
      <c r="B19">
        <v>30</v>
      </c>
      <c r="C19">
        <v>6</v>
      </c>
      <c r="D19">
        <v>160</v>
      </c>
      <c r="E19" s="12">
        <f>SUM(Table2[[#This Row],[Done]:[TODO (P1)]])</f>
        <v>196</v>
      </c>
    </row>
    <row r="20" spans="1:5" ht="21.95" customHeight="1">
      <c r="A20" t="s">
        <v>73</v>
      </c>
      <c r="B20">
        <v>32</v>
      </c>
      <c r="C20">
        <v>5</v>
      </c>
      <c r="D20">
        <v>160</v>
      </c>
      <c r="E20" s="12">
        <f>SUM(Table2[[#This Row],[Done]:[TODO (P1)]])</f>
        <v>197</v>
      </c>
    </row>
    <row r="21" spans="1:5" ht="21.95" customHeight="1">
      <c r="A21" t="s">
        <v>74</v>
      </c>
      <c r="B21">
        <v>32</v>
      </c>
      <c r="C21">
        <v>5</v>
      </c>
      <c r="D21">
        <v>160</v>
      </c>
      <c r="E21" s="12">
        <f>SUM(Table2[[#This Row],[Done]:[TODO (P1)]])</f>
        <v>197</v>
      </c>
    </row>
    <row r="22" spans="1:5" ht="21.95" customHeight="1">
      <c r="A22" t="s">
        <v>62</v>
      </c>
      <c r="B22">
        <v>32</v>
      </c>
      <c r="C22">
        <v>3</v>
      </c>
      <c r="D22">
        <v>162</v>
      </c>
      <c r="E22" s="12">
        <f>SUM(Table2[[#This Row],[Done]:[TODO (P1)]])</f>
        <v>197</v>
      </c>
    </row>
    <row r="23" spans="1:5" ht="21.95" customHeight="1">
      <c r="A23" t="s">
        <v>75</v>
      </c>
      <c r="B23">
        <v>32</v>
      </c>
      <c r="C23">
        <v>3</v>
      </c>
      <c r="D23">
        <v>162</v>
      </c>
      <c r="E23" s="12">
        <f>SUM(Table2[[#This Row],[Done]:[TODO (P1)]])</f>
        <v>197</v>
      </c>
    </row>
    <row r="24" spans="1:5" ht="21.95" customHeight="1">
      <c r="A24" t="s">
        <v>90</v>
      </c>
      <c r="B24">
        <v>32</v>
      </c>
      <c r="C24">
        <v>3</v>
      </c>
      <c r="D24">
        <v>162</v>
      </c>
      <c r="E24" s="12">
        <f>SUM(Table2[[#This Row],[Done]:[TODO (P1)]])</f>
        <v>197</v>
      </c>
    </row>
    <row r="25" spans="1:5" ht="21.95" customHeight="1">
      <c r="A25" t="s">
        <v>91</v>
      </c>
      <c r="B25">
        <v>32</v>
      </c>
      <c r="C25">
        <v>1</v>
      </c>
      <c r="D25">
        <v>162</v>
      </c>
      <c r="E25" s="12">
        <f>SUM(Table2[[#This Row],[Done]:[TODO (P1)]])</f>
        <v>195</v>
      </c>
    </row>
    <row r="26" spans="1:5" ht="21.95" customHeight="1">
      <c r="A26" t="s">
        <v>92</v>
      </c>
      <c r="B26">
        <v>32</v>
      </c>
      <c r="C26">
        <v>2</v>
      </c>
      <c r="D26">
        <v>161</v>
      </c>
      <c r="E26" s="12">
        <f>SUM(Table2[[#This Row],[Done]:[TODO (P1)]])</f>
        <v>195</v>
      </c>
    </row>
    <row r="27" spans="1:5" ht="21.95" customHeight="1">
      <c r="A27" t="s">
        <v>97</v>
      </c>
      <c r="B27">
        <v>31</v>
      </c>
      <c r="C27">
        <v>3</v>
      </c>
      <c r="D27">
        <v>161</v>
      </c>
      <c r="E27" s="12">
        <f>SUM(Table2[[#This Row],[Done]:[TODO (P1)]])</f>
        <v>195</v>
      </c>
    </row>
    <row r="28" spans="1:5" ht="21.95" customHeight="1">
      <c r="A28" t="s">
        <v>98</v>
      </c>
      <c r="B28">
        <v>31</v>
      </c>
      <c r="C28">
        <v>3</v>
      </c>
      <c r="D28">
        <v>161</v>
      </c>
      <c r="E28" s="12">
        <f>SUM(Table2[[#This Row],[Done]:[TODO (P1)]])</f>
        <v>195</v>
      </c>
    </row>
    <row r="29" spans="1:5" ht="21.95" customHeight="1">
      <c r="A29" t="s">
        <v>103</v>
      </c>
      <c r="B29">
        <v>31</v>
      </c>
      <c r="C29">
        <v>3</v>
      </c>
      <c r="D29">
        <v>161</v>
      </c>
      <c r="E29" s="12">
        <f>SUM(Table2[[#This Row],[Done]:[TODO (P1)]])</f>
        <v>195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8"/>
  <sheetViews>
    <sheetView zoomScaleNormal="100" workbookViewId="0">
      <selection activeCell="J20" sqref="J20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33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44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49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50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53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54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56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59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60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89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94</v>
      </c>
      <c r="B18">
        <v>860</v>
      </c>
      <c r="C18">
        <v>0</v>
      </c>
      <c r="D18">
        <v>4</v>
      </c>
      <c r="E18">
        <v>2</v>
      </c>
      <c r="F18">
        <v>0</v>
      </c>
      <c r="G18">
        <v>0</v>
      </c>
      <c r="H18">
        <f>SUM(Table1[[#This Row],[Passed]:[Untested]])</f>
        <v>866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4"/>
  <sheetViews>
    <sheetView topLeftCell="A10" zoomScaleNormal="100" workbookViewId="0">
      <selection activeCell="H35" sqref="H35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33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85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86</v>
      </c>
    </row>
    <row r="4" spans="1:8" ht="20.100000000000001" customHeight="1">
      <c r="A4" s="3" t="s">
        <v>87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88</v>
      </c>
    </row>
    <row r="6" spans="1:8" ht="20.100000000000001" customHeight="1">
      <c r="A6" s="3" t="s">
        <v>76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77</v>
      </c>
    </row>
    <row r="8" spans="1:8" ht="20.100000000000001" customHeight="1">
      <c r="A8" s="3" t="s">
        <v>78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79</v>
      </c>
    </row>
    <row r="10" spans="1:8" ht="20.100000000000001" customHeight="1">
      <c r="A10" s="3" t="s">
        <v>80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81</v>
      </c>
    </row>
    <row r="12" spans="1:8" ht="20.100000000000001" customHeight="1">
      <c r="A12" s="3" t="s">
        <v>82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83</v>
      </c>
    </row>
    <row r="14" spans="1:8" ht="20.100000000000001" customHeight="1">
      <c r="A14" s="3" t="s">
        <v>84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63</v>
      </c>
      <c r="H15" s="12"/>
    </row>
    <row r="16" spans="1:8" ht="20.100000000000001" customHeight="1">
      <c r="A16" s="3" t="s">
        <v>64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65</v>
      </c>
      <c r="H17" s="12"/>
    </row>
    <row r="18" spans="1:8" ht="20.100000000000001" customHeight="1">
      <c r="A18" s="3" t="s">
        <v>66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67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68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69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70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71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72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73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74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62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75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90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91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97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98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  <row r="33" spans="1:8" ht="20.100000000000001" customHeight="1">
      <c r="A33" s="3" t="s">
        <v>104</v>
      </c>
      <c r="B33">
        <v>687</v>
      </c>
      <c r="C33">
        <v>1</v>
      </c>
      <c r="D33">
        <v>1</v>
      </c>
      <c r="E33">
        <v>3</v>
      </c>
      <c r="F33">
        <v>12</v>
      </c>
      <c r="G33">
        <v>0</v>
      </c>
      <c r="H33" s="12">
        <f>SUM(Table3[[#This Row],[Passed]:[Untested]])</f>
        <v>704</v>
      </c>
    </row>
    <row r="34" spans="1:8" ht="20.100000000000001" customHeight="1">
      <c r="A34" s="3" t="s">
        <v>103</v>
      </c>
      <c r="B34">
        <v>218</v>
      </c>
      <c r="C34">
        <v>0</v>
      </c>
      <c r="D34">
        <v>0</v>
      </c>
      <c r="E34">
        <v>0</v>
      </c>
      <c r="F34">
        <v>0</v>
      </c>
      <c r="G34">
        <v>0</v>
      </c>
      <c r="H34" s="12">
        <f>SUM(Table3[[#This Row],[Passed]:[Untested]])</f>
        <v>218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1"/>
  <sheetViews>
    <sheetView zoomScaleNormal="100" workbookViewId="0">
      <selection activeCell="B2" sqref="B2:G21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42</v>
      </c>
      <c r="D1" s="3" t="s">
        <v>17</v>
      </c>
      <c r="E1" s="3" t="s">
        <v>45</v>
      </c>
      <c r="F1" s="3" t="s">
        <v>46</v>
      </c>
      <c r="G1" s="3" t="s">
        <v>1</v>
      </c>
      <c r="H1" s="3" t="s">
        <v>3</v>
      </c>
    </row>
    <row r="2" spans="1:8">
      <c r="A2" s="3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66</v>
      </c>
      <c r="H2">
        <f>SUM(Table7[[#This Row],[To Do]:[Done]])</f>
        <v>75</v>
      </c>
    </row>
    <row r="3" spans="1:8">
      <c r="A3" s="3" t="s">
        <v>20</v>
      </c>
      <c r="B3">
        <v>4</v>
      </c>
      <c r="C3">
        <v>0</v>
      </c>
      <c r="D3">
        <v>0</v>
      </c>
      <c r="E3">
        <v>0</v>
      </c>
      <c r="F3">
        <v>0</v>
      </c>
      <c r="G3">
        <v>48</v>
      </c>
      <c r="H3">
        <f>SUM(Table7[[#This Row],[To Do]:[Done]])</f>
        <v>52</v>
      </c>
    </row>
    <row r="4" spans="1:8">
      <c r="A4" s="3" t="s">
        <v>4</v>
      </c>
      <c r="B4">
        <v>14</v>
      </c>
      <c r="C4">
        <v>0</v>
      </c>
      <c r="D4">
        <v>1</v>
      </c>
      <c r="E4">
        <v>0</v>
      </c>
      <c r="F4">
        <v>0</v>
      </c>
      <c r="G4">
        <v>46</v>
      </c>
      <c r="H4">
        <f>SUM(Table7[[#This Row],[To Do]:[Done]])</f>
        <v>61</v>
      </c>
    </row>
    <row r="5" spans="1:8">
      <c r="A5" s="3" t="s">
        <v>5</v>
      </c>
      <c r="B5">
        <v>14</v>
      </c>
      <c r="C5">
        <v>0</v>
      </c>
      <c r="D5">
        <v>1</v>
      </c>
      <c r="E5">
        <v>0</v>
      </c>
      <c r="F5">
        <v>0</v>
      </c>
      <c r="G5">
        <v>34</v>
      </c>
      <c r="H5">
        <f>SUM(Table7[[#This Row],[To Do]:[Done]])</f>
        <v>49</v>
      </c>
    </row>
    <row r="6" spans="1:8">
      <c r="A6" s="3" t="s">
        <v>6</v>
      </c>
      <c r="B6">
        <v>15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40</v>
      </c>
    </row>
    <row r="7" spans="1:8">
      <c r="A7" s="3" t="s">
        <v>7</v>
      </c>
      <c r="B7">
        <v>12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68</v>
      </c>
    </row>
    <row r="8" spans="1:8">
      <c r="A8" s="3" t="s">
        <v>8</v>
      </c>
      <c r="B8">
        <v>8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48</v>
      </c>
    </row>
    <row r="9" spans="1:8">
      <c r="A9" s="3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s="3" t="s">
        <v>10</v>
      </c>
      <c r="B10">
        <v>7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37</v>
      </c>
    </row>
    <row r="11" spans="1:8">
      <c r="A11" s="3" t="s">
        <v>44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2</v>
      </c>
    </row>
    <row r="12" spans="1:8">
      <c r="A12" s="3" t="s">
        <v>49</v>
      </c>
      <c r="B12">
        <v>12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21</v>
      </c>
    </row>
    <row r="13" spans="1:8">
      <c r="A13" s="3" t="s">
        <v>50</v>
      </c>
      <c r="B13">
        <v>0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12</v>
      </c>
    </row>
    <row r="14" spans="1:8">
      <c r="A14" s="3" t="s">
        <v>53</v>
      </c>
      <c r="B14">
        <v>2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11</v>
      </c>
    </row>
    <row r="15" spans="1:8">
      <c r="A15" s="3" t="s">
        <v>54</v>
      </c>
      <c r="B15">
        <v>11</v>
      </c>
      <c r="C15">
        <v>0</v>
      </c>
      <c r="D15">
        <v>0</v>
      </c>
      <c r="E15">
        <v>0</v>
      </c>
      <c r="F15">
        <v>0</v>
      </c>
      <c r="G15">
        <v>40</v>
      </c>
      <c r="H15">
        <f>SUM(Table7[[#This Row],[To Do]:[Done]])</f>
        <v>51</v>
      </c>
    </row>
    <row r="16" spans="1:8">
      <c r="A16" s="3" t="s">
        <v>56</v>
      </c>
      <c r="B16">
        <v>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38</v>
      </c>
    </row>
    <row r="17" spans="1:8">
      <c r="A17" s="3" t="s">
        <v>59</v>
      </c>
      <c r="B17">
        <v>6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42</v>
      </c>
    </row>
    <row r="18" spans="1:8">
      <c r="A18" s="3" t="s">
        <v>60</v>
      </c>
      <c r="B18">
        <v>3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21</v>
      </c>
    </row>
    <row r="19" spans="1:8">
      <c r="A19" s="3" t="s">
        <v>89</v>
      </c>
      <c r="B19">
        <v>0</v>
      </c>
      <c r="C19">
        <v>0</v>
      </c>
      <c r="D19">
        <v>0</v>
      </c>
      <c r="E19">
        <v>0</v>
      </c>
      <c r="F19">
        <v>0</v>
      </c>
      <c r="G19">
        <v>12</v>
      </c>
      <c r="H19">
        <f>SUM(Table7[[#This Row],[To Do]:[Done]])</f>
        <v>12</v>
      </c>
    </row>
    <row r="20" spans="1:8">
      <c r="A20" s="3" t="s">
        <v>93</v>
      </c>
      <c r="B20">
        <v>1</v>
      </c>
      <c r="C20">
        <v>0</v>
      </c>
      <c r="D20">
        <v>0</v>
      </c>
      <c r="E20">
        <v>0</v>
      </c>
      <c r="F20">
        <v>0</v>
      </c>
      <c r="G20">
        <v>8</v>
      </c>
      <c r="H20">
        <f>SUM(Table7[[#This Row],[To Do]:[Done]])</f>
        <v>9</v>
      </c>
    </row>
    <row r="21" spans="1:8">
      <c r="A21" s="3" t="s">
        <v>94</v>
      </c>
      <c r="B21">
        <v>2</v>
      </c>
      <c r="C21">
        <v>0</v>
      </c>
      <c r="D21">
        <v>0</v>
      </c>
      <c r="E21">
        <v>1</v>
      </c>
      <c r="F21">
        <v>0</v>
      </c>
      <c r="G21">
        <v>6</v>
      </c>
      <c r="H21">
        <f>SUM(Table7[[#This Row],[To Do]:[Done]])</f>
        <v>9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6"/>
  <sheetViews>
    <sheetView zoomScaleNormal="100" workbookViewId="0">
      <selection activeCell="A27" sqref="A27:XFD27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47</v>
      </c>
      <c r="E1" s="7" t="s">
        <v>25</v>
      </c>
      <c r="F1" s="7" t="s">
        <v>61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96</v>
      </c>
      <c r="B2" s="5">
        <v>159</v>
      </c>
      <c r="C2" s="5">
        <v>0</v>
      </c>
      <c r="D2" s="5">
        <v>1</v>
      </c>
      <c r="E2" s="5">
        <v>4</v>
      </c>
      <c r="F2" s="5">
        <v>2</v>
      </c>
      <c r="G2" s="5">
        <v>133</v>
      </c>
      <c r="H2" s="5">
        <v>87</v>
      </c>
      <c r="I2" s="15">
        <f>SUM(Table5[[#This Row],[To Do (0%)]:[WON''T DO (100%)]])</f>
        <v>386</v>
      </c>
    </row>
    <row r="3" spans="1:9" ht="18" thickBot="1">
      <c r="A3" s="4" t="s">
        <v>36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20</v>
      </c>
      <c r="H3" s="5">
        <v>3</v>
      </c>
      <c r="I3" s="5">
        <f>SUM(Table5[[#This Row],[To Do (0%)]:[WON''T DO (100%)]])</f>
        <v>23</v>
      </c>
    </row>
    <row r="4" spans="1:9" ht="18" thickBot="1">
      <c r="A4" s="4" t="s">
        <v>37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20</v>
      </c>
      <c r="H4" s="5">
        <v>2</v>
      </c>
      <c r="I4" s="5">
        <f>SUM(Table5[[#This Row],[To Do (0%)]:[WON''T DO (100%)]])</f>
        <v>22</v>
      </c>
    </row>
    <row r="5" spans="1:9" ht="18" thickBot="1">
      <c r="A5" s="4" t="s">
        <v>38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16</v>
      </c>
      <c r="H5" s="5">
        <v>2</v>
      </c>
      <c r="I5" s="5">
        <f>SUM(Table5[[#This Row],[To Do (0%)]:[WON''T DO (100%)]])</f>
        <v>18</v>
      </c>
    </row>
    <row r="6" spans="1:9" ht="18" thickBot="1">
      <c r="A6" s="4" t="s">
        <v>39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16</v>
      </c>
      <c r="H6" s="5">
        <v>2</v>
      </c>
      <c r="I6" s="5">
        <f>SUM(Table5[[#This Row],[To Do (0%)]:[WON''T DO (100%)]])</f>
        <v>18</v>
      </c>
    </row>
    <row r="7" spans="1:9" ht="18" thickBot="1">
      <c r="A7" s="4" t="s">
        <v>40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55</v>
      </c>
      <c r="H7" s="5">
        <v>4</v>
      </c>
      <c r="I7" s="5">
        <f>SUM(Table5[[#This Row],[To Do (0%)]:[WON''T DO (100%)]])</f>
        <v>59</v>
      </c>
    </row>
    <row r="8" spans="1:9" ht="18" thickBot="1">
      <c r="A8" s="4" t="s">
        <v>41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35</v>
      </c>
      <c r="H8" s="5">
        <v>4</v>
      </c>
      <c r="I8" s="5">
        <f>SUM(Table5[[#This Row],[To Do (0%)]:[WON''T DO (100%)]])</f>
        <v>39</v>
      </c>
    </row>
    <row r="9" spans="1:9" ht="18" thickBot="1">
      <c r="A9" s="4" t="s">
        <v>28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39</v>
      </c>
      <c r="H9" s="5">
        <v>2</v>
      </c>
      <c r="I9" s="5">
        <f>SUM(Table5[[#This Row],[To Do (0%)]:[WON''T DO (100%)]])</f>
        <v>42</v>
      </c>
    </row>
    <row r="10" spans="1:9" ht="18" thickBot="1">
      <c r="A10" s="4" t="s">
        <v>29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39</v>
      </c>
      <c r="H10" s="5">
        <v>6</v>
      </c>
      <c r="I10" s="5">
        <f>SUM(Table5[[#This Row],[To Do (0%)]:[WON''T DO (100%)]])</f>
        <v>46</v>
      </c>
    </row>
    <row r="11" spans="1:9" ht="18" thickBot="1">
      <c r="A11" s="4" t="s">
        <v>30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45</v>
      </c>
      <c r="H11" s="5">
        <v>7</v>
      </c>
      <c r="I11" s="5">
        <f>SUM(Table5[[#This Row],[To Do (0%)]:[WON''T DO (100%)]])</f>
        <v>53</v>
      </c>
    </row>
    <row r="12" spans="1:9" ht="18" thickBot="1">
      <c r="A12" s="4" t="s">
        <v>31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18</v>
      </c>
      <c r="H12" s="5">
        <v>1</v>
      </c>
      <c r="I12" s="5">
        <f>SUM(Table5[[#This Row],[To Do (0%)]:[WON''T DO (100%)]])</f>
        <v>20</v>
      </c>
    </row>
    <row r="13" spans="1:9" ht="18" thickBot="1">
      <c r="A13" s="4" t="s">
        <v>32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25</v>
      </c>
      <c r="H13" s="5">
        <v>4</v>
      </c>
      <c r="I13" s="5">
        <f>SUM(Table5[[#This Row],[To Do (0%)]:[WON''T DO (100%)]])</f>
        <v>32</v>
      </c>
    </row>
    <row r="14" spans="1:9" ht="18" thickBot="1">
      <c r="A14" s="4" t="s">
        <v>34</v>
      </c>
      <c r="B14" s="5">
        <v>3</v>
      </c>
      <c r="C14" s="5">
        <v>0</v>
      </c>
      <c r="D14" s="5">
        <v>0</v>
      </c>
      <c r="E14" s="5">
        <v>0</v>
      </c>
      <c r="F14" s="5">
        <v>0</v>
      </c>
      <c r="G14" s="5">
        <v>45</v>
      </c>
      <c r="H14" s="5">
        <v>5</v>
      </c>
      <c r="I14" s="5">
        <f>SUM(Table5[[#This Row],[To Do (0%)]:[WON''T DO (100%)]])</f>
        <v>53</v>
      </c>
    </row>
    <row r="15" spans="1:9" ht="18" thickBot="1">
      <c r="A15" s="4" t="s">
        <v>35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24</v>
      </c>
      <c r="H15" s="5">
        <v>1</v>
      </c>
      <c r="I15" s="5">
        <f>SUM(Table5[[#This Row],[To Do (0%)]:[WON''T DO (100%)]])</f>
        <v>25</v>
      </c>
    </row>
    <row r="16" spans="1:9" ht="18" thickBot="1">
      <c r="A16" s="4" t="s">
        <v>48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43</v>
      </c>
      <c r="H16" s="5">
        <v>0</v>
      </c>
      <c r="I16" s="5">
        <f>SUM(Table5[[#This Row],[To Do (0%)]:[WON''T DO (100%)]])</f>
        <v>43</v>
      </c>
    </row>
    <row r="17" spans="1:9" ht="18" thickBot="1">
      <c r="A17" s="4" t="s">
        <v>51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35</v>
      </c>
      <c r="H17" s="5">
        <v>0</v>
      </c>
      <c r="I17" s="5">
        <f>SUM(Table5[[#This Row],[To Do (0%)]:[WON''T DO (100%)]])</f>
        <v>35</v>
      </c>
    </row>
    <row r="18" spans="1:9" ht="18" thickBot="1">
      <c r="A18" s="4" t="s">
        <v>52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29</v>
      </c>
      <c r="H18" s="5">
        <v>0</v>
      </c>
      <c r="I18" s="5">
        <f>SUM(Table5[[#This Row],[To Do (0%)]:[WON''T DO (100%)]])</f>
        <v>29</v>
      </c>
    </row>
    <row r="19" spans="1:9" ht="18" thickBot="1">
      <c r="A19" s="4" t="s">
        <v>55</v>
      </c>
      <c r="B19" s="5">
        <v>4</v>
      </c>
      <c r="C19" s="5">
        <v>0</v>
      </c>
      <c r="D19" s="5">
        <v>0</v>
      </c>
      <c r="E19" s="5">
        <v>0</v>
      </c>
      <c r="F19" s="5">
        <v>0</v>
      </c>
      <c r="G19" s="5">
        <v>39</v>
      </c>
      <c r="H19" s="5">
        <v>1</v>
      </c>
      <c r="I19" s="5">
        <f>SUM(Table5[[#This Row],[To Do (0%)]:[WON''T DO (100%)]])</f>
        <v>44</v>
      </c>
    </row>
    <row r="20" spans="1:9" ht="18" thickBot="1">
      <c r="A20" s="4" t="s">
        <v>57</v>
      </c>
      <c r="B20" s="5">
        <v>4</v>
      </c>
      <c r="C20" s="5">
        <v>0</v>
      </c>
      <c r="D20" s="5">
        <v>0</v>
      </c>
      <c r="E20" s="5">
        <v>0</v>
      </c>
      <c r="F20" s="5">
        <v>0</v>
      </c>
      <c r="G20" s="5">
        <v>31</v>
      </c>
      <c r="H20" s="5">
        <v>1</v>
      </c>
      <c r="I20" s="5">
        <f>SUM(Table5[[#This Row],[To Do (0%)]:[WON''T DO (100%)]])</f>
        <v>36</v>
      </c>
    </row>
    <row r="21" spans="1:9" ht="18" thickBot="1">
      <c r="A21" s="4" t="s">
        <v>58</v>
      </c>
      <c r="B21" s="5">
        <v>6</v>
      </c>
      <c r="C21" s="5">
        <v>0</v>
      </c>
      <c r="D21" s="5">
        <v>0</v>
      </c>
      <c r="E21" s="5">
        <v>0</v>
      </c>
      <c r="F21" s="5">
        <v>0</v>
      </c>
      <c r="G21" s="5">
        <v>29</v>
      </c>
      <c r="H21" s="5">
        <v>1</v>
      </c>
      <c r="I21" s="5">
        <f>SUM(Table5[[#This Row],[To Do (0%)]:[WON''T DO (100%)]])</f>
        <v>36</v>
      </c>
    </row>
    <row r="22" spans="1:9" ht="18" thickBot="1">
      <c r="A22" s="4" t="s">
        <v>99</v>
      </c>
      <c r="B22" s="5">
        <v>2</v>
      </c>
      <c r="C22" s="5">
        <v>0</v>
      </c>
      <c r="D22" s="5">
        <v>0</v>
      </c>
      <c r="E22" s="5">
        <v>0</v>
      </c>
      <c r="F22" s="5">
        <v>0</v>
      </c>
      <c r="G22" s="5">
        <v>29</v>
      </c>
      <c r="H22" s="5">
        <v>0</v>
      </c>
      <c r="I22" s="15">
        <f>SUM(Table5[[#This Row],[To Do (0%)]:[WON''T DO (100%)]])</f>
        <v>31</v>
      </c>
    </row>
    <row r="23" spans="1:9" ht="18" thickBot="1">
      <c r="A23" s="4" t="s">
        <v>100</v>
      </c>
      <c r="B23" s="5">
        <v>3</v>
      </c>
      <c r="C23" s="5">
        <v>0</v>
      </c>
      <c r="D23" s="5">
        <v>0</v>
      </c>
      <c r="E23" s="5">
        <v>0</v>
      </c>
      <c r="F23" s="5">
        <v>0</v>
      </c>
      <c r="G23" s="5">
        <v>31</v>
      </c>
      <c r="H23" s="5">
        <v>2</v>
      </c>
      <c r="I23" s="5">
        <f>SUM(Table5[[#This Row],[To Do (0%)]:[WON''T DO (100%)]])</f>
        <v>36</v>
      </c>
    </row>
    <row r="24" spans="1:9" ht="18" thickBot="1">
      <c r="A24" s="4" t="s">
        <v>101</v>
      </c>
      <c r="B24" s="5">
        <v>7</v>
      </c>
      <c r="C24" s="5">
        <v>0</v>
      </c>
      <c r="D24" s="5">
        <v>0</v>
      </c>
      <c r="E24" s="5">
        <v>1</v>
      </c>
      <c r="F24" s="5">
        <v>0</v>
      </c>
      <c r="G24" s="5">
        <v>24</v>
      </c>
      <c r="H24" s="5">
        <v>5</v>
      </c>
      <c r="I24" s="15">
        <f>SUM(Table5[[#This Row],[To Do (0%)]:[WON''T DO (100%)]])</f>
        <v>37</v>
      </c>
    </row>
    <row r="25" spans="1:9" ht="18" thickBot="1">
      <c r="A25" s="4" t="s">
        <v>102</v>
      </c>
      <c r="B25" s="5">
        <v>6</v>
      </c>
      <c r="C25" s="5">
        <v>1</v>
      </c>
      <c r="D25" s="5">
        <v>0</v>
      </c>
      <c r="E25" s="5">
        <v>0</v>
      </c>
      <c r="F25" s="5">
        <v>0</v>
      </c>
      <c r="G25" s="5">
        <v>11</v>
      </c>
      <c r="H25" s="5">
        <v>8</v>
      </c>
      <c r="I25" s="15">
        <f>SUM(Table5[[#This Row],[To Do (0%)]:[WON''T DO (100%)]])</f>
        <v>26</v>
      </c>
    </row>
    <row r="26" spans="1:9" ht="18" thickBot="1">
      <c r="A26" s="4" t="s">
        <v>95</v>
      </c>
      <c r="B26" s="5">
        <v>11</v>
      </c>
      <c r="C26" s="5">
        <v>1</v>
      </c>
      <c r="D26" s="5">
        <v>0</v>
      </c>
      <c r="E26" s="5">
        <v>1</v>
      </c>
      <c r="F26" s="5">
        <v>1</v>
      </c>
      <c r="G26" s="5">
        <v>9</v>
      </c>
      <c r="H26" s="5">
        <v>9</v>
      </c>
      <c r="I26" s="15">
        <f>SUM(Table5[[#This Row],[To Do (0%)]:[WON''T DO (100%)]])</f>
        <v>32</v>
      </c>
    </row>
  </sheetData>
  <phoneticPr fontId="1" type="noConversion"/>
  <hyperlinks>
    <hyperlink ref="B2" r:id="rId1" display="https://xrspace.atlassian.net/issues/?jql=created+%3E%3D+2025-02-01+AND+created+%3C%3D+2026-12-31+AND+type+%3D+Bug+AND+project+%3D+SOVA+AND+Sprint+%3D+EMPTY+AND+status+%3D+%22To+Do+%280%25%29%22" xr:uid="{34711E63-32B5-48FD-8B87-BEB3251F5ECB}"/>
    <hyperlink ref="D2" r:id="rId2" display="https://xrspace.atlassian.net/issues/?jql=created+%3E%3D+2025-02-01+AND+created+%3C%3D+2026-12-31+AND+type+%3D+Bug+AND+project+%3D+SOVA+AND+Sprint+%3D+EMPTY+AND+status+%3D+%22In+Progress+%2850+%7E+70%25%29%22" xr:uid="{5674E088-BF22-4593-9270-A955F7DBDDD8}"/>
    <hyperlink ref="G2" r:id="rId3" display="https://xrspace.atlassian.net/issues/?jql=created+%3E%3D+2025-02-01+AND+created+%3C%3D+2026-12-31+AND+type+%3D+Bug+AND+project+%3D+SOVA+AND+Sprint+%3D+EMPTY+AND+status+%3D+%22Done+%28100%25%29%22" xr:uid="{946611E4-F7B6-4C8B-BFBF-C9A3A68DFF5A}"/>
    <hyperlink ref="E2" r:id="rId4" display="https://xrspace.atlassian.net/issues/?jql=created+%3E%3D+2025-02-01+AND+created+%3C%3D+2026-12-31+AND+type+%3D+Bug+AND+project+%3D+SOVA+AND+Sprint+%3D+EMPTY+AND+status+%3D+%22IN+REVIEW+%2880%25%29%22" xr:uid="{1D63C089-7DE7-4D56-8253-2A85B7E2E854}"/>
    <hyperlink ref="H2" r:id="rId5" display="https://xrspace.atlassian.net/issues/?jql=created+%3E%3D+2025-02-01+AND+created+%3C%3D+2026-12-31+AND+type+%3D+Bug+AND+project+%3D+SOVA+AND+Sprint+%3D+EMPTY+AND+status+%3D+%22WON%27T+DO+%28100%25%29%22" xr:uid="{0E7325D6-CB9E-4D72-9B94-5429EE488EC3}"/>
    <hyperlink ref="C2" r:id="rId6" display="https://xrspace.atlassian.net/issues/?jql=created+%3E%3D+2025-02-01+AND+created+%3C%3D+2026-12-31+AND+type+%3D+Bug+AND+project+%3D+SOVA+AND+Sprint+%3D+EMPTY+AND+status+%3D+%22STARTING+%2810+%7E+40%25%29%22" xr:uid="{8E7C3923-D6A5-45DC-86A3-B70A796E7172}"/>
    <hyperlink ref="F2" r:id="rId7" display="https://xrspace.atlassian.net/issues/?jql=created+%3E%3D+2025-02-01+AND+created+%3C%3D+2026-12-31+AND+type+%3D+Bug+AND+project+%3D+SOVA+AND+Sprint+%3D+EMPTY+AND+status+%3D+%22READY+FOR+TESTING+%2890%25%29%22" xr:uid="{E1D22E9D-62E0-4318-B85E-41B7C5EEBB89}"/>
    <hyperlink ref="B3" r:id="rId8" display="https://xrspace.atlassian.net/issues/?jql=created+%3E%3D+2025-02-01+AND+created+%3C%3D+2026-12-31+AND+type+%3D+Bug+AND+project+%3D+SOVA+AND+Sprint+%3D+1463+AND+status+%3D+%22To+Do+%280%25%29%22" xr:uid="{298EC8DE-589F-4F6D-8374-E7E118C66383}"/>
    <hyperlink ref="D3" r:id="rId9" display="https://xrspace.atlassian.net/issues/?jql=created+%3E%3D+2025-02-01+AND+created+%3C%3D+2026-12-31+AND+type+%3D+Bug+AND+project+%3D+SOVA+AND+Sprint+%3D+1463+AND+status+%3D+%22In+Progress+%2850+%7E+70%25%29%22" xr:uid="{EF0354A6-72A6-45A7-B9F8-C095AC39946B}"/>
    <hyperlink ref="G3" r:id="rId10" display="https://xrspace.atlassian.net/issues/?jql=created+%3E%3D+2025-02-01+AND+created+%3C%3D+2026-12-31+AND+type+%3D+Bug+AND+project+%3D+SOVA+AND+Sprint+%3D+1463+AND+status+%3D+%22Done+%28100%25%29%22" xr:uid="{212459D5-B280-45F5-8DAD-E89D3CBF23C9}"/>
    <hyperlink ref="E3" r:id="rId11" display="https://xrspace.atlassian.net/issues/?jql=created+%3E%3D+2025-02-01+AND+created+%3C%3D+2026-12-31+AND+type+%3D+Bug+AND+project+%3D+SOVA+AND+Sprint+%3D+1463+AND+status+%3D+%22IN+REVIEW+%2880%25%29%22" xr:uid="{A10FAEB7-3205-4698-8782-EE8129B37667}"/>
    <hyperlink ref="H3" r:id="rId12" display="https://xrspace.atlassian.net/issues/?jql=created+%3E%3D+2025-02-01+AND+created+%3C%3D+2026-12-31+AND+type+%3D+Bug+AND+project+%3D+SOVA+AND+Sprint+%3D+1463+AND+status+%3D+%22WON%27T+DO+%28100%25%29%22" xr:uid="{181B9932-AAC4-4563-B268-48C1500B1AF8}"/>
    <hyperlink ref="C3" r:id="rId13" display="https://xrspace.atlassian.net/issues/?jql=created+%3E%3D+2025-02-01+AND+created+%3C%3D+2026-12-31+AND+type+%3D+Bug+AND+project+%3D+SOVA+AND+Sprint+%3D+1463+AND+status+%3D+%22STARTING+%2810+%7E+40%25%29%22" xr:uid="{6696278C-FD0D-4603-8FEA-DBEE8C87B3B4}"/>
    <hyperlink ref="F3" r:id="rId14" display="https://xrspace.atlassian.net/issues/?jql=created+%3E%3D+2025-02-01+AND+created+%3C%3D+2026-12-31+AND+type+%3D+Bug+AND+project+%3D+SOVA+AND+Sprint+%3D+1463+AND+status+%3D+%22READY+FOR+TESTING+%2890%25%29%22" xr:uid="{740A6C31-7558-45C9-9DE7-8BC30E3D5F26}"/>
    <hyperlink ref="B4" r:id="rId15" display="https://xrspace.atlassian.net/issues/?jql=created+%3E%3D+2025-02-01+AND+created+%3C%3D+2026-12-31+AND+type+%3D+Bug+AND+project+%3D+SOVA+AND+Sprint+%3D+1466+AND+status+%3D+%22To+Do+%280%25%29%22" xr:uid="{9C03AC9C-16B8-4B8A-9651-90705CB213B4}"/>
    <hyperlink ref="D4" r:id="rId16" display="https://xrspace.atlassian.net/issues/?jql=created+%3E%3D+2025-02-01+AND+created+%3C%3D+2026-12-31+AND+type+%3D+Bug+AND+project+%3D+SOVA+AND+Sprint+%3D+1466+AND+status+%3D+%22In+Progress+%2850+%7E+70%25%29%22" xr:uid="{6BBDD3AA-BB57-485E-A5FD-2639E2C24A10}"/>
    <hyperlink ref="G4" r:id="rId17" display="https://xrspace.atlassian.net/issues/?jql=created+%3E%3D+2025-02-01+AND+created+%3C%3D+2026-12-31+AND+type+%3D+Bug+AND+project+%3D+SOVA+AND+Sprint+%3D+1466+AND+status+%3D+%22Done+%28100%25%29%22" xr:uid="{183CF4AA-84FD-4085-9088-676BFDF91E59}"/>
    <hyperlink ref="E4" r:id="rId18" display="https://xrspace.atlassian.net/issues/?jql=created+%3E%3D+2025-02-01+AND+created+%3C%3D+2026-12-31+AND+type+%3D+Bug+AND+project+%3D+SOVA+AND+Sprint+%3D+1466+AND+status+%3D+%22IN+REVIEW+%2880%25%29%22" xr:uid="{3236CB73-D96E-4774-844A-5927A496D147}"/>
    <hyperlink ref="H4" r:id="rId19" display="https://xrspace.atlassian.net/issues/?jql=created+%3E%3D+2025-02-01+AND+created+%3C%3D+2026-12-31+AND+type+%3D+Bug+AND+project+%3D+SOVA+AND+Sprint+%3D+1466+AND+status+%3D+%22WON%27T+DO+%28100%25%29%22" xr:uid="{DE797A1D-0843-4525-8117-637B96A06273}"/>
    <hyperlink ref="C4" r:id="rId20" display="https://xrspace.atlassian.net/issues/?jql=created+%3E%3D+2025-02-01+AND+created+%3C%3D+2026-12-31+AND+type+%3D+Bug+AND+project+%3D+SOVA+AND+Sprint+%3D+1466+AND+status+%3D+%22STARTING+%2810+%7E+40%25%29%22" xr:uid="{1914DCE3-4AC4-4E0D-850B-E229625C5C2D}"/>
    <hyperlink ref="F4" r:id="rId21" display="https://xrspace.atlassian.net/issues/?jql=created+%3E%3D+2025-02-01+AND+created+%3C%3D+2026-12-31+AND+type+%3D+Bug+AND+project+%3D+SOVA+AND+Sprint+%3D+1466+AND+status+%3D+%22READY+FOR+TESTING+%2890%25%29%22" xr:uid="{A1F186FB-867A-4E97-898C-533544E46C67}"/>
    <hyperlink ref="B5" r:id="rId22" display="https://xrspace.atlassian.net/issues/?jql=created+%3E%3D+2025-02-01+AND+created+%3C%3D+2026-12-31+AND+type+%3D+Bug+AND+project+%3D+SOVA+AND+Sprint+%3D+1496+AND+status+%3D+%22To+Do+%280%25%29%22" xr:uid="{5AECE1B0-9E7D-453B-85D5-7AEC02AE052E}"/>
    <hyperlink ref="D5" r:id="rId23" display="https://xrspace.atlassian.net/issues/?jql=created+%3E%3D+2025-02-01+AND+created+%3C%3D+2026-12-31+AND+type+%3D+Bug+AND+project+%3D+SOVA+AND+Sprint+%3D+1496+AND+status+%3D+%22In+Progress+%2850+%7E+70%25%29%22" xr:uid="{F866C0B4-C94C-454A-8EAC-04159EED840E}"/>
    <hyperlink ref="G5" r:id="rId24" display="https://xrspace.atlassian.net/issues/?jql=created+%3E%3D+2025-02-01+AND+created+%3C%3D+2026-12-31+AND+type+%3D+Bug+AND+project+%3D+SOVA+AND+Sprint+%3D+1496+AND+status+%3D+%22Done+%28100%25%29%22" xr:uid="{3D8E72F0-DBFB-45C7-BE6F-5AE8BF63EB85}"/>
    <hyperlink ref="E5" r:id="rId25" display="https://xrspace.atlassian.net/issues/?jql=created+%3E%3D+2025-02-01+AND+created+%3C%3D+2026-12-31+AND+type+%3D+Bug+AND+project+%3D+SOVA+AND+Sprint+%3D+1496+AND+status+%3D+%22IN+REVIEW+%2880%25%29%22" xr:uid="{67BDD5FC-D605-4D13-B5E0-DDB525A50B85}"/>
    <hyperlink ref="H5" r:id="rId26" display="https://xrspace.atlassian.net/issues/?jql=created+%3E%3D+2025-02-01+AND+created+%3C%3D+2026-12-31+AND+type+%3D+Bug+AND+project+%3D+SOVA+AND+Sprint+%3D+1496+AND+status+%3D+%22WON%27T+DO+%28100%25%29%22" xr:uid="{689B3102-A949-48F8-B962-D1EB8E490A31}"/>
    <hyperlink ref="C5" r:id="rId27" display="https://xrspace.atlassian.net/issues/?jql=created+%3E%3D+2025-02-01+AND+created+%3C%3D+2026-12-31+AND+type+%3D+Bug+AND+project+%3D+SOVA+AND+Sprint+%3D+1496+AND+status+%3D+%22STARTING+%2810+%7E+40%25%29%22" xr:uid="{7DB02657-C57E-4DD1-B3FD-899E275FA401}"/>
    <hyperlink ref="F5" r:id="rId28" display="https://xrspace.atlassian.net/issues/?jql=created+%3E%3D+2025-02-01+AND+created+%3C%3D+2026-12-31+AND+type+%3D+Bug+AND+project+%3D+SOVA+AND+Sprint+%3D+1496+AND+status+%3D+%22READY+FOR+TESTING+%2890%25%29%22" xr:uid="{B5DE74B7-4DCD-46A1-BE7C-BC2AC1D24A43}"/>
    <hyperlink ref="B6" r:id="rId29" display="https://xrspace.atlassian.net/issues/?jql=created+%3E%3D+2025-02-01+AND+created+%3C%3D+2026-12-31+AND+type+%3D+Bug+AND+project+%3D+SOVA+AND+Sprint+%3D+1497+AND+status+%3D+%22To+Do+%280%25%29%22" xr:uid="{A06EE209-20C0-43A4-863C-2B0F47EBE350}"/>
    <hyperlink ref="D6" r:id="rId30" display="https://xrspace.atlassian.net/issues/?jql=created+%3E%3D+2025-02-01+AND+created+%3C%3D+2026-12-31+AND+type+%3D+Bug+AND+project+%3D+SOVA+AND+Sprint+%3D+1497+AND+status+%3D+%22In+Progress+%2850+%7E+70%25%29%22" xr:uid="{346BE594-0974-422D-B03E-72A2932512A0}"/>
    <hyperlink ref="G6" r:id="rId31" display="https://xrspace.atlassian.net/issues/?jql=created+%3E%3D+2025-02-01+AND+created+%3C%3D+2026-12-31+AND+type+%3D+Bug+AND+project+%3D+SOVA+AND+Sprint+%3D+1497+AND+status+%3D+%22Done+%28100%25%29%22" xr:uid="{7019FB0E-4499-4545-A26C-C626D19E6960}"/>
    <hyperlink ref="E6" r:id="rId32" display="https://xrspace.atlassian.net/issues/?jql=created+%3E%3D+2025-02-01+AND+created+%3C%3D+2026-12-31+AND+type+%3D+Bug+AND+project+%3D+SOVA+AND+Sprint+%3D+1497+AND+status+%3D+%22IN+REVIEW+%2880%25%29%22" xr:uid="{A08EFD40-FE00-471F-9A90-1BA4F3848AF6}"/>
    <hyperlink ref="H6" r:id="rId33" display="https://xrspace.atlassian.net/issues/?jql=created+%3E%3D+2025-02-01+AND+created+%3C%3D+2026-12-31+AND+type+%3D+Bug+AND+project+%3D+SOVA+AND+Sprint+%3D+1497+AND+status+%3D+%22WON%27T+DO+%28100%25%29%22" xr:uid="{8DF30AF4-FC29-41FA-8DA4-1D5F4FE84D4C}"/>
    <hyperlink ref="C6" r:id="rId34" display="https://xrspace.atlassian.net/issues/?jql=created+%3E%3D+2025-02-01+AND+created+%3C%3D+2026-12-31+AND+type+%3D+Bug+AND+project+%3D+SOVA+AND+Sprint+%3D+1497+AND+status+%3D+%22STARTING+%2810+%7E+40%25%29%22" xr:uid="{25DFCB2A-0943-465B-8235-AAADDE1A6669}"/>
    <hyperlink ref="F6" r:id="rId35" display="https://xrspace.atlassian.net/issues/?jql=created+%3E%3D+2025-02-01+AND+created+%3C%3D+2026-12-31+AND+type+%3D+Bug+AND+project+%3D+SOVA+AND+Sprint+%3D+1497+AND+status+%3D+%22READY+FOR+TESTING+%2890%25%29%22" xr:uid="{9A9866E6-AD9F-4F98-9552-CC66720CFDE8}"/>
    <hyperlink ref="B7" r:id="rId36" display="https://xrspace.atlassian.net/issues/?jql=created+%3E%3D+2025-02-01+AND+created+%3C%3D+2026-12-31+AND+type+%3D+Bug+AND+project+%3D+SOVA+AND+Sprint+%3D+1498+AND+status+%3D+%22To+Do+%280%25%29%22" xr:uid="{6F0972CB-E226-4A6F-83B5-37762AE69CF7}"/>
    <hyperlink ref="D7" r:id="rId37" display="https://xrspace.atlassian.net/issues/?jql=created+%3E%3D+2025-02-01+AND+created+%3C%3D+2026-12-31+AND+type+%3D+Bug+AND+project+%3D+SOVA+AND+Sprint+%3D+1498+AND+status+%3D+%22In+Progress+%2850+%7E+70%25%29%22" xr:uid="{69B8E6D5-CEB5-4FA7-BA00-5496F14B886F}"/>
    <hyperlink ref="G7" r:id="rId38" display="https://xrspace.atlassian.net/issues/?jql=created+%3E%3D+2025-02-01+AND+created+%3C%3D+2026-12-31+AND+type+%3D+Bug+AND+project+%3D+SOVA+AND+Sprint+%3D+1498+AND+status+%3D+%22Done+%28100%25%29%22" xr:uid="{874BAEDE-927A-4CA9-9802-C9461EF59317}"/>
    <hyperlink ref="E7" r:id="rId39" display="https://xrspace.atlassian.net/issues/?jql=created+%3E%3D+2025-02-01+AND+created+%3C%3D+2026-12-31+AND+type+%3D+Bug+AND+project+%3D+SOVA+AND+Sprint+%3D+1498+AND+status+%3D+%22IN+REVIEW+%2880%25%29%22" xr:uid="{C8595C1F-2ADB-4C12-A24E-61A5D9DDF351}"/>
    <hyperlink ref="H7" r:id="rId40" display="https://xrspace.atlassian.net/issues/?jql=created+%3E%3D+2025-02-01+AND+created+%3C%3D+2026-12-31+AND+type+%3D+Bug+AND+project+%3D+SOVA+AND+Sprint+%3D+1498+AND+status+%3D+%22WON%27T+DO+%28100%25%29%22" xr:uid="{3A607FCB-A3B3-4D06-9113-0A22A06C0B06}"/>
    <hyperlink ref="C7" r:id="rId41" display="https://xrspace.atlassian.net/issues/?jql=created+%3E%3D+2025-02-01+AND+created+%3C%3D+2026-12-31+AND+type+%3D+Bug+AND+project+%3D+SOVA+AND+Sprint+%3D+1498+AND+status+%3D+%22STARTING+%2810+%7E+40%25%29%22" xr:uid="{BD3864C1-1EC0-4C52-A267-EC043EBE1076}"/>
    <hyperlink ref="F7" r:id="rId42" display="https://xrspace.atlassian.net/issues/?jql=created+%3E%3D+2025-02-01+AND+created+%3C%3D+2026-12-31+AND+type+%3D+Bug+AND+project+%3D+SOVA+AND+Sprint+%3D+1498+AND+status+%3D+%22READY+FOR+TESTING+%2890%25%29%22" xr:uid="{E6606B96-F372-4853-8917-452561334A7E}"/>
    <hyperlink ref="B8" r:id="rId43" display="https://xrspace.atlassian.net/issues/?jql=created+%3E%3D+2025-02-01+AND+created+%3C%3D+2026-12-31+AND+type+%3D+Bug+AND+project+%3D+SOVA+AND+Sprint+%3D+1499+AND+status+%3D+%22To+Do+%280%25%29%22" xr:uid="{E00C6465-7849-4D4F-B025-D9988DF0B6C7}"/>
    <hyperlink ref="D8" r:id="rId44" display="https://xrspace.atlassian.net/issues/?jql=created+%3E%3D+2025-02-01+AND+created+%3C%3D+2026-12-31+AND+type+%3D+Bug+AND+project+%3D+SOVA+AND+Sprint+%3D+1499+AND+status+%3D+%22In+Progress+%2850+%7E+70%25%29%22" xr:uid="{D753198A-6878-4194-918C-83F3142C0BC4}"/>
    <hyperlink ref="G8" r:id="rId45" display="https://xrspace.atlassian.net/issues/?jql=created+%3E%3D+2025-02-01+AND+created+%3C%3D+2026-12-31+AND+type+%3D+Bug+AND+project+%3D+SOVA+AND+Sprint+%3D+1499+AND+status+%3D+%22Done+%28100%25%29%22" xr:uid="{91635E97-EFBC-46AA-898D-12D96EF3E9C4}"/>
    <hyperlink ref="E8" r:id="rId46" display="https://xrspace.atlassian.net/issues/?jql=created+%3E%3D+2025-02-01+AND+created+%3C%3D+2026-12-31+AND+type+%3D+Bug+AND+project+%3D+SOVA+AND+Sprint+%3D+1499+AND+status+%3D+%22IN+REVIEW+%2880%25%29%22" xr:uid="{B57207CE-0532-46FE-AFF3-59472BB48E38}"/>
    <hyperlink ref="H8" r:id="rId47" display="https://xrspace.atlassian.net/issues/?jql=created+%3E%3D+2025-02-01+AND+created+%3C%3D+2026-12-31+AND+type+%3D+Bug+AND+project+%3D+SOVA+AND+Sprint+%3D+1499+AND+status+%3D+%22WON%27T+DO+%28100%25%29%22" xr:uid="{CC9E57EE-D725-4EFA-AD69-131745C57C22}"/>
    <hyperlink ref="C8" r:id="rId48" display="https://xrspace.atlassian.net/issues/?jql=created+%3E%3D+2025-02-01+AND+created+%3C%3D+2026-12-31+AND+type+%3D+Bug+AND+project+%3D+SOVA+AND+Sprint+%3D+1499+AND+status+%3D+%22STARTING+%2810+%7E+40%25%29%22" xr:uid="{D4555482-963D-4318-BD61-22868EEC92D5}"/>
    <hyperlink ref="F8" r:id="rId49" display="https://xrspace.atlassian.net/issues/?jql=created+%3E%3D+2025-02-01+AND+created+%3C%3D+2026-12-31+AND+type+%3D+Bug+AND+project+%3D+SOVA+AND+Sprint+%3D+1499+AND+status+%3D+%22READY+FOR+TESTING+%2890%25%29%22" xr:uid="{BDDC02C8-9F9C-4176-8BC1-421B87555DBC}"/>
    <hyperlink ref="B9" r:id="rId50" display="https://xrspace.atlassian.net/issues/?jql=created+%3E%3D+2025-02-01+AND+created+%3C%3D+2026-12-31+AND+type+%3D+Bug+AND+project+%3D+SOVA+AND+Sprint+%3D+2156+AND+status+%3D+%22To+Do+%280%25%29%22" xr:uid="{B5556016-A043-45E4-BE00-2D1E9BB34F62}"/>
    <hyperlink ref="D9" r:id="rId51" display="https://xrspace.atlassian.net/issues/?jql=created+%3E%3D+2025-02-01+AND+created+%3C%3D+2026-12-31+AND+type+%3D+Bug+AND+project+%3D+SOVA+AND+Sprint+%3D+2156+AND+status+%3D+%22In+Progress+%2850+%7E+70%25%29%22" xr:uid="{B65D8CFA-196F-479A-B5CF-0255B3A99F74}"/>
    <hyperlink ref="G9" r:id="rId52" display="https://xrspace.atlassian.net/issues/?jql=created+%3E%3D+2025-02-01+AND+created+%3C%3D+2026-12-31+AND+type+%3D+Bug+AND+project+%3D+SOVA+AND+Sprint+%3D+2156+AND+status+%3D+%22Done+%28100%25%29%22" xr:uid="{97326DE9-214D-4C25-92C1-3EB254CEB50C}"/>
    <hyperlink ref="E9" r:id="rId53" display="https://xrspace.atlassian.net/issues/?jql=created+%3E%3D+2025-02-01+AND+created+%3C%3D+2026-12-31+AND+type+%3D+Bug+AND+project+%3D+SOVA+AND+Sprint+%3D+2156+AND+status+%3D+%22IN+REVIEW+%2880%25%29%22" xr:uid="{A516D73E-0518-425D-9551-A74659057C3F}"/>
    <hyperlink ref="H9" r:id="rId54" display="https://xrspace.atlassian.net/issues/?jql=created+%3E%3D+2025-02-01+AND+created+%3C%3D+2026-12-31+AND+type+%3D+Bug+AND+project+%3D+SOVA+AND+Sprint+%3D+2156+AND+status+%3D+%22WON%27T+DO+%28100%25%29%22" xr:uid="{51083CC8-8DAF-49B0-B429-0100A57F4FF0}"/>
    <hyperlink ref="C9" r:id="rId55" display="https://xrspace.atlassian.net/issues/?jql=created+%3E%3D+2025-02-01+AND+created+%3C%3D+2026-12-31+AND+type+%3D+Bug+AND+project+%3D+SOVA+AND+Sprint+%3D+2156+AND+status+%3D+%22STARTING+%2810+%7E+40%25%29%22" xr:uid="{93435779-D924-4EFB-A63A-F58DDF8F5CFE}"/>
    <hyperlink ref="F9" r:id="rId56" display="https://xrspace.atlassian.net/issues/?jql=created+%3E%3D+2025-02-01+AND+created+%3C%3D+2026-12-31+AND+type+%3D+Bug+AND+project+%3D+SOVA+AND+Sprint+%3D+2156+AND+status+%3D+%22READY+FOR+TESTING+%2890%25%29%22" xr:uid="{25FC70B2-AC9E-4F52-97AE-777A8284F32D}"/>
    <hyperlink ref="B10" r:id="rId57" display="https://xrspace.atlassian.net/issues/?jql=created+%3E%3D+2025-02-01+AND+created+%3C%3D+2026-12-31+AND+type+%3D+Bug+AND+project+%3D+SOVA+AND+Sprint+%3D+2157+AND+status+%3D+%22To+Do+%280%25%29%22" xr:uid="{A34A62D3-D214-40FA-B5D2-026DFE734B32}"/>
    <hyperlink ref="D10" r:id="rId58" display="https://xrspace.atlassian.net/issues/?jql=created+%3E%3D+2025-02-01+AND+created+%3C%3D+2026-12-31+AND+type+%3D+Bug+AND+project+%3D+SOVA+AND+Sprint+%3D+2157+AND+status+%3D+%22In+Progress+%2850+%7E+70%25%29%22" xr:uid="{B31C976D-4E80-443F-97FE-3C5061D8A319}"/>
    <hyperlink ref="G10" r:id="rId59" display="https://xrspace.atlassian.net/issues/?jql=created+%3E%3D+2025-02-01+AND+created+%3C%3D+2026-12-31+AND+type+%3D+Bug+AND+project+%3D+SOVA+AND+Sprint+%3D+2157+AND+status+%3D+%22Done+%28100%25%29%22" xr:uid="{7DFDD6E4-A179-4F1E-B661-4E961BCE0BC9}"/>
    <hyperlink ref="E10" r:id="rId60" display="https://xrspace.atlassian.net/issues/?jql=created+%3E%3D+2025-02-01+AND+created+%3C%3D+2026-12-31+AND+type+%3D+Bug+AND+project+%3D+SOVA+AND+Sprint+%3D+2157+AND+status+%3D+%22IN+REVIEW+%2880%25%29%22" xr:uid="{F9DD4FF7-0210-4BB7-A496-64FA7A59BED6}"/>
    <hyperlink ref="H10" r:id="rId61" display="https://xrspace.atlassian.net/issues/?jql=created+%3E%3D+2025-02-01+AND+created+%3C%3D+2026-12-31+AND+type+%3D+Bug+AND+project+%3D+SOVA+AND+Sprint+%3D+2157+AND+status+%3D+%22WON%27T+DO+%28100%25%29%22" xr:uid="{815BD11A-FCA7-44E6-93C3-86BC524E64C4}"/>
    <hyperlink ref="C10" r:id="rId62" display="https://xrspace.atlassian.net/issues/?jql=created+%3E%3D+2025-02-01+AND+created+%3C%3D+2026-12-31+AND+type+%3D+Bug+AND+project+%3D+SOVA+AND+Sprint+%3D+2157+AND+status+%3D+%22STARTING+%2810+%7E+40%25%29%22" xr:uid="{60D496FF-F38F-4EF0-A715-834EC9A9F272}"/>
    <hyperlink ref="F10" r:id="rId63" display="https://xrspace.atlassian.net/issues/?jql=created+%3E%3D+2025-02-01+AND+created+%3C%3D+2026-12-31+AND+type+%3D+Bug+AND+project+%3D+SOVA+AND+Sprint+%3D+2157+AND+status+%3D+%22READY+FOR+TESTING+%2890%25%29%22" xr:uid="{A6DDE5D1-FC3F-400A-A8EA-2B12CC2C4021}"/>
    <hyperlink ref="B11" r:id="rId64" display="https://xrspace.atlassian.net/issues/?jql=created+%3E%3D+2025-02-01+AND+created+%3C%3D+2026-12-31+AND+type+%3D+Bug+AND+project+%3D+SOVA+AND+Sprint+%3D+2618+AND+status+%3D+%22To+Do+%280%25%29%22" xr:uid="{199A8C9C-770B-4208-95A1-D72A67C3318D}"/>
    <hyperlink ref="D11" r:id="rId65" display="https://xrspace.atlassian.net/issues/?jql=created+%3E%3D+2025-02-01+AND+created+%3C%3D+2026-12-31+AND+type+%3D+Bug+AND+project+%3D+SOVA+AND+Sprint+%3D+2618+AND+status+%3D+%22In+Progress+%2850+%7E+70%25%29%22" xr:uid="{2E025D2C-BA76-4192-88DB-31AAD35EF35E}"/>
    <hyperlink ref="G11" r:id="rId66" display="https://xrspace.atlassian.net/issues/?jql=created+%3E%3D+2025-02-01+AND+created+%3C%3D+2026-12-31+AND+type+%3D+Bug+AND+project+%3D+SOVA+AND+Sprint+%3D+2618+AND+status+%3D+%22Done+%28100%25%29%22" xr:uid="{938608BA-4C20-4023-8DD1-6A443C09039F}"/>
    <hyperlink ref="E11" r:id="rId67" display="https://xrspace.atlassian.net/issues/?jql=created+%3E%3D+2025-02-01+AND+created+%3C%3D+2026-12-31+AND+type+%3D+Bug+AND+project+%3D+SOVA+AND+Sprint+%3D+2618+AND+status+%3D+%22IN+REVIEW+%2880%25%29%22" xr:uid="{A128E572-3614-458E-B8E6-2DB60541092B}"/>
    <hyperlink ref="H11" r:id="rId68" display="https://xrspace.atlassian.net/issues/?jql=created+%3E%3D+2025-02-01+AND+created+%3C%3D+2026-12-31+AND+type+%3D+Bug+AND+project+%3D+SOVA+AND+Sprint+%3D+2618+AND+status+%3D+%22WON%27T+DO+%28100%25%29%22" xr:uid="{4F43AFA6-C202-4058-AB87-80992762E531}"/>
    <hyperlink ref="C11" r:id="rId69" display="https://xrspace.atlassian.net/issues/?jql=created+%3E%3D+2025-02-01+AND+created+%3C%3D+2026-12-31+AND+type+%3D+Bug+AND+project+%3D+SOVA+AND+Sprint+%3D+2618+AND+status+%3D+%22STARTING+%2810+%7E+40%25%29%22" xr:uid="{50DC1068-0618-45EA-B8E3-9DC4BCAE1125}"/>
    <hyperlink ref="F11" r:id="rId70" display="https://xrspace.atlassian.net/issues/?jql=created+%3E%3D+2025-02-01+AND+created+%3C%3D+2026-12-31+AND+type+%3D+Bug+AND+project+%3D+SOVA+AND+Sprint+%3D+2618+AND+status+%3D+%22READY+FOR+TESTING+%2890%25%29%22" xr:uid="{3F64E4A5-2E50-4F27-99B1-B6AAEC698DAE}"/>
    <hyperlink ref="B12" r:id="rId71" display="https://xrspace.atlassian.net/issues/?jql=created+%3E%3D+2025-02-01+AND+created+%3C%3D+2026-12-31+AND+type+%3D+Bug+AND+project+%3D+SOVA+AND+Sprint+%3D+2619+AND+status+%3D+%22To+Do+%280%25%29%22" xr:uid="{9D35E47D-60D4-44FD-B5A1-27B9D574DB80}"/>
    <hyperlink ref="D12" r:id="rId72" display="https://xrspace.atlassian.net/issues/?jql=created+%3E%3D+2025-02-01+AND+created+%3C%3D+2026-12-31+AND+type+%3D+Bug+AND+project+%3D+SOVA+AND+Sprint+%3D+2619+AND+status+%3D+%22In+Progress+%2850+%7E+70%25%29%22" xr:uid="{2202E8AC-919A-4D43-9C9B-A3AE27D336DB}"/>
    <hyperlink ref="G12" r:id="rId73" display="https://xrspace.atlassian.net/issues/?jql=created+%3E%3D+2025-02-01+AND+created+%3C%3D+2026-12-31+AND+type+%3D+Bug+AND+project+%3D+SOVA+AND+Sprint+%3D+2619+AND+status+%3D+%22Done+%28100%25%29%22" xr:uid="{E46B5EB1-D9C0-40D6-BE3B-71ACC25A34A5}"/>
    <hyperlink ref="E12" r:id="rId74" display="https://xrspace.atlassian.net/issues/?jql=created+%3E%3D+2025-02-01+AND+created+%3C%3D+2026-12-31+AND+type+%3D+Bug+AND+project+%3D+SOVA+AND+Sprint+%3D+2619+AND+status+%3D+%22IN+REVIEW+%2880%25%29%22" xr:uid="{F5761500-861A-49C4-94FA-4A8B13972158}"/>
    <hyperlink ref="H12" r:id="rId75" display="https://xrspace.atlassian.net/issues/?jql=created+%3E%3D+2025-02-01+AND+created+%3C%3D+2026-12-31+AND+type+%3D+Bug+AND+project+%3D+SOVA+AND+Sprint+%3D+2619+AND+status+%3D+%22WON%27T+DO+%28100%25%29%22" xr:uid="{6828453F-6DC0-403E-9BDA-AEFBFC7C9DF1}"/>
    <hyperlink ref="C12" r:id="rId76" display="https://xrspace.atlassian.net/issues/?jql=created+%3E%3D+2025-02-01+AND+created+%3C%3D+2026-12-31+AND+type+%3D+Bug+AND+project+%3D+SOVA+AND+Sprint+%3D+2619+AND+status+%3D+%22STARTING+%2810+%7E+40%25%29%22" xr:uid="{DFB0592B-C374-4EEC-AC75-F64422D6FC49}"/>
    <hyperlink ref="F12" r:id="rId77" display="https://xrspace.atlassian.net/issues/?jql=created+%3E%3D+2025-02-01+AND+created+%3C%3D+2026-12-31+AND+type+%3D+Bug+AND+project+%3D+SOVA+AND+Sprint+%3D+2619+AND+status+%3D+%22READY+FOR+TESTING+%2890%25%29%22" xr:uid="{70840C12-8AA1-4F9D-A218-A12C35ABC0D7}"/>
    <hyperlink ref="B13" r:id="rId78" display="https://xrspace.atlassian.net/issues/?jql=created+%3E%3D+2025-02-01+AND+created+%3C%3D+2026-12-31+AND+type+%3D+Bug+AND+project+%3D+SOVA+AND+Sprint+%3D+2882+AND+status+%3D+%22To+Do+%280%25%29%22" xr:uid="{9ED91F79-573B-475E-8917-110837553A80}"/>
    <hyperlink ref="D13" r:id="rId79" display="https://xrspace.atlassian.net/issues/?jql=created+%3E%3D+2025-02-01+AND+created+%3C%3D+2026-12-31+AND+type+%3D+Bug+AND+project+%3D+SOVA+AND+Sprint+%3D+2882+AND+status+%3D+%22In+Progress+%2850+%7E+70%25%29%22" xr:uid="{73304496-191D-48CC-B514-4172B5501041}"/>
    <hyperlink ref="G13" r:id="rId80" display="https://xrspace.atlassian.net/issues/?jql=created+%3E%3D+2025-02-01+AND+created+%3C%3D+2026-12-31+AND+type+%3D+Bug+AND+project+%3D+SOVA+AND+Sprint+%3D+2882+AND+status+%3D+%22Done+%28100%25%29%22" xr:uid="{1D79DE91-5AED-4AB1-9C8E-4EB5B035332C}"/>
    <hyperlink ref="E13" r:id="rId81" display="https://xrspace.atlassian.net/issues/?jql=created+%3E%3D+2025-02-01+AND+created+%3C%3D+2026-12-31+AND+type+%3D+Bug+AND+project+%3D+SOVA+AND+Sprint+%3D+2882+AND+status+%3D+%22IN+REVIEW+%2880%25%29%22" xr:uid="{713AE0CF-967C-4C5F-B83C-E7BFE746E3C1}"/>
    <hyperlink ref="H13" r:id="rId82" display="https://xrspace.atlassian.net/issues/?jql=created+%3E%3D+2025-02-01+AND+created+%3C%3D+2026-12-31+AND+type+%3D+Bug+AND+project+%3D+SOVA+AND+Sprint+%3D+2882+AND+status+%3D+%22WON%27T+DO+%28100%25%29%22" xr:uid="{403B8CE2-CE2A-41A3-8486-52EB60189D41}"/>
    <hyperlink ref="C13" r:id="rId83" display="https://xrspace.atlassian.net/issues/?jql=created+%3E%3D+2025-02-01+AND+created+%3C%3D+2026-12-31+AND+type+%3D+Bug+AND+project+%3D+SOVA+AND+Sprint+%3D+2882+AND+status+%3D+%22STARTING+%2810+%7E+40%25%29%22" xr:uid="{ADC7883D-30BA-47A7-B5B1-A3D535385280}"/>
    <hyperlink ref="F13" r:id="rId84" display="https://xrspace.atlassian.net/issues/?jql=created+%3E%3D+2025-02-01+AND+created+%3C%3D+2026-12-31+AND+type+%3D+Bug+AND+project+%3D+SOVA+AND+Sprint+%3D+2882+AND+status+%3D+%22READY+FOR+TESTING+%2890%25%29%22" xr:uid="{E8F71867-D51A-4E87-A796-42A0F50BA50C}"/>
    <hyperlink ref="B14" r:id="rId85" display="https://xrspace.atlassian.net/issues/?jql=created+%3E%3D+2025-02-01+AND+created+%3C%3D+2026-12-31+AND+type+%3D+Bug+AND+project+%3D+SOVA+AND+Sprint+%3D+3213+AND+status+%3D+%22To+Do+%280%25%29%22" xr:uid="{AE6A39EE-BB08-456B-8885-683CFD8F657E}"/>
    <hyperlink ref="D14" r:id="rId86" display="https://xrspace.atlassian.net/issues/?jql=created+%3E%3D+2025-02-01+AND+created+%3C%3D+2026-12-31+AND+type+%3D+Bug+AND+project+%3D+SOVA+AND+Sprint+%3D+3213+AND+status+%3D+%22In+Progress+%2850+%7E+70%25%29%22" xr:uid="{6FE8C678-12B3-4F58-9DAC-A0C8D09AB5DB}"/>
    <hyperlink ref="G14" r:id="rId87" display="https://xrspace.atlassian.net/issues/?jql=created+%3E%3D+2025-02-01+AND+created+%3C%3D+2026-12-31+AND+type+%3D+Bug+AND+project+%3D+SOVA+AND+Sprint+%3D+3213+AND+status+%3D+%22Done+%28100%25%29%22" xr:uid="{F79E2A39-DEB6-4A0F-9D7F-9556F29D2DC5}"/>
    <hyperlink ref="E14" r:id="rId88" display="https://xrspace.atlassian.net/issues/?jql=created+%3E%3D+2025-02-01+AND+created+%3C%3D+2026-12-31+AND+type+%3D+Bug+AND+project+%3D+SOVA+AND+Sprint+%3D+3213+AND+status+%3D+%22IN+REVIEW+%2880%25%29%22" xr:uid="{3B0DE269-B331-4961-A2E5-0B6EB7AC9BFB}"/>
    <hyperlink ref="H14" r:id="rId89" display="https://xrspace.atlassian.net/issues/?jql=created+%3E%3D+2025-02-01+AND+created+%3C%3D+2026-12-31+AND+type+%3D+Bug+AND+project+%3D+SOVA+AND+Sprint+%3D+3213+AND+status+%3D+%22WON%27T+DO+%28100%25%29%22" xr:uid="{195E7B08-7177-41DB-844C-DBFF92C839CB}"/>
    <hyperlink ref="C14" r:id="rId90" display="https://xrspace.atlassian.net/issues/?jql=created+%3E%3D+2025-02-01+AND+created+%3C%3D+2026-12-31+AND+type+%3D+Bug+AND+project+%3D+SOVA+AND+Sprint+%3D+3213+AND+status+%3D+%22STARTING+%2810+%7E+40%25%29%22" xr:uid="{998268BD-9801-4A90-BBB1-509874361D31}"/>
    <hyperlink ref="F14" r:id="rId91" display="https://xrspace.atlassian.net/issues/?jql=created+%3E%3D+2025-02-01+AND+created+%3C%3D+2026-12-31+AND+type+%3D+Bug+AND+project+%3D+SOVA+AND+Sprint+%3D+3213+AND+status+%3D+%22READY+FOR+TESTING+%2890%25%29%22" xr:uid="{5C78A058-63FC-4F63-9804-694D8F4F2CCB}"/>
    <hyperlink ref="B15" r:id="rId92" display="https://xrspace.atlassian.net/issues/?jql=created+%3E%3D+2025-02-01+AND+created+%3C%3D+2026-12-31+AND+type+%3D+Bug+AND+project+%3D+SOVA+AND+Sprint+%3D+3245+AND+status+%3D+%22To+Do+%280%25%29%22" xr:uid="{FB412802-04D4-443B-AE88-75A5151B8EC6}"/>
    <hyperlink ref="D15" r:id="rId93" display="https://xrspace.atlassian.net/issues/?jql=created+%3E%3D+2025-02-01+AND+created+%3C%3D+2026-12-31+AND+type+%3D+Bug+AND+project+%3D+SOVA+AND+Sprint+%3D+3245+AND+status+%3D+%22In+Progress+%2850+%7E+70%25%29%22" xr:uid="{DA4B7A3B-C50E-456D-9822-3A6ECF54DFCD}"/>
    <hyperlink ref="G15" r:id="rId94" display="https://xrspace.atlassian.net/issues/?jql=created+%3E%3D+2025-02-01+AND+created+%3C%3D+2026-12-31+AND+type+%3D+Bug+AND+project+%3D+SOVA+AND+Sprint+%3D+3245+AND+status+%3D+%22Done+%28100%25%29%22" xr:uid="{7FF1A9FD-1AD9-4064-9510-E4734AD64E02}"/>
    <hyperlink ref="E15" r:id="rId95" display="https://xrspace.atlassian.net/issues/?jql=created+%3E%3D+2025-02-01+AND+created+%3C%3D+2026-12-31+AND+type+%3D+Bug+AND+project+%3D+SOVA+AND+Sprint+%3D+3245+AND+status+%3D+%22IN+REVIEW+%2880%25%29%22" xr:uid="{D5CD931C-360B-44F0-BA9C-4FE80C738D57}"/>
    <hyperlink ref="H15" r:id="rId96" display="https://xrspace.atlassian.net/issues/?jql=created+%3E%3D+2025-02-01+AND+created+%3C%3D+2026-12-31+AND+type+%3D+Bug+AND+project+%3D+SOVA+AND+Sprint+%3D+3245+AND+status+%3D+%22WON%27T+DO+%28100%25%29%22" xr:uid="{0F212D97-7DC6-4E5C-A807-3FA0A6E70322}"/>
    <hyperlink ref="C15" r:id="rId97" display="https://xrspace.atlassian.net/issues/?jql=created+%3E%3D+2025-02-01+AND+created+%3C%3D+2026-12-31+AND+type+%3D+Bug+AND+project+%3D+SOVA+AND+Sprint+%3D+3245+AND+status+%3D+%22STARTING+%2810+%7E+40%25%29%22" xr:uid="{8F676768-2EFB-49BC-8E01-27ADA3A491D6}"/>
    <hyperlink ref="F15" r:id="rId98" display="https://xrspace.atlassian.net/issues/?jql=created+%3E%3D+2025-02-01+AND+created+%3C%3D+2026-12-31+AND+type+%3D+Bug+AND+project+%3D+SOVA+AND+Sprint+%3D+3245+AND+status+%3D+%22READY+FOR+TESTING+%2890%25%29%22" xr:uid="{E6B041A7-9A18-4D6C-986F-3B9E0A695E43}"/>
    <hyperlink ref="B16" r:id="rId99" display="https://xrspace.atlassian.net/issues/?jql=created+%3E%3D+2025-02-01+AND+created+%3C%3D+2026-12-31+AND+type+%3D+Bug+AND+project+%3D+SOVA+AND+Sprint+%3D+3246+AND+status+%3D+%22To+Do+%280%25%29%22" xr:uid="{FFF5CD49-0E62-4F84-A2FF-661B874A68F9}"/>
    <hyperlink ref="D16" r:id="rId100" display="https://xrspace.atlassian.net/issues/?jql=created+%3E%3D+2025-02-01+AND+created+%3C%3D+2026-12-31+AND+type+%3D+Bug+AND+project+%3D+SOVA+AND+Sprint+%3D+3246+AND+status+%3D+%22In+Progress+%2850+%7E+70%25%29%22" xr:uid="{F39A0A11-DBDB-4B6F-A7A3-48EF9BA96CBE}"/>
    <hyperlink ref="G16" r:id="rId101" display="https://xrspace.atlassian.net/issues/?jql=created+%3E%3D+2025-02-01+AND+created+%3C%3D+2026-12-31+AND+type+%3D+Bug+AND+project+%3D+SOVA+AND+Sprint+%3D+3246+AND+status+%3D+%22Done+%28100%25%29%22" xr:uid="{796D5959-7D06-461C-A72C-56198C3D54DE}"/>
    <hyperlink ref="E16" r:id="rId102" display="https://xrspace.atlassian.net/issues/?jql=created+%3E%3D+2025-02-01+AND+created+%3C%3D+2026-12-31+AND+type+%3D+Bug+AND+project+%3D+SOVA+AND+Sprint+%3D+3246+AND+status+%3D+%22IN+REVIEW+%2880%25%29%22" xr:uid="{1E834388-067A-4180-B15E-140C218A9ADA}"/>
    <hyperlink ref="H16" r:id="rId103" display="https://xrspace.atlassian.net/issues/?jql=created+%3E%3D+2025-02-01+AND+created+%3C%3D+2026-12-31+AND+type+%3D+Bug+AND+project+%3D+SOVA+AND+Sprint+%3D+3246+AND+status+%3D+%22WON%27T+DO+%28100%25%29%22" xr:uid="{70D172EB-9750-42E6-9DF8-4D6C68399C31}"/>
    <hyperlink ref="C16" r:id="rId104" display="https://xrspace.atlassian.net/issues/?jql=created+%3E%3D+2025-02-01+AND+created+%3C%3D+2026-12-31+AND+type+%3D+Bug+AND+project+%3D+SOVA+AND+Sprint+%3D+3246+AND+status+%3D+%22STARTING+%2810+%7E+40%25%29%22" xr:uid="{DE7DF6C9-B278-455E-B205-054A335514FD}"/>
    <hyperlink ref="F16" r:id="rId105" display="https://xrspace.atlassian.net/issues/?jql=created+%3E%3D+2025-02-01+AND+created+%3C%3D+2026-12-31+AND+type+%3D+Bug+AND+project+%3D+SOVA+AND+Sprint+%3D+3246+AND+status+%3D+%22READY+FOR+TESTING+%2890%25%29%22" xr:uid="{13EF21C1-BD7E-40AF-AAB6-E5ADB4588238}"/>
    <hyperlink ref="B17" r:id="rId106" display="https://xrspace.atlassian.net/issues/?jql=created+%3E%3D+2025-02-01+AND+created+%3C%3D+2026-12-31+AND+type+%3D+Bug+AND+project+%3D+SOVA+AND+Sprint+%3D+3575+AND+status+%3D+%22To+Do+%280%25%29%22" xr:uid="{3FED6B4C-8EC3-4642-B6E2-CD96CE9E4DCD}"/>
    <hyperlink ref="D17" r:id="rId107" display="https://xrspace.atlassian.net/issues/?jql=created+%3E%3D+2025-02-01+AND+created+%3C%3D+2026-12-31+AND+type+%3D+Bug+AND+project+%3D+SOVA+AND+Sprint+%3D+3575+AND+status+%3D+%22In+Progress+%2850+%7E+70%25%29%22" xr:uid="{30590572-C973-4C5E-9E59-27D2FF5E326A}"/>
    <hyperlink ref="G17" r:id="rId108" display="https://xrspace.atlassian.net/issues/?jql=created+%3E%3D+2025-02-01+AND+created+%3C%3D+2026-12-31+AND+type+%3D+Bug+AND+project+%3D+SOVA+AND+Sprint+%3D+3575+AND+status+%3D+%22Done+%28100%25%29%22" xr:uid="{7EA58C71-117A-4453-8FA6-AF23F8D21076}"/>
    <hyperlink ref="E17" r:id="rId109" display="https://xrspace.atlassian.net/issues/?jql=created+%3E%3D+2025-02-01+AND+created+%3C%3D+2026-12-31+AND+type+%3D+Bug+AND+project+%3D+SOVA+AND+Sprint+%3D+3575+AND+status+%3D+%22IN+REVIEW+%2880%25%29%22" xr:uid="{D4C3804E-87BA-437C-B0BA-CAC7DDECBB0F}"/>
    <hyperlink ref="H17" r:id="rId110" display="https://xrspace.atlassian.net/issues/?jql=created+%3E%3D+2025-02-01+AND+created+%3C%3D+2026-12-31+AND+type+%3D+Bug+AND+project+%3D+SOVA+AND+Sprint+%3D+3575+AND+status+%3D+%22WON%27T+DO+%28100%25%29%22" xr:uid="{5C00BBE8-B296-4C40-BD21-33234B738E15}"/>
    <hyperlink ref="C17" r:id="rId111" display="https://xrspace.atlassian.net/issues/?jql=created+%3E%3D+2025-02-01+AND+created+%3C%3D+2026-12-31+AND+type+%3D+Bug+AND+project+%3D+SOVA+AND+Sprint+%3D+3575+AND+status+%3D+%22STARTING+%2810+%7E+40%25%29%22" xr:uid="{35534DCC-85EF-46F2-9ACE-FF12B5465F52}"/>
    <hyperlink ref="F17" r:id="rId112" display="https://xrspace.atlassian.net/issues/?jql=created+%3E%3D+2025-02-01+AND+created+%3C%3D+2026-12-31+AND+type+%3D+Bug+AND+project+%3D+SOVA+AND+Sprint+%3D+3575+AND+status+%3D+%22READY+FOR+TESTING+%2890%25%29%22" xr:uid="{427C7346-8644-4E58-B6B1-51B9C707011C}"/>
    <hyperlink ref="B18" r:id="rId113" display="https://xrspace.atlassian.net/issues/?jql=created+%3E%3D+2025-02-01+AND+created+%3C%3D+2026-12-31+AND+type+%3D+Bug+AND+project+%3D+SOVA+AND+Sprint+%3D+3608+AND+status+%3D+%22To+Do+%280%25%29%22" xr:uid="{E06A75EF-8B5C-4345-9754-FE742F57754D}"/>
    <hyperlink ref="D18" r:id="rId114" display="https://xrspace.atlassian.net/issues/?jql=created+%3E%3D+2025-02-01+AND+created+%3C%3D+2026-12-31+AND+type+%3D+Bug+AND+project+%3D+SOVA+AND+Sprint+%3D+3608+AND+status+%3D+%22In+Progress+%2850+%7E+70%25%29%22" xr:uid="{25574AAD-FAB4-42F9-AC16-3CD4461261DD}"/>
    <hyperlink ref="G18" r:id="rId115" display="https://xrspace.atlassian.net/issues/?jql=created+%3E%3D+2025-02-01+AND+created+%3C%3D+2026-12-31+AND+type+%3D+Bug+AND+project+%3D+SOVA+AND+Sprint+%3D+3608+AND+status+%3D+%22Done+%28100%25%29%22" xr:uid="{E1D8BAF3-E148-4FA2-B4D6-7B0512D7501C}"/>
    <hyperlink ref="E18" r:id="rId116" display="https://xrspace.atlassian.net/issues/?jql=created+%3E%3D+2025-02-01+AND+created+%3C%3D+2026-12-31+AND+type+%3D+Bug+AND+project+%3D+SOVA+AND+Sprint+%3D+3608+AND+status+%3D+%22IN+REVIEW+%2880%25%29%22" xr:uid="{76109AD7-08D0-4CD3-9A8A-5DF6821BE6F0}"/>
    <hyperlink ref="H18" r:id="rId117" display="https://xrspace.atlassian.net/issues/?jql=created+%3E%3D+2025-02-01+AND+created+%3C%3D+2026-12-31+AND+type+%3D+Bug+AND+project+%3D+SOVA+AND+Sprint+%3D+3608+AND+status+%3D+%22WON%27T+DO+%28100%25%29%22" xr:uid="{ADB7F3D0-4D4D-44BC-AE06-10E02AAE2C39}"/>
    <hyperlink ref="C18" r:id="rId118" display="https://xrspace.atlassian.net/issues/?jql=created+%3E%3D+2025-02-01+AND+created+%3C%3D+2026-12-31+AND+type+%3D+Bug+AND+project+%3D+SOVA+AND+Sprint+%3D+3608+AND+status+%3D+%22STARTING+%2810+%7E+40%25%29%22" xr:uid="{354C7527-3F1C-4866-8553-5E751C0C03F4}"/>
    <hyperlink ref="F18" r:id="rId119" display="https://xrspace.atlassian.net/issues/?jql=created+%3E%3D+2025-02-01+AND+created+%3C%3D+2026-12-31+AND+type+%3D+Bug+AND+project+%3D+SOVA+AND+Sprint+%3D+3608+AND+status+%3D+%22READY+FOR+TESTING+%2890%25%29%22" xr:uid="{AE2A0438-83BE-4C01-911B-01A8605CD1B8}"/>
    <hyperlink ref="B19" r:id="rId120" display="https://xrspace.atlassian.net/issues/?jql=created+%3E%3D+2025-02-01+AND+created+%3C%3D+2026-12-31+AND+type+%3D+Bug+AND+project+%3D+SOVA+AND+Sprint+%3D+3872+AND+status+%3D+%22To+Do+%280%25%29%22" xr:uid="{EA4CD4BC-0FCD-4BEC-87A5-5FDE2C7ADF7A}"/>
    <hyperlink ref="D19" r:id="rId121" display="https://xrspace.atlassian.net/issues/?jql=created+%3E%3D+2025-02-01+AND+created+%3C%3D+2026-12-31+AND+type+%3D+Bug+AND+project+%3D+SOVA+AND+Sprint+%3D+3872+AND+status+%3D+%22In+Progress+%2850+%7E+70%25%29%22" xr:uid="{BD13236D-C1AC-487A-9857-7E7D985E0BC1}"/>
    <hyperlink ref="G19" r:id="rId122" display="https://xrspace.atlassian.net/issues/?jql=created+%3E%3D+2025-02-01+AND+created+%3C%3D+2026-12-31+AND+type+%3D+Bug+AND+project+%3D+SOVA+AND+Sprint+%3D+3872+AND+status+%3D+%22Done+%28100%25%29%22" xr:uid="{1CEB5D4A-C23F-4ABA-B9E7-7794C0B2A850}"/>
    <hyperlink ref="E19" r:id="rId123" display="https://xrspace.atlassian.net/issues/?jql=created+%3E%3D+2025-02-01+AND+created+%3C%3D+2026-12-31+AND+type+%3D+Bug+AND+project+%3D+SOVA+AND+Sprint+%3D+3872+AND+status+%3D+%22IN+REVIEW+%2880%25%29%22" xr:uid="{5EDE8EE5-0466-4619-9723-75F63F401521}"/>
    <hyperlink ref="H19" r:id="rId124" display="https://xrspace.atlassian.net/issues/?jql=created+%3E%3D+2025-02-01+AND+created+%3C%3D+2026-12-31+AND+type+%3D+Bug+AND+project+%3D+SOVA+AND+Sprint+%3D+3872+AND+status+%3D+%22WON%27T+DO+%28100%25%29%22" xr:uid="{07DBCF5D-015E-46EA-8E86-4CF71174CAE0}"/>
    <hyperlink ref="C19" r:id="rId125" display="https://xrspace.atlassian.net/issues/?jql=created+%3E%3D+2025-02-01+AND+created+%3C%3D+2026-12-31+AND+type+%3D+Bug+AND+project+%3D+SOVA+AND+Sprint+%3D+3872+AND+status+%3D+%22STARTING+%2810+%7E+40%25%29%22" xr:uid="{595BA7D6-991E-4E92-AD81-777A3E94066F}"/>
    <hyperlink ref="F19" r:id="rId126" display="https://xrspace.atlassian.net/issues/?jql=created+%3E%3D+2025-02-01+AND+created+%3C%3D+2026-12-31+AND+type+%3D+Bug+AND+project+%3D+SOVA+AND+Sprint+%3D+3872+AND+status+%3D+%22READY+FOR+TESTING+%2890%25%29%22" xr:uid="{7E58557E-58DC-4A51-BC61-5EB6ABF89445}"/>
    <hyperlink ref="B20" r:id="rId127" display="https://xrspace.atlassian.net/issues/?jql=created+%3E%3D+2025-02-01+AND+created+%3C%3D+2026-12-31+AND+type+%3D+Bug+AND+project+%3D+SOVA+AND+Sprint+%3D+3873+AND+status+%3D+%22To+Do+%280%25%29%22" xr:uid="{E7758CC1-2302-42C0-A59A-82FCC98C4135}"/>
    <hyperlink ref="D20" r:id="rId128" display="https://xrspace.atlassian.net/issues/?jql=created+%3E%3D+2025-02-01+AND+created+%3C%3D+2026-12-31+AND+type+%3D+Bug+AND+project+%3D+SOVA+AND+Sprint+%3D+3873+AND+status+%3D+%22In+Progress+%2850+%7E+70%25%29%22" xr:uid="{E2D5C100-A2CD-4406-87C5-F73C0D26E9AF}"/>
    <hyperlink ref="G20" r:id="rId129" display="https://xrspace.atlassian.net/issues/?jql=created+%3E%3D+2025-02-01+AND+created+%3C%3D+2026-12-31+AND+type+%3D+Bug+AND+project+%3D+SOVA+AND+Sprint+%3D+3873+AND+status+%3D+%22Done+%28100%25%29%22" xr:uid="{87724920-F512-4B87-ADF8-5136ADBF9AC2}"/>
    <hyperlink ref="E20" r:id="rId130" display="https://xrspace.atlassian.net/issues/?jql=created+%3E%3D+2025-02-01+AND+created+%3C%3D+2026-12-31+AND+type+%3D+Bug+AND+project+%3D+SOVA+AND+Sprint+%3D+3873+AND+status+%3D+%22IN+REVIEW+%2880%25%29%22" xr:uid="{85FDDE50-B43E-4D8F-8885-51291FD2161C}"/>
    <hyperlink ref="H20" r:id="rId131" display="https://xrspace.atlassian.net/issues/?jql=created+%3E%3D+2025-02-01+AND+created+%3C%3D+2026-12-31+AND+type+%3D+Bug+AND+project+%3D+SOVA+AND+Sprint+%3D+3873+AND+status+%3D+%22WON%27T+DO+%28100%25%29%22" xr:uid="{22EFFFF0-F722-4943-A355-5719E8B7EA71}"/>
    <hyperlink ref="C20" r:id="rId132" display="https://xrspace.atlassian.net/issues/?jql=created+%3E%3D+2025-02-01+AND+created+%3C%3D+2026-12-31+AND+type+%3D+Bug+AND+project+%3D+SOVA+AND+Sprint+%3D+3873+AND+status+%3D+%22STARTING+%2810+%7E+40%25%29%22" xr:uid="{B8CEDA44-00F1-4712-BC87-7A75F076566D}"/>
    <hyperlink ref="F20" r:id="rId133" display="https://xrspace.atlassian.net/issues/?jql=created+%3E%3D+2025-02-01+AND+created+%3C%3D+2026-12-31+AND+type+%3D+Bug+AND+project+%3D+SOVA+AND+Sprint+%3D+3873+AND+status+%3D+%22READY+FOR+TESTING+%2890%25%29%22" xr:uid="{F2379AE1-8AB0-444A-960A-FE38A60C1AAE}"/>
    <hyperlink ref="B21" r:id="rId134" display="https://xrspace.atlassian.net/issues/?jql=created+%3E%3D+2025-02-01+AND+created+%3C%3D+2026-12-31+AND+type+%3D+Bug+AND+project+%3D+SOVA+AND+Sprint+%3D+4140+AND+status+%3D+%22To+Do+%280%25%29%22" xr:uid="{64A48762-6F4C-4202-825F-5579B90FFCB0}"/>
    <hyperlink ref="D21" r:id="rId135" display="https://xrspace.atlassian.net/issues/?jql=created+%3E%3D+2025-02-01+AND+created+%3C%3D+2026-12-31+AND+type+%3D+Bug+AND+project+%3D+SOVA+AND+Sprint+%3D+4140+AND+status+%3D+%22In+Progress+%2850+%7E+70%25%29%22" xr:uid="{3B2635F7-EA61-4E3E-8D9C-E9FBA36CFC79}"/>
    <hyperlink ref="G21" r:id="rId136" display="https://xrspace.atlassian.net/issues/?jql=created+%3E%3D+2025-02-01+AND+created+%3C%3D+2026-12-31+AND+type+%3D+Bug+AND+project+%3D+SOVA+AND+Sprint+%3D+4140+AND+status+%3D+%22Done+%28100%25%29%22" xr:uid="{56BB524B-8F3E-4C9D-981C-F32438E24434}"/>
    <hyperlink ref="E21" r:id="rId137" display="https://xrspace.atlassian.net/issues/?jql=created+%3E%3D+2025-02-01+AND+created+%3C%3D+2026-12-31+AND+type+%3D+Bug+AND+project+%3D+SOVA+AND+Sprint+%3D+4140+AND+status+%3D+%22IN+REVIEW+%2880%25%29%22" xr:uid="{1F894FCD-A7F8-4469-B8E9-615F22A7D31E}"/>
    <hyperlink ref="H21" r:id="rId138" display="https://xrspace.atlassian.net/issues/?jql=created+%3E%3D+2025-02-01+AND+created+%3C%3D+2026-12-31+AND+type+%3D+Bug+AND+project+%3D+SOVA+AND+Sprint+%3D+4140+AND+status+%3D+%22WON%27T+DO+%28100%25%29%22" xr:uid="{1D1584F7-6078-4CD9-9F86-7791D3835BF1}"/>
    <hyperlink ref="C21" r:id="rId139" display="https://xrspace.atlassian.net/issues/?jql=created+%3E%3D+2025-02-01+AND+created+%3C%3D+2026-12-31+AND+type+%3D+Bug+AND+project+%3D+SOVA+AND+Sprint+%3D+4140+AND+status+%3D+%22STARTING+%2810+%7E+40%25%29%22" xr:uid="{9DFE7914-E974-4747-82BC-FBCC9BD0C4CA}"/>
    <hyperlink ref="F21" r:id="rId140" display="https://xrspace.atlassian.net/issues/?jql=created+%3E%3D+2025-02-01+AND+created+%3C%3D+2026-12-31+AND+type+%3D+Bug+AND+project+%3D+SOVA+AND+Sprint+%3D+4140+AND+status+%3D+%22READY+FOR+TESTING+%2890%25%29%22" xr:uid="{02DE7248-7DF8-4577-8B9E-A7D6373E0B07}"/>
    <hyperlink ref="B22" r:id="rId141" display="https://xrspace.atlassian.net/issues/?jql=created+%3E%3D+2025-02-01+AND+created+%3C%3D+2026-12-31+AND+type+%3D+Bug+AND+project+%3D+SOVA+AND+Sprint+%3D+4206+AND+status+%3D+%22To+Do+%280%25%29%22" xr:uid="{8A8D667A-F9D6-4A37-998E-975E6D25F77D}"/>
    <hyperlink ref="D22" r:id="rId142" display="https://xrspace.atlassian.net/issues/?jql=created+%3E%3D+2025-02-01+AND+created+%3C%3D+2026-12-31+AND+type+%3D+Bug+AND+project+%3D+SOVA+AND+Sprint+%3D+4206+AND+status+%3D+%22In+Progress+%2850+%7E+70%25%29%22" xr:uid="{2D937BDF-E066-49C2-A0B0-073704665DD3}"/>
    <hyperlink ref="G22" r:id="rId143" display="https://xrspace.atlassian.net/issues/?jql=created+%3E%3D+2025-02-01+AND+created+%3C%3D+2026-12-31+AND+type+%3D+Bug+AND+project+%3D+SOVA+AND+Sprint+%3D+4206+AND+status+%3D+%22Done+%28100%25%29%22" xr:uid="{827D8597-CBA5-486D-B6E1-5A7A66952C04}"/>
    <hyperlink ref="E22" r:id="rId144" display="https://xrspace.atlassian.net/issues/?jql=created+%3E%3D+2025-02-01+AND+created+%3C%3D+2026-12-31+AND+type+%3D+Bug+AND+project+%3D+SOVA+AND+Sprint+%3D+4206+AND+status+%3D+%22IN+REVIEW+%2880%25%29%22" xr:uid="{7879F788-3AD6-42C9-889C-E74ED20CA31B}"/>
    <hyperlink ref="H22" r:id="rId145" display="https://xrspace.atlassian.net/issues/?jql=created+%3E%3D+2025-02-01+AND+created+%3C%3D+2026-12-31+AND+type+%3D+Bug+AND+project+%3D+SOVA+AND+Sprint+%3D+4206+AND+status+%3D+%22WON%27T+DO+%28100%25%29%22" xr:uid="{B79C8A81-57C1-458D-BE53-B4013C47A146}"/>
    <hyperlink ref="C22" r:id="rId146" display="https://xrspace.atlassian.net/issues/?jql=created+%3E%3D+2025-02-01+AND+created+%3C%3D+2026-12-31+AND+type+%3D+Bug+AND+project+%3D+SOVA+AND+Sprint+%3D+4206+AND+status+%3D+%22STARTING+%2810+%7E+40%25%29%22" xr:uid="{8A957121-B252-4954-BF66-81CE72E246F0}"/>
    <hyperlink ref="F22" r:id="rId147" display="https://xrspace.atlassian.net/issues/?jql=created+%3E%3D+2025-02-01+AND+created+%3C%3D+2026-12-31+AND+type+%3D+Bug+AND+project+%3D+SOVA+AND+Sprint+%3D+4206+AND+status+%3D+%22READY+FOR+TESTING+%2890%25%29%22" xr:uid="{58425FE8-279F-48CA-AC8B-D2303DE1D169}"/>
    <hyperlink ref="B23" r:id="rId148" display="https://xrspace.atlassian.net/issues/?jql=created+%3E%3D+2025-02-01+AND+created+%3C%3D+2026-12-31+AND+type+%3D+Bug+AND+project+%3D+SOVA+AND+Sprint+%3D+4477+AND+status+%3D+%22To+Do+%280%25%29%22" xr:uid="{AF811438-4606-412A-874A-33577732A50C}"/>
    <hyperlink ref="D23" r:id="rId149" display="https://xrspace.atlassian.net/issues/?jql=created+%3E%3D+2025-02-01+AND+created+%3C%3D+2026-12-31+AND+type+%3D+Bug+AND+project+%3D+SOVA+AND+Sprint+%3D+4477+AND+status+%3D+%22In+Progress+%2850+%7E+70%25%29%22" xr:uid="{19416631-1D54-46EB-B1BA-1837234F9118}"/>
    <hyperlink ref="G23" r:id="rId150" display="https://xrspace.atlassian.net/issues/?jql=created+%3E%3D+2025-02-01+AND+created+%3C%3D+2026-12-31+AND+type+%3D+Bug+AND+project+%3D+SOVA+AND+Sprint+%3D+4477+AND+status+%3D+%22Done+%28100%25%29%22" xr:uid="{514A55A6-FF80-4FE4-85D2-A594187EB644}"/>
    <hyperlink ref="E23" r:id="rId151" display="https://xrspace.atlassian.net/issues/?jql=created+%3E%3D+2025-02-01+AND+created+%3C%3D+2026-12-31+AND+type+%3D+Bug+AND+project+%3D+SOVA+AND+Sprint+%3D+4477+AND+status+%3D+%22IN+REVIEW+%2880%25%29%22" xr:uid="{0C63EE7E-652C-4376-9267-DF68D2910736}"/>
    <hyperlink ref="H23" r:id="rId152" display="https://xrspace.atlassian.net/issues/?jql=created+%3E%3D+2025-02-01+AND+created+%3C%3D+2026-12-31+AND+type+%3D+Bug+AND+project+%3D+SOVA+AND+Sprint+%3D+4477+AND+status+%3D+%22WON%27T+DO+%28100%25%29%22" xr:uid="{E53EABE4-348F-4FB5-A7BF-B7989447A861}"/>
    <hyperlink ref="C23" r:id="rId153" display="https://xrspace.atlassian.net/issues/?jql=created+%3E%3D+2025-02-01+AND+created+%3C%3D+2026-12-31+AND+type+%3D+Bug+AND+project+%3D+SOVA+AND+Sprint+%3D+4477+AND+status+%3D+%22STARTING+%2810+%7E+40%25%29%22" xr:uid="{CAA078DE-41FF-48A8-AA59-EAE4845F675C}"/>
    <hyperlink ref="F23" r:id="rId154" display="https://xrspace.atlassian.net/issues/?jql=created+%3E%3D+2025-02-01+AND+created+%3C%3D+2026-12-31+AND+type+%3D+Bug+AND+project+%3D+SOVA+AND+Sprint+%3D+4477+AND+status+%3D+%22READY+FOR+TESTING+%2890%25%29%22" xr:uid="{390EF12F-3120-4C7F-BAEC-6C3042E6908B}"/>
    <hyperlink ref="B24" r:id="rId155" display="https://xrspace.atlassian.net/issues/?jql=created+%3E%3D+2025-02-01+AND+created+%3C%3D+2026-12-31+AND+type+%3D+Bug+AND+project+%3D+SOVA+AND+Sprint+%3D+4478+AND+status+%3D+%22To+Do+%280%25%29%22" xr:uid="{D5E804B8-F9E0-43F1-AA2C-B4AF983AB7B8}"/>
    <hyperlink ref="D24" r:id="rId156" display="https://xrspace.atlassian.net/issues/?jql=created+%3E%3D+2025-02-01+AND+created+%3C%3D+2026-12-31+AND+type+%3D+Bug+AND+project+%3D+SOVA+AND+Sprint+%3D+4478+AND+status+%3D+%22In+Progress+%2850+%7E+70%25%29%22" xr:uid="{DF7C432D-CDE3-481A-9040-D9163C7FDFB3}"/>
    <hyperlink ref="G24" r:id="rId157" display="https://xrspace.atlassian.net/issues/?jql=created+%3E%3D+2025-02-01+AND+created+%3C%3D+2026-12-31+AND+type+%3D+Bug+AND+project+%3D+SOVA+AND+Sprint+%3D+4478+AND+status+%3D+%22Done+%28100%25%29%22" xr:uid="{48EFB8B6-C61B-4A44-87DE-B9D9610683DE}"/>
    <hyperlink ref="E24" r:id="rId158" display="https://xrspace.atlassian.net/issues/?jql=created+%3E%3D+2025-02-01+AND+created+%3C%3D+2026-12-31+AND+type+%3D+Bug+AND+project+%3D+SOVA+AND+Sprint+%3D+4478+AND+status+%3D+%22IN+REVIEW+%2880%25%29%22" xr:uid="{021887A6-5E6E-43E8-BABD-ABA89E529EA9}"/>
    <hyperlink ref="H24" r:id="rId159" display="https://xrspace.atlassian.net/issues/?jql=created+%3E%3D+2025-02-01+AND+created+%3C%3D+2026-12-31+AND+type+%3D+Bug+AND+project+%3D+SOVA+AND+Sprint+%3D+4478+AND+status+%3D+%22WON%27T+DO+%28100%25%29%22" xr:uid="{6E9997D5-B3CC-4878-A029-4209F0E009E7}"/>
    <hyperlink ref="C24" r:id="rId160" display="https://xrspace.atlassian.net/issues/?jql=created+%3E%3D+2025-02-01+AND+created+%3C%3D+2026-12-31+AND+type+%3D+Bug+AND+project+%3D+SOVA+AND+Sprint+%3D+4478+AND+status+%3D+%22STARTING+%2810+%7E+40%25%29%22" xr:uid="{6C57EC10-FD67-472B-A19C-4DDBDB41516F}"/>
    <hyperlink ref="F24" r:id="rId161" display="https://xrspace.atlassian.net/issues/?jql=created+%3E%3D+2025-02-01+AND+created+%3C%3D+2026-12-31+AND+type+%3D+Bug+AND+project+%3D+SOVA+AND+Sprint+%3D+4478+AND+status+%3D+%22READY+FOR+TESTING+%2890%25%29%22" xr:uid="{DEEA38A8-FFFE-4FC1-B5B6-401D72C6627F}"/>
    <hyperlink ref="B25" r:id="rId162" display="https://xrspace.atlassian.net/issues/?jql=created+%3E%3D+2025-02-01+AND+created+%3C%3D+2026-12-31+AND+type+%3D+Bug+AND+project+%3D+SOVA+AND+Sprint+%3D+4677+AND+status+%3D+%22To+Do+%280%25%29%22" xr:uid="{D4229FC5-0302-45FF-BF83-221C23A98DBE}"/>
    <hyperlink ref="D25" r:id="rId163" display="https://xrspace.atlassian.net/issues/?jql=created+%3E%3D+2025-02-01+AND+created+%3C%3D+2026-12-31+AND+type+%3D+Bug+AND+project+%3D+SOVA+AND+Sprint+%3D+4677+AND+status+%3D+%22In+Progress+%2850+%7E+70%25%29%22" xr:uid="{3606DFBA-9F86-4283-83A5-08514FE3D10E}"/>
    <hyperlink ref="G25" r:id="rId164" display="https://xrspace.atlassian.net/issues/?jql=created+%3E%3D+2025-02-01+AND+created+%3C%3D+2026-12-31+AND+type+%3D+Bug+AND+project+%3D+SOVA+AND+Sprint+%3D+4677+AND+status+%3D+%22Done+%28100%25%29%22" xr:uid="{3E6B0CB4-13C2-427C-B956-79F0D6E0222D}"/>
    <hyperlink ref="E25" r:id="rId165" display="https://xrspace.atlassian.net/issues/?jql=created+%3E%3D+2025-02-01+AND+created+%3C%3D+2026-12-31+AND+type+%3D+Bug+AND+project+%3D+SOVA+AND+Sprint+%3D+4677+AND+status+%3D+%22IN+REVIEW+%2880%25%29%22" xr:uid="{D242DDED-3633-4DC6-B8FB-87111D783601}"/>
    <hyperlink ref="H25" r:id="rId166" display="https://xrspace.atlassian.net/issues/?jql=created+%3E%3D+2025-02-01+AND+created+%3C%3D+2026-12-31+AND+type+%3D+Bug+AND+project+%3D+SOVA+AND+Sprint+%3D+4677+AND+status+%3D+%22WON%27T+DO+%28100%25%29%22" xr:uid="{009D20BC-F4D8-4741-B828-C342D30DBF20}"/>
    <hyperlink ref="C25" r:id="rId167" display="https://xrspace.atlassian.net/issues/?jql=created+%3E%3D+2025-02-01+AND+created+%3C%3D+2026-12-31+AND+type+%3D+Bug+AND+project+%3D+SOVA+AND+Sprint+%3D+4677+AND+status+%3D+%22STARTING+%2810+%7E+40%25%29%22" xr:uid="{39159DD6-E0ED-43EA-9926-D694C668CCF8}"/>
    <hyperlink ref="F25" r:id="rId168" display="https://xrspace.atlassian.net/issues/?jql=created+%3E%3D+2025-02-01+AND+created+%3C%3D+2026-12-31+AND+type+%3D+Bug+AND+project+%3D+SOVA+AND+Sprint+%3D+4677+AND+status+%3D+%22READY+FOR+TESTING+%2890%25%29%22" xr:uid="{D904B1A2-0DFB-4C1A-8B25-B807623148B3}"/>
    <hyperlink ref="B26" r:id="rId169" display="https://xrspace.atlassian.net/issues/?jql=created+%3E%3D+2025-02-01+AND+created+%3C%3D+2026-12-31+AND+type+%3D+Bug+AND+project+%3D+SOVA+AND+Sprint+%3D+4678+AND+status+%3D+%22To+Do+%280%25%29%22" xr:uid="{0AD5C7BF-79E8-4654-BCA5-8CE2ADBC3509}"/>
    <hyperlink ref="D26" r:id="rId170" display="https://xrspace.atlassian.net/issues/?jql=created+%3E%3D+2025-02-01+AND+created+%3C%3D+2026-12-31+AND+type+%3D+Bug+AND+project+%3D+SOVA+AND+Sprint+%3D+4678+AND+status+%3D+%22In+Progress+%2850+%7E+70%25%29%22" xr:uid="{5CBF48B0-3027-44C1-AD8A-1446D2717275}"/>
    <hyperlink ref="G26" r:id="rId171" display="https://xrspace.atlassian.net/issues/?jql=created+%3E%3D+2025-02-01+AND+created+%3C%3D+2026-12-31+AND+type+%3D+Bug+AND+project+%3D+SOVA+AND+Sprint+%3D+4678+AND+status+%3D+%22Done+%28100%25%29%22" xr:uid="{7E2B8146-DEC2-4A54-A4E6-B290CBEA301E}"/>
    <hyperlink ref="E26" r:id="rId172" display="https://xrspace.atlassian.net/issues/?jql=created+%3E%3D+2025-02-01+AND+created+%3C%3D+2026-12-31+AND+type+%3D+Bug+AND+project+%3D+SOVA+AND+Sprint+%3D+4678+AND+status+%3D+%22IN+REVIEW+%2880%25%29%22" xr:uid="{99F40436-34F3-4F03-8198-8C7FB95F7A33}"/>
    <hyperlink ref="H26" r:id="rId173" display="https://xrspace.atlassian.net/issues/?jql=created+%3E%3D+2025-02-01+AND+created+%3C%3D+2026-12-31+AND+type+%3D+Bug+AND+project+%3D+SOVA+AND+Sprint+%3D+4678+AND+status+%3D+%22WON%27T+DO+%28100%25%29%22" xr:uid="{EE55B56C-DEB2-47B9-8B61-6CD6FDD4265C}"/>
    <hyperlink ref="C26" r:id="rId174" display="https://xrspace.atlassian.net/issues/?jql=created+%3E%3D+2025-02-01+AND+created+%3C%3D+2026-12-31+AND+type+%3D+Bug+AND+project+%3D+SOVA+AND+Sprint+%3D+4678+AND+status+%3D+%22STARTING+%2810+%7E+40%25%29%22" xr:uid="{BF18E1E3-E99C-4A32-AD66-218405983DC6}"/>
    <hyperlink ref="F26" r:id="rId175" display="https://xrspace.atlassian.net/issues/?jql=created+%3E%3D+2025-02-01+AND+created+%3C%3D+2026-12-31+AND+type+%3D+Bug+AND+project+%3D+SOVA+AND+Sprint+%3D+4678+AND+status+%3D+%22READY+FOR+TESTING+%2890%25%29%22" xr:uid="{669BE368-A6CC-4D42-AB08-DA9B51AC0180}"/>
  </hyperlinks>
  <pageMargins left="0.7" right="0.7" top="0.75" bottom="0.75" header="0.3" footer="0.3"/>
  <pageSetup orientation="portrait" r:id="rId176"/>
  <drawing r:id="rId177"/>
  <tableParts count="1">
    <tablePart r:id="rId17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21"/>
  <sheetViews>
    <sheetView workbookViewId="0">
      <selection activeCell="D24" sqref="D24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43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63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64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65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66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67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68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69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70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71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72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73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74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62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75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90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91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92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97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98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  <row r="21" spans="1:5" ht="20.100000000000001" customHeight="1">
      <c r="A21" s="3" t="s">
        <v>103</v>
      </c>
      <c r="B21" s="14">
        <v>98</v>
      </c>
      <c r="C21" s="14">
        <v>1</v>
      </c>
      <c r="D21" s="14">
        <v>14</v>
      </c>
      <c r="E21" s="14">
        <f>SUM(Table25[[#This Row],[Done]:[TODO (P1)]])</f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2026-03-06T00:01:49Z</dcterms:modified>
</cp:coreProperties>
</file>