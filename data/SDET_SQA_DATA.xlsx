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F00A1364-E8D9-45F6-A83A-3350FC33E41F}" xr6:coauthVersionLast="47" xr6:coauthVersionMax="47" xr10:uidLastSave="{00000000-0000-0000-0000-000000000000}"/>
  <bookViews>
    <workbookView xWindow="-120" yWindow="-120" windowWidth="29040" windowHeight="15720" activeTab="1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" i="1" l="1"/>
  <c r="H18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19" i="6"/>
  <c r="E18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E27" i="1"/>
  <c r="E25" i="1"/>
  <c r="H31" i="2"/>
  <c r="E17" i="6"/>
  <c r="H29" i="2"/>
  <c r="E24" i="1"/>
  <c r="E16" i="6"/>
  <c r="H28" i="2"/>
  <c r="H27" i="2"/>
  <c r="E23" i="1"/>
  <c r="E15" i="6"/>
  <c r="E22" i="1"/>
  <c r="E14" i="6"/>
  <c r="E13" i="6"/>
  <c r="H25" i="2"/>
  <c r="E21" i="1"/>
  <c r="E12" i="6"/>
  <c r="E20" i="1"/>
  <c r="E19" i="1"/>
  <c r="H24" i="2"/>
  <c r="H23" i="2"/>
  <c r="E18" i="1"/>
  <c r="E10" i="6"/>
  <c r="E17" i="1"/>
  <c r="H26" i="2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E2" i="1"/>
  <c r="E3" i="1"/>
  <c r="E4" i="1"/>
  <c r="E5" i="1"/>
  <c r="E6" i="1"/>
  <c r="E7" i="1"/>
  <c r="E8" i="1"/>
  <c r="E9" i="1"/>
  <c r="E10" i="1"/>
  <c r="E11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<sst xmlns="http://schemas.openxmlformats.org/spreadsheetml/2006/main" count="180" uniqueCount="103">
  <si>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</si>
  <si>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</si>
  <si>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</si>
  <si>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</si>
  <si>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</si>
  <si>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</si>
  <si>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</si>
  <si>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</si>
  <si>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</si>
  <si>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</si>
  <si>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</si>
  <si>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</si>
  <si>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</si>
  <si>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</si>
  <si>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</si>
  <si>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</si>
  <si>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</si>
  <si>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</si>
  <si>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</si>
  <si>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</si>
  <si>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</si>
  <si>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</si>
  <si>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</si>
  <si>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</si>
  <si>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</si>
  <si>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</si>
  <si>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</si>
  <si>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</si>
  <si>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</si>
  <si>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</si>
  <si>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</si>
  <si>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</si>
  <si>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</si>
  <si>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</si>
  <si>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</si>
  <si>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</si>
  <si>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</si>
  <si>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</si>
  <si>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</si>
  <si>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</si>
  <si>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</si>
  <si>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</si>
  <si>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</si>
  <si>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</si>
  <si>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</si>
  <si>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</si>
  <si>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</si>
  <si>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</si>
  <si>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</si>
  <si>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</si>
  <si>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</si>
  <si>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</si>
  <si>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</si>
  <si>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</si>
  <si>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</si>
  <si>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</si>
  <si>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</si>
  <si>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</si>
  <si>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</si>
  <si>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</si>
  <si>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</si>
  <si>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</si>
  <si>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y26w2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</si>
  <si>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</si>
  <si>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</si>
  <si>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</si>
  <si>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</si>
  <si>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</si>
  <si>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</si>
  <si>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</si>
  <si>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</si>
  <si>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</si>
  <si>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</si>
  <si>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</si>
  <si>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</si>
  <si>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</si>
  <si>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</si>
  <si>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</si>
  <si>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</si>
  <si>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</si>
  <si>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</si>
  <si>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</si>
  <si>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</si>
  <si>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</si>
  <si>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</si>
  <si>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</si>
  <si>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</si>
  <si>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</si>
  <si>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</si>
  <si>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</si>
  <si>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</si>
  <si>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y26w4</t>
  </si>
  <si>
    <t>y26w6</t>
  </si>
  <si>
    <t>26W03</t>
  </si>
  <si>
    <t>26W04</t>
  </si>
  <si>
    <t>26W05</t>
  </si>
  <si>
    <t>v1.38</t>
  </si>
  <si>
    <t>v1.39</t>
  </si>
  <si>
    <t>y26w8</t>
  </si>
  <si>
    <t>y26w10</t>
  </si>
  <si>
    <t>None</t>
  </si>
  <si>
    <t>Candidate</t>
  </si>
  <si>
    <t>26W06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</si>
</sst>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numFmt numFmtId="0" formatCode="General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TestAutomationProgress!$A$2:$A$27</c:f>
              <c:strCache>
                <c:ptCount val="26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</c:strCache>
            </c:strRef>
          </c:cat>
          <c:val>
            <c:numRef>
              <c:f>TestAutomationProgress!$B$2:$B$27</c:f>
              <c:numCache>
                <c:formatCode>General</c:formatCode>
                <c:ptCount val="26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TestAutomationProgress!$A$2:$A$27</c:f>
              <c:strCache>
                <c:ptCount val="26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</c:strCache>
            </c:strRef>
          </c:cat>
          <c:val>
            <c:numRef>
              <c:f>TestAutomationProgress!$C$2:$C$27</c:f>
              <c:numCache>
                <c:formatCode>General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TestAutomationProgress!$A$2:$A$27</c:f>
              <c:strCache>
                <c:ptCount val="26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</c:strCache>
            </c:strRef>
          </c:cat>
          <c:val>
            <c:numRef>
              <c:f>TestAutomationProgress!$D$2:$D$27</c:f>
              <c:numCache>
                <c:formatCode>General</c:formatCode>
                <c:ptCount val="26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162</c:v>
                </c:pt>
                <c:pt idx="21">
                  <c:v>162</c:v>
                </c:pt>
                <c:pt idx="22">
                  <c:v>162</c:v>
                </c:pt>
                <c:pt idx="23">
                  <c:v>162</c:v>
                </c:pt>
                <c:pt idx="24">
                  <c:v>161</c:v>
                </c:pt>
                <c:pt idx="25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v1.38</c:v>
                </c:pt>
              </c:strCache>
            </c:strRef>
          </c:cat>
          <c:val>
            <c:numRef>
              <c:f>'Humi-TestResult'!$B$2:$B$18</c:f>
              <c:numCache>
                <c:formatCode>General</c:formatCode>
                <c:ptCount val="17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v1.38</c:v>
                </c:pt>
              </c:strCache>
            </c:strRef>
          </c:cat>
          <c:val>
            <c:numRef>
              <c:f>'Humi-TestResult'!$C$2:$C$18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v1.38</c:v>
                </c:pt>
              </c:strCache>
            </c:strRef>
          </c:cat>
          <c:val>
            <c:numRef>
              <c:f>'Humi-TestResult'!$D$2:$D$18</c:f>
              <c:numCache>
                <c:formatCode>General</c:formatCode>
                <c:ptCount val="17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v1.38</c:v>
                </c:pt>
              </c:strCache>
            </c:strRef>
          </c:cat>
          <c:val>
            <c:numRef>
              <c:f>'Humi-TestResult'!$E$2:$E$18</c:f>
              <c:numCache>
                <c:formatCode>General</c:formatCode>
                <c:ptCount val="17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v1.38</c:v>
                </c:pt>
              </c:strCache>
            </c:strRef>
          </c:cat>
          <c:val>
            <c:numRef>
              <c:f>'Humi-TestResult'!$F$2:$F$18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v1.38</c:v>
                </c:pt>
              </c:strCache>
            </c:strRef>
          </c:cat>
          <c:val>
            <c:numRef>
              <c:f>'Humi-TestResult'!$G$2:$G$18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v1.38</c:v>
                </c:pt>
              </c:strCache>
            </c:strRef>
          </c:cat>
          <c:val>
            <c:numRef>
              <c:f>'Humi-TestResult'!$H$2:$H$18</c:f>
              <c:numCache>
                <c:formatCode>General</c:formatCode>
                <c:ptCount val="17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'SOVA-TestResult'!$A$2:$A$31</c:f>
              <c:strCache>
                <c:ptCount val="30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</c:strCache>
            </c:strRef>
          </c:cat>
          <c:val>
            <c:numRef>
              <c:f>'SOVA-TestResult'!$B$2:$B$31</c:f>
              <c:numCache>
                <c:formatCode>General</c:formatCode>
                <c:ptCount val="30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'SOVA-TestResult'!$A$2:$A$31</c:f>
              <c:strCache>
                <c:ptCount val="30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</c:strCache>
            </c:strRef>
          </c:cat>
          <c:val>
            <c:numRef>
              <c:f>'SOVA-TestResult'!$C$2:$C$31</c:f>
              <c:numCache>
                <c:formatCode>General</c:formatCode>
                <c:ptCount val="30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'SOVA-TestResult'!$A$2:$A$31</c:f>
              <c:strCache>
                <c:ptCount val="30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</c:strCache>
            </c:strRef>
          </c:cat>
          <c:val>
            <c:numRef>
              <c:f>'SOVA-TestResult'!$D$2:$D$31</c:f>
              <c:numCache>
                <c:formatCode>General</c:formatCode>
                <c:ptCount val="30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'SOVA-TestResult'!$A$2:$A$31</c:f>
              <c:strCache>
                <c:ptCount val="30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</c:strCache>
            </c:strRef>
          </c:cat>
          <c:val>
            <c:numRef>
              <c:f>'SOVA-TestResult'!$E$2:$E$31</c:f>
              <c:numCache>
                <c:formatCode>General</c:formatCode>
                <c:ptCount val="30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'SOVA-TestResult'!$A$2:$A$31</c:f>
              <c:strCache>
                <c:ptCount val="30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</c:strCache>
            </c:strRef>
          </c:cat>
          <c:val>
            <c:numRef>
              <c:f>'SOVA-TestResult'!$F$2:$F$31</c:f>
              <c:numCache>
                <c:formatCode>General</c:formatCode>
                <c:ptCount val="30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'SOVA-TestResult'!$A$2:$A$31</c:f>
              <c:strCache>
                <c:ptCount val="30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</c:strCache>
            </c:strRef>
          </c:cat>
          <c:val>
            <c:numRef>
              <c:f>'SOVA-TestResult'!$G$2:$G$31</c:f>
              <c:numCache>
                <c:formatCode>General</c:formatCode>
                <c:ptCount val="30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'SOVA-TestResult'!$A$2:$A$31</c:f>
              <c:strCache>
                <c:ptCount val="30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</c:strCache>
            </c:strRef>
          </c:cat>
          <c:val>
            <c:numRef>
              <c:f>'SOVA-TestResult'!$H$2:$H$31</c:f>
              <c:numCache>
                <c:formatCode>General</c:formatCode>
                <c:ptCount val="30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'Humi-BugTrend'!$B$2:$B$21</c:f>
              <c:numCache>
                <c:formatCode>General</c:formatCode>
                <c:ptCount val="20"/>
                <c:pt idx="0">
                  <c:v>15</c:v>
                </c:pt>
                <c:pt idx="1">
                  <c:v>7</c:v>
                </c:pt>
                <c:pt idx="2">
                  <c:v>18</c:v>
                </c:pt>
                <c:pt idx="3">
                  <c:v>17</c:v>
                </c:pt>
                <c:pt idx="4">
                  <c:v>26</c:v>
                </c:pt>
                <c:pt idx="5">
                  <c:v>14</c:v>
                </c:pt>
                <c:pt idx="6">
                  <c:v>10</c:v>
                </c:pt>
                <c:pt idx="7">
                  <c:v>6</c:v>
                </c:pt>
                <c:pt idx="8">
                  <c:v>11</c:v>
                </c:pt>
                <c:pt idx="9">
                  <c:v>2</c:v>
                </c:pt>
                <c:pt idx="10">
                  <c:v>13</c:v>
                </c:pt>
                <c:pt idx="11">
                  <c:v>1</c:v>
                </c:pt>
                <c:pt idx="12">
                  <c:v>4</c:v>
                </c:pt>
                <c:pt idx="13">
                  <c:v>17</c:v>
                </c:pt>
                <c:pt idx="14">
                  <c:v>5</c:v>
                </c:pt>
                <c:pt idx="15">
                  <c:v>8</c:v>
                </c:pt>
                <c:pt idx="16">
                  <c:v>7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'Humi-BugTrend'!$D$2:$D$21</c:f>
              <c:numCache>
                <c:formatCode>General</c:formatCode>
                <c:ptCount val="20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'Humi-BugTrend'!$E$2:$E$21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'Humi-BugTrend'!$F$2:$F$21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'Humi-BugTrend'!$G$2:$G$21</c:f>
              <c:numCache>
                <c:formatCode>General</c:formatCode>
                <c:ptCount val="20"/>
                <c:pt idx="0">
                  <c:v>61</c:v>
                </c:pt>
                <c:pt idx="1">
                  <c:v>46</c:v>
                </c:pt>
                <c:pt idx="2">
                  <c:v>43</c:v>
                </c:pt>
                <c:pt idx="3">
                  <c:v>33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37</c:v>
                </c:pt>
                <c:pt idx="14">
                  <c:v>37</c:v>
                </c:pt>
                <c:pt idx="15">
                  <c:v>34</c:v>
                </c:pt>
                <c:pt idx="16">
                  <c:v>17</c:v>
                </c:pt>
                <c:pt idx="17">
                  <c:v>8</c:v>
                </c:pt>
                <c:pt idx="18">
                  <c:v>4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'Humi-BugTrend'!$H$2:$H$21</c:f>
              <c:numCache>
                <c:formatCode>General</c:formatCode>
                <c:ptCount val="20"/>
                <c:pt idx="0">
                  <c:v>77</c:v>
                </c:pt>
                <c:pt idx="1">
                  <c:v>53</c:v>
                </c:pt>
                <c:pt idx="2">
                  <c:v>63</c:v>
                </c:pt>
                <c:pt idx="3">
                  <c:v>51</c:v>
                </c:pt>
                <c:pt idx="4">
                  <c:v>51</c:v>
                </c:pt>
                <c:pt idx="5">
                  <c:v>70</c:v>
                </c:pt>
                <c:pt idx="6">
                  <c:v>50</c:v>
                </c:pt>
                <c:pt idx="7">
                  <c:v>39</c:v>
                </c:pt>
                <c:pt idx="8">
                  <c:v>41</c:v>
                </c:pt>
                <c:pt idx="9">
                  <c:v>3</c:v>
                </c:pt>
                <c:pt idx="10">
                  <c:v>22</c:v>
                </c:pt>
                <c:pt idx="11">
                  <c:v>13</c:v>
                </c:pt>
                <c:pt idx="12">
                  <c:v>13</c:v>
                </c:pt>
                <c:pt idx="13">
                  <c:v>54</c:v>
                </c:pt>
                <c:pt idx="14">
                  <c:v>42</c:v>
                </c:pt>
                <c:pt idx="15">
                  <c:v>43</c:v>
                </c:pt>
                <c:pt idx="16">
                  <c:v>24</c:v>
                </c:pt>
                <c:pt idx="17">
                  <c:v>14</c:v>
                </c:pt>
                <c:pt idx="18">
                  <c:v>7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'SOVA-BugTrend'!$B$2:$B$27</c:f>
              <c:numCache>
                <c:formatCode>General</c:formatCode>
                <c:ptCount val="26"/>
                <c:pt idx="0">
                  <c:v>158</c:v>
                </c:pt>
                <c:pt idx="1">
                  <c:v>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</c:v>
                </c:pt>
                <c:pt idx="19">
                  <c:v>4</c:v>
                </c:pt>
                <c:pt idx="20">
                  <c:v>7</c:v>
                </c:pt>
                <c:pt idx="21">
                  <c:v>2</c:v>
                </c:pt>
                <c:pt idx="22">
                  <c:v>2</c:v>
                </c:pt>
                <c:pt idx="23">
                  <c:v>11</c:v>
                </c:pt>
                <c:pt idx="24">
                  <c:v>6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'SOVA-BugTrend'!$D$2:$D$27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'SOVA-BugTrend'!$E$2:$E$27</c:f>
              <c:numCache>
                <c:formatCode>General</c:formatCode>
                <c:ptCount val="2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5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'SOVA-BugTrend'!$G$2:$G$27</c:f>
              <c:numCache>
                <c:formatCode>General</c:formatCode>
                <c:ptCount val="26"/>
                <c:pt idx="0">
                  <c:v>120</c:v>
                </c:pt>
                <c:pt idx="1">
                  <c:v>2</c:v>
                </c:pt>
                <c:pt idx="2">
                  <c:v>20</c:v>
                </c:pt>
                <c:pt idx="3">
                  <c:v>20</c:v>
                </c:pt>
                <c:pt idx="4">
                  <c:v>16</c:v>
                </c:pt>
                <c:pt idx="5">
                  <c:v>16</c:v>
                </c:pt>
                <c:pt idx="6">
                  <c:v>55</c:v>
                </c:pt>
                <c:pt idx="7">
                  <c:v>35</c:v>
                </c:pt>
                <c:pt idx="8">
                  <c:v>39</c:v>
                </c:pt>
                <c:pt idx="9">
                  <c:v>39</c:v>
                </c:pt>
                <c:pt idx="10">
                  <c:v>45</c:v>
                </c:pt>
                <c:pt idx="11">
                  <c:v>18</c:v>
                </c:pt>
                <c:pt idx="12">
                  <c:v>25</c:v>
                </c:pt>
                <c:pt idx="13">
                  <c:v>45</c:v>
                </c:pt>
                <c:pt idx="14">
                  <c:v>24</c:v>
                </c:pt>
                <c:pt idx="15">
                  <c:v>43</c:v>
                </c:pt>
                <c:pt idx="16">
                  <c:v>35</c:v>
                </c:pt>
                <c:pt idx="17">
                  <c:v>29</c:v>
                </c:pt>
                <c:pt idx="18">
                  <c:v>39</c:v>
                </c:pt>
                <c:pt idx="19">
                  <c:v>31</c:v>
                </c:pt>
                <c:pt idx="20">
                  <c:v>29</c:v>
                </c:pt>
                <c:pt idx="21">
                  <c:v>29</c:v>
                </c:pt>
                <c:pt idx="22">
                  <c:v>26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'SOVA-BugTrend'!$H$2:$H$27</c:f>
              <c:numCache>
                <c:formatCode>General</c:formatCode>
                <c:ptCount val="26"/>
                <c:pt idx="0">
                  <c:v>74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6</c:v>
                </c:pt>
                <c:pt idx="10">
                  <c:v>7</c:v>
                </c:pt>
                <c:pt idx="11">
                  <c:v>1</c:v>
                </c:pt>
                <c:pt idx="12">
                  <c:v>4</c:v>
                </c:pt>
                <c:pt idx="13">
                  <c:v>5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3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'SOVA-BugTrend'!$I$2:$I$27</c:f>
              <c:numCache>
                <c:formatCode>General</c:formatCode>
                <c:ptCount val="26"/>
                <c:pt idx="0">
                  <c:v>357</c:v>
                </c:pt>
                <c:pt idx="1">
                  <c:v>27</c:v>
                </c:pt>
                <c:pt idx="2">
                  <c:v>23</c:v>
                </c:pt>
                <c:pt idx="3">
                  <c:v>22</c:v>
                </c:pt>
                <c:pt idx="4">
                  <c:v>18</c:v>
                </c:pt>
                <c:pt idx="5">
                  <c:v>18</c:v>
                </c:pt>
                <c:pt idx="6">
                  <c:v>59</c:v>
                </c:pt>
                <c:pt idx="7">
                  <c:v>39</c:v>
                </c:pt>
                <c:pt idx="8">
                  <c:v>42</c:v>
                </c:pt>
                <c:pt idx="9">
                  <c:v>46</c:v>
                </c:pt>
                <c:pt idx="10">
                  <c:v>53</c:v>
                </c:pt>
                <c:pt idx="11">
                  <c:v>20</c:v>
                </c:pt>
                <c:pt idx="12">
                  <c:v>32</c:v>
                </c:pt>
                <c:pt idx="13">
                  <c:v>53</c:v>
                </c:pt>
                <c:pt idx="14">
                  <c:v>25</c:v>
                </c:pt>
                <c:pt idx="15">
                  <c:v>43</c:v>
                </c:pt>
                <c:pt idx="16">
                  <c:v>35</c:v>
                </c:pt>
                <c:pt idx="17">
                  <c:v>29</c:v>
                </c:pt>
                <c:pt idx="18">
                  <c:v>44</c:v>
                </c:pt>
                <c:pt idx="19">
                  <c:v>36</c:v>
                </c:pt>
                <c:pt idx="20">
                  <c:v>37</c:v>
                </c:pt>
                <c:pt idx="21">
                  <c:v>31</c:v>
                </c:pt>
                <c:pt idx="22">
                  <c:v>34</c:v>
                </c:pt>
                <c:pt idx="23">
                  <c:v>27</c:v>
                </c:pt>
                <c:pt idx="24">
                  <c:v>7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29</xdr:row>
      <xdr:rowOff>171448</xdr:rowOff>
    </xdr:from>
    <xdr:to>
      <xdr:col>8</xdr:col>
      <xdr:colOff>95250</xdr:colOff>
      <xdr:row>58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114300</xdr:rowOff>
    </xdr:from>
    <xdr:to>
      <xdr:col>6</xdr:col>
      <xdr:colOff>1028700</xdr:colOff>
      <xdr:row>48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34</xdr:row>
      <xdr:rowOff>69662</xdr:rowOff>
    </xdr:from>
    <xdr:to>
      <xdr:col>6</xdr:col>
      <xdr:colOff>1057275</xdr:colOff>
      <xdr:row>63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22</xdr:row>
      <xdr:rowOff>142875</xdr:rowOff>
    </xdr:from>
    <xdr:to>
      <xdr:col>8</xdr:col>
      <xdr:colOff>428625</xdr:colOff>
      <xdr:row>51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31</xdr:row>
      <xdr:rowOff>12700</xdr:rowOff>
    </xdr:from>
    <xdr:to>
      <xdr:col>8</xdr:col>
      <xdr:colOff>219075</xdr:colOff>
      <xdr:row>60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7" totalsRowShown="0" headerRowDxfId="35">
  <autoFilter ref="A1:E27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8" totalsRowShown="0" headerRowDxfId="33">
  <autoFilter ref="A1:H18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0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1" totalsRowShown="0" headerRowDxfId="32">
  <autoFilter ref="A1:H31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1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1" totalsRowShown="0" headerRowDxfId="30">
  <autoFilter ref="A1:H21" xr:uid="{E4AD0B7A-EC5B-4838-AC2B-8475A3B6644B}"/>
  <tableColumns count="8">
    <tableColumn id="1" xr3:uid="{58F8A895-CEBE-41D2-B7BB-1681C0697C85}" name="Version"/>
    <tableColumn id="2" xr3:uid="{CE08A48D-2419-484B-993C-54A546869B61}" name="To Do" dataDxfId="29"/>
    <tableColumn id="3" xr3:uid="{FC519478-6B36-4D96-93F3-3AF4B1D70F3E}" name="In Progress" dataDxfId="28"/>
    <tableColumn id="5" xr3:uid="{52258D92-71B9-4E63-A3AA-5ABE6B4F3D23}" name="In Review" dataDxfId="27"/>
    <tableColumn id="4" xr3:uid="{C5EE39F3-E9DF-4F2E-9576-6DDB97E21DB3}" name="In QA" dataDxfId="26"/>
    <tableColumn id="6" xr3:uid="{CC106112-C63E-4AA5-9AAA-D0A99983E0DD}" name="Internal Test" dataDxfId="25"/>
    <tableColumn id="7" xr3:uid="{C69EECCF-E5E5-4372-B171-2B35FE10B60D}" name="Done" dataDxfId="24"/>
    <tableColumn id="8" xr3:uid="{C7A900BC-8967-4049-AE22-7F9EDE21E913}" name="Total" dataDxfId="15" totalsRowDxfId="23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7" totalsRowShown="0" headerRowDxfId="14" dataDxfId="13" headerRowBorderDxfId="11" tableBorderDxfId="12" totalsRowBorderDxfId="10" dataCellStyle="Hyperlink">
  <autoFilter ref="A1:I27" xr:uid="{108F5145-A108-41DB-B2C3-516BE7C86923}"/>
  <tableColumns count="9">
    <tableColumn id="1" xr3:uid="{5BE08AE0-E0B5-4B46-9423-456B88C2D9BC}" name="Sprint" dataDxfId="9"/>
    <tableColumn id="2" xr3:uid="{030F9647-4FC0-4C7E-9B3A-AB099CC59EBA}" name="To Do (0%)" dataDxfId="8" dataCellStyle="Hyperlink"/>
    <tableColumn id="3" xr3:uid="{7D2923F3-E2CF-4FD9-A7A5-68C36BB95591}" name="STARTING (10 ~ 40%)" dataDxfId="7" dataCellStyle="Hyperlink"/>
    <tableColumn id="4" xr3:uid="{48FB5317-7F3B-4F74-B244-5A49C7749EBD}" name="In Progress (50 ~ 70%)" dataDxfId="6" dataCellStyle="Hyperlink"/>
    <tableColumn id="5" xr3:uid="{86F5CCB5-C4C2-4C36-935A-657F085500B1}" name="IN REVIEW (80%)" dataDxfId="5" dataCellStyle="Hyperlink"/>
    <tableColumn id="9" xr3:uid="{51D22AE3-424C-4604-9869-D672DED4301F}" name="READY FOR TESTING (90%)" dataDxfId="4" dataCellStyle="Hyperlink"/>
    <tableColumn id="6" xr3:uid="{33C9BCE6-D9EB-4032-9B0A-DDD9A4051A2D}" name="Done (100%)" dataDxfId="3" dataCellStyle="Hyperlink"/>
    <tableColumn id="8" xr3:uid="{D624FC89-A88E-45AC-9D22-66D66702B8C5}" name="WON'T DO (100%)" dataDxfId="2" dataCellStyle="Hyperlink"/>
    <tableColumn id="7" xr3:uid="{EFEEB7EC-E2D1-40EA-B265-A558311E5D30}" name="Total" dataDxfId="1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9" totalsRowShown="0" headerRowDxfId="22" dataDxfId="21">
  <autoFilter ref="A1:E19" xr:uid="{2C55E946-0086-4A42-AEAE-DA5ED4E8BB10}"/>
  <tableColumns count="5">
    <tableColumn id="1" xr3:uid="{7070D9F2-0ED1-4F39-8D72-28B37C8E98F2}" name="Week" dataDxfId="20"/>
    <tableColumn id="2" xr3:uid="{1173F443-CC27-4C6E-A432-BF66DB2A740E}" name="Done" dataDxfId="19"/>
    <tableColumn id="3" xr3:uid="{2EE10CB5-1AF1-4B50-9456-B3A666DD5338}" name="In Review/Progress" dataDxfId="18"/>
    <tableColumn id="4" xr3:uid="{328D0A00-85F0-4BFF-81FE-C023998A3701}" name="TODO (P1)" dataDxfId="17"/>
    <tableColumn id="5" xr3:uid="{E385808E-1FCD-451C-9807-DAF18A42B704}" name="Total" dataDxfId="16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1496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1499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59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70" Type="http://schemas.openxmlformats.org/officeDocument/2006/relationships/hyperlink" Target="https://xrspace.atlassian.net/issues/?jql=created+%3E%3D+2025-02-01+AND+created+%3C%3D+2026-12-31+AND+type+%3D+Bug+AND+project+%3D+SOVA+AND+Sprint+%3D+EMPTY+AND+status+%3D+%22In+Progress+%2850+%7E+7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1466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1498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1463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160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181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1497+AND+status+%3D+%22To+Do+%28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71" Type="http://schemas.openxmlformats.org/officeDocument/2006/relationships/hyperlink" Target="https://xrspace.atlassian.net/issues/?jql=created+%3E%3D+2025-02-01+AND+created+%3C%3D+2026-12-31+AND+type+%3D+Bug+AND+project+%3D+SOVA+AND+Sprint+%3D+EMPTY+AND+status+%3D+%22Done+%2810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1466+AND+status+%3D+%22WON%27T+DO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1498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61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182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1463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1497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172" Type="http://schemas.openxmlformats.org/officeDocument/2006/relationships/hyperlink" Target="https://xrspace.atlassian.net/issues/?jql=created+%3E%3D+2025-02-01+AND+created+%3C%3D+2026-12-31+AND+type+%3D+Bug+AND+project+%3D+SOVA+AND+Sprint+%3D+EMPTY+AND+status+%3D+%22IN+REVIEW+%2880%25%29%22" TargetMode="External"/><Relationship Id="rId13" Type="http://schemas.openxmlformats.org/officeDocument/2006/relationships/hyperlink" Target="https://xrspace.atlassian.net/issues/?jql=created+%3E%3D+2025-02-01+AND+created+%3C%3D+2026-12-31+AND+type+%3D+Bug+AND+project+%3D+SOVA+AND+Sprint+%3D+1466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1496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1499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1498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67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1463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162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83" Type="http://schemas.openxmlformats.org/officeDocument/2006/relationships/printerSettings" Target="../printerSettings/printerSettings3.bin"/><Relationship Id="rId2" Type="http://schemas.openxmlformats.org/officeDocument/2006/relationships/hyperlink" Target="https://xrspace.atlassian.net/issues/?jql=created+%3E%3D+2025-02-01+AND+created+%3C%3D+2026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1498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1497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1499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57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78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61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73" Type="http://schemas.openxmlformats.org/officeDocument/2006/relationships/hyperlink" Target="https://xrspace.atlassian.net/issues/?jql=created+%3E%3D+2025-02-01+AND+created+%3C%3D+2026-12-31+AND+type+%3D+Bug+AND+project+%3D+SOVA+AND+Sprint+%3D+EMPTY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1496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1466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1498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1498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68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1466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163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84" Type="http://schemas.openxmlformats.org/officeDocument/2006/relationships/drawing" Target="../drawings/drawing5.xml"/><Relationship Id="rId3" Type="http://schemas.openxmlformats.org/officeDocument/2006/relationships/hyperlink" Target="https://xrspace.atlassian.net/issues/?jql=created+%3E%3D+2025-02-01+AND+created+%3C%3D+2026-12-31+AND+type+%3D+Bug+AND+project+%3D+SOVA+AND+Sprint+%3D+1463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1497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158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1496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1499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74" Type="http://schemas.openxmlformats.org/officeDocument/2006/relationships/hyperlink" Target="https://xrspace.atlassian.net/issues/?jql=created+%3E%3D+2025-02-01+AND+created+%3C%3D+2026-12-31+AND+type+%3D+Bug+AND+project+%3D+SOVA+AND+Sprint+%3D+EMPTY+AND+status+%3D+%22STARTING+%2810+%7E+40%25%29%22" TargetMode="External"/><Relationship Id="rId179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1496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1499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1466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1498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64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69" Type="http://schemas.openxmlformats.org/officeDocument/2006/relationships/hyperlink" Target="https://xrspace.atlassian.net/issues/?jql=created+%3E%3D+2025-02-01+AND+created+%3C%3D+2026-12-31+AND+type+%3D+Bug+AND+project+%3D+SOVA+AND+Sprint+%3D+EMPTY+AND+status+%3D+%22To+Do+%280%25%29%22" TargetMode="External"/><Relationship Id="rId185" Type="http://schemas.openxmlformats.org/officeDocument/2006/relationships/table" Target="../tables/table5.xml"/><Relationship Id="rId4" Type="http://schemas.openxmlformats.org/officeDocument/2006/relationships/hyperlink" Target="https://xrspace.atlassian.net/issues/?jql=created+%3E%3D+2025-02-01+AND+created+%3C%3D+2026-12-31+AND+type+%3D+Bug+AND+project+%3D+SOVA+AND+Sprint+%3D+1463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1466+AND+status+%3D+%22In+Progress+%2850+%7E+70%25%29%22" TargetMode="External"/><Relationship Id="rId180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1497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75" Type="http://schemas.openxmlformats.org/officeDocument/2006/relationships/hyperlink" Target="https://xrspace.atlassian.net/issues/?jql=created+%3E%3D+2025-02-01+AND+created+%3C%3D+2026-12-31+AND+type+%3D+Bug+AND+project+%3D+SOVA+AND+Sprint+%3D+EMPTY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1496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1499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165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1497+AND+status+%3D+%22STARTING+%2810+%7E+4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155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176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1496+AND+status+%3D+%22Done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1499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66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1463+AND+status+%3D+%22To+Do+%28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1497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56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77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7"/>
  <sheetViews>
    <sheetView topLeftCell="A28" zoomScaleNormal="100" workbookViewId="0">
      <selection activeCell="K23" sqref="K23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43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1.95" customHeight="1">
      <c r="A3" t="s">
        <v>78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1.95" customHeight="1">
      <c r="A4" t="s">
        <v>79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1.95" customHeight="1">
      <c r="A5" t="s">
        <v>80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1.95" customHeight="1">
      <c r="A6" t="s">
        <v>81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1.95" customHeight="1">
      <c r="A7" t="s">
        <v>82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1.95" customHeight="1">
      <c r="A8" t="s">
        <v>83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1.95" customHeight="1">
      <c r="A9" t="s">
        <v>84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1.95" customHeight="1">
      <c r="A10" t="s">
        <v>85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1.95" customHeight="1">
      <c r="A11" t="s">
        <v>64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1.95" customHeight="1">
      <c r="A12" t="s">
        <v>65</v>
      </c>
      <c r="B12">
        <v>13</v>
      </c>
      <c r="C12">
        <v>11</v>
      </c>
      <c r="D12">
        <v>172</v>
      </c>
      <c r="E12" s="12">
        <f>SUM(Table2[[#This Row],[Done]:[TODO (P1)]])</f>
        <v>196</v>
      </c>
    </row>
    <row r="13" spans="1:5" ht="21.95" customHeight="1">
      <c r="A13" t="s">
        <v>66</v>
      </c>
      <c r="B13">
        <v>15</v>
      </c>
      <c r="C13">
        <v>12</v>
      </c>
      <c r="D13">
        <v>168</v>
      </c>
      <c r="E13" s="12">
        <f>SUM(Table2[[#This Row],[Done]:[TODO (P1)]])</f>
        <v>195</v>
      </c>
    </row>
    <row r="14" spans="1:5" ht="21.95" customHeight="1">
      <c r="A14" t="s">
        <v>67</v>
      </c>
      <c r="B14">
        <v>18</v>
      </c>
      <c r="C14">
        <v>11</v>
      </c>
      <c r="D14">
        <v>166</v>
      </c>
      <c r="E14" s="12">
        <f>SUM(Table2[[#This Row],[Done]:[TODO (P1)]])</f>
        <v>195</v>
      </c>
    </row>
    <row r="15" spans="1:5" ht="21.95" customHeight="1">
      <c r="A15" t="s">
        <v>68</v>
      </c>
      <c r="B15">
        <v>21</v>
      </c>
      <c r="C15">
        <v>14</v>
      </c>
      <c r="D15">
        <v>160</v>
      </c>
      <c r="E15" s="12">
        <f>SUM(Table2[[#This Row],[Done]:[TODO (P1)]])</f>
        <v>195</v>
      </c>
    </row>
    <row r="16" spans="1:5" ht="21.95" customHeight="1">
      <c r="A16" t="s">
        <v>69</v>
      </c>
      <c r="B16">
        <v>22</v>
      </c>
      <c r="C16">
        <v>14</v>
      </c>
      <c r="D16">
        <v>160</v>
      </c>
      <c r="E16" s="12">
        <f>SUM(Table2[[#This Row],[Done]:[TODO (P1)]])</f>
        <v>196</v>
      </c>
    </row>
    <row r="17" spans="1:5" ht="21.95" customHeight="1">
      <c r="A17" t="s">
        <v>70</v>
      </c>
      <c r="B17">
        <v>25</v>
      </c>
      <c r="C17">
        <v>10</v>
      </c>
      <c r="D17">
        <v>161</v>
      </c>
      <c r="E17" s="12">
        <f>SUM(Table2[[#This Row],[Done]:[TODO (P1)]])</f>
        <v>196</v>
      </c>
    </row>
    <row r="18" spans="1:5" ht="21.95" customHeight="1">
      <c r="A18" t="s">
        <v>72</v>
      </c>
      <c r="B18">
        <v>28</v>
      </c>
      <c r="C18">
        <v>8</v>
      </c>
      <c r="D18">
        <v>160</v>
      </c>
      <c r="E18" s="12">
        <f>SUM(Table2[[#This Row],[Done]:[TODO (P1)]])</f>
        <v>196</v>
      </c>
    </row>
    <row r="19" spans="1:5" ht="21.95" customHeight="1">
      <c r="A19" t="s">
        <v>73</v>
      </c>
      <c r="B19">
        <v>30</v>
      </c>
      <c r="C19">
        <v>6</v>
      </c>
      <c r="D19">
        <v>160</v>
      </c>
      <c r="E19" s="12">
        <f>SUM(Table2[[#This Row],[Done]:[TODO (P1)]])</f>
        <v>196</v>
      </c>
    </row>
    <row r="20" spans="1:5" ht="21.95" customHeight="1">
      <c r="A20" t="s">
        <v>74</v>
      </c>
      <c r="B20">
        <v>32</v>
      </c>
      <c r="C20">
        <v>5</v>
      </c>
      <c r="D20">
        <v>160</v>
      </c>
      <c r="E20" s="12">
        <f>SUM(Table2[[#This Row],[Done]:[TODO (P1)]])</f>
        <v>197</v>
      </c>
    </row>
    <row r="21" spans="1:5" ht="21.95" customHeight="1">
      <c r="A21" t="s">
        <v>75</v>
      </c>
      <c r="B21">
        <v>32</v>
      </c>
      <c r="C21">
        <v>5</v>
      </c>
      <c r="D21">
        <v>160</v>
      </c>
      <c r="E21" s="12">
        <f>SUM(Table2[[#This Row],[Done]:[TODO (P1)]])</f>
        <v>197</v>
      </c>
    </row>
    <row r="22" spans="1:5" ht="21.95" customHeight="1">
      <c r="A22" t="s">
        <v>63</v>
      </c>
      <c r="B22">
        <v>32</v>
      </c>
      <c r="C22">
        <v>3</v>
      </c>
      <c r="D22">
        <v>162</v>
      </c>
      <c r="E22" s="12">
        <f>SUM(Table2[[#This Row],[Done]:[TODO (P1)]])</f>
        <v>197</v>
      </c>
    </row>
    <row r="23" spans="1:5" ht="21.95" customHeight="1">
      <c r="A23" t="s">
        <v>76</v>
      </c>
      <c r="B23">
        <v>32</v>
      </c>
      <c r="C23">
        <v>3</v>
      </c>
      <c r="D23">
        <v>162</v>
      </c>
      <c r="E23" s="12">
        <f>SUM(Table2[[#This Row],[Done]:[TODO (P1)]])</f>
        <v>197</v>
      </c>
    </row>
    <row r="24" spans="1:5" ht="21.95" customHeight="1">
      <c r="A24" t="s">
        <v>93</v>
      </c>
      <c r="B24">
        <v>32</v>
      </c>
      <c r="C24">
        <v>3</v>
      </c>
      <c r="D24">
        <v>162</v>
      </c>
      <c r="E24" s="12">
        <f>SUM(Table2[[#This Row],[Done]:[TODO (P1)]])</f>
        <v>197</v>
      </c>
    </row>
    <row r="25" spans="1:5" ht="21.95" customHeight="1">
      <c r="A25" t="s">
        <v>94</v>
      </c>
      <c r="B25">
        <v>32</v>
      </c>
      <c r="C25">
        <v>1</v>
      </c>
      <c r="D25">
        <v>162</v>
      </c>
      <c r="E25" s="12">
        <f>SUM(Table2[[#This Row],[Done]:[TODO (P1)]])</f>
        <v>195</v>
      </c>
    </row>
    <row r="26" spans="1:5" ht="21.95" customHeight="1">
      <c r="A26" t="s">
        <v>95</v>
      </c>
      <c r="B26">
        <v>32</v>
      </c>
      <c r="C26">
        <v>2</v>
      </c>
      <c r="D26">
        <v>161</v>
      </c>
      <c r="E26" s="12">
        <f>SUM(Table2[[#This Row],[Done]:[TODO (P1)]])</f>
        <v>195</v>
      </c>
    </row>
    <row r="27" spans="1:5" ht="21.95" customHeight="1">
      <c r="A27" t="s">
        <v>102</v>
      </c>
      <c r="B27">
        <v>31</v>
      </c>
      <c r="C27">
        <v>3</v>
      </c>
      <c r="D27">
        <v>161</v>
      </c>
      <c r="E27" s="12">
        <f>SUM(Table2[[#This Row],[Done]:[TODO (P1)]])</f>
        <v>195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8"/>
  <sheetViews>
    <sheetView tabSelected="1" zoomScaleNormal="100" workbookViewId="0">
      <selection activeCell="K13" sqref="K13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33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44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49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50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53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54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56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59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60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90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96</v>
      </c>
      <c r="B18">
        <v>388</v>
      </c>
      <c r="C18">
        <v>0</v>
      </c>
      <c r="D18">
        <v>0</v>
      </c>
      <c r="E18">
        <v>0</v>
      </c>
      <c r="F18">
        <v>0</v>
      </c>
      <c r="G18">
        <v>494</v>
      </c>
      <c r="H18">
        <f>SUM(Table1[[#This Row],[Passed]:[Untested]])</f>
        <v>882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1"/>
  <sheetViews>
    <sheetView topLeftCell="A4" zoomScaleNormal="100" workbookViewId="0">
      <selection activeCell="I37" sqref="I37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33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86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87</v>
      </c>
    </row>
    <row r="4" spans="1:8" ht="20.100000000000001" customHeight="1">
      <c r="A4" s="3" t="s">
        <v>88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89</v>
      </c>
    </row>
    <row r="6" spans="1:8" ht="20.100000000000001" customHeight="1">
      <c r="A6" s="3" t="s">
        <v>77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78</v>
      </c>
    </row>
    <row r="8" spans="1:8" ht="20.100000000000001" customHeight="1">
      <c r="A8" s="3" t="s">
        <v>79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80</v>
      </c>
    </row>
    <row r="10" spans="1:8" ht="20.100000000000001" customHeight="1">
      <c r="A10" s="3" t="s">
        <v>81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82</v>
      </c>
    </row>
    <row r="12" spans="1:8" ht="20.100000000000001" customHeight="1">
      <c r="A12" s="3" t="s">
        <v>83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84</v>
      </c>
    </row>
    <row r="14" spans="1:8" ht="20.100000000000001" customHeight="1">
      <c r="A14" s="3" t="s">
        <v>85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64</v>
      </c>
      <c r="H15" s="12"/>
    </row>
    <row r="16" spans="1:8" ht="20.100000000000001" customHeight="1">
      <c r="A16" s="3" t="s">
        <v>65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66</v>
      </c>
      <c r="H17" s="12"/>
    </row>
    <row r="18" spans="1:8" ht="20.100000000000001" customHeight="1">
      <c r="A18" s="3" t="s">
        <v>67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68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69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70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71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72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73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74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75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63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76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93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94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102</v>
      </c>
      <c r="B31">
        <v>171</v>
      </c>
      <c r="C31">
        <v>6</v>
      </c>
      <c r="D31">
        <v>0</v>
      </c>
      <c r="E31">
        <v>1</v>
      </c>
      <c r="F31">
        <v>6</v>
      </c>
      <c r="G31">
        <v>455</v>
      </c>
      <c r="H31" s="12">
        <f>SUM(Table3[[#This Row],[Passed]:[Untested]])</f>
        <v>639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1"/>
  <sheetViews>
    <sheetView zoomScaleNormal="100" workbookViewId="0">
      <selection activeCell="J10" sqref="J10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42</v>
      </c>
      <c r="D1" s="3" t="s">
        <v>17</v>
      </c>
      <c r="E1" s="3" t="s">
        <v>45</v>
      </c>
      <c r="F1" s="3" t="s">
        <v>46</v>
      </c>
      <c r="G1" s="3" t="s">
        <v>1</v>
      </c>
      <c r="H1" s="3" t="s">
        <v>3</v>
      </c>
    </row>
    <row r="2" spans="1:8">
      <c r="A2" s="3" t="s">
        <v>19</v>
      </c>
      <c r="B2" s="3">
        <v>15</v>
      </c>
      <c r="C2" s="3">
        <v>0</v>
      </c>
      <c r="D2" s="3">
        <v>1</v>
      </c>
      <c r="E2">
        <v>0</v>
      </c>
      <c r="F2" s="3">
        <v>0</v>
      </c>
      <c r="G2" s="3">
        <v>61</v>
      </c>
      <c r="H2">
        <f>SUM(Table7[[#This Row],[To Do]:[Done]])</f>
        <v>77</v>
      </c>
    </row>
    <row r="3" spans="1:8">
      <c r="A3" s="3" t="s">
        <v>20</v>
      </c>
      <c r="B3" s="3">
        <v>7</v>
      </c>
      <c r="C3" s="3">
        <v>0</v>
      </c>
      <c r="D3" s="3">
        <v>0</v>
      </c>
      <c r="E3">
        <v>0</v>
      </c>
      <c r="F3" s="3">
        <v>0</v>
      </c>
      <c r="G3" s="3">
        <v>46</v>
      </c>
      <c r="H3">
        <f>SUM(Table7[[#This Row],[To Do]:[Done]])</f>
        <v>53</v>
      </c>
    </row>
    <row r="4" spans="1:8">
      <c r="A4" s="3" t="s">
        <v>4</v>
      </c>
      <c r="B4" s="3">
        <v>18</v>
      </c>
      <c r="C4" s="3">
        <v>0</v>
      </c>
      <c r="D4" s="3">
        <v>2</v>
      </c>
      <c r="E4">
        <v>0</v>
      </c>
      <c r="F4" s="3">
        <v>0</v>
      </c>
      <c r="G4" s="3">
        <v>43</v>
      </c>
      <c r="H4">
        <f>SUM(Table7[[#This Row],[To Do]:[Done]])</f>
        <v>63</v>
      </c>
    </row>
    <row r="5" spans="1:8">
      <c r="A5" s="3" t="s">
        <v>5</v>
      </c>
      <c r="B5" s="3">
        <v>17</v>
      </c>
      <c r="C5" s="3">
        <v>0</v>
      </c>
      <c r="D5" s="3">
        <v>1</v>
      </c>
      <c r="E5">
        <v>0</v>
      </c>
      <c r="F5" s="3">
        <v>0</v>
      </c>
      <c r="G5" s="3">
        <v>33</v>
      </c>
      <c r="H5">
        <f>SUM(Table7[[#This Row],[To Do]:[Done]])</f>
        <v>51</v>
      </c>
    </row>
    <row r="6" spans="1:8">
      <c r="A6" s="3" t="s">
        <v>6</v>
      </c>
      <c r="B6" s="3">
        <v>26</v>
      </c>
      <c r="C6" s="3">
        <v>0</v>
      </c>
      <c r="D6" s="3">
        <v>0</v>
      </c>
      <c r="E6">
        <v>0</v>
      </c>
      <c r="F6" s="3">
        <v>0</v>
      </c>
      <c r="G6" s="3">
        <v>25</v>
      </c>
      <c r="H6">
        <f>SUM(Table7[[#This Row],[To Do]:[Done]])</f>
        <v>51</v>
      </c>
    </row>
    <row r="7" spans="1:8">
      <c r="A7" s="3" t="s">
        <v>7</v>
      </c>
      <c r="B7" s="3">
        <v>14</v>
      </c>
      <c r="C7" s="3">
        <v>0</v>
      </c>
      <c r="D7" s="3">
        <v>0</v>
      </c>
      <c r="E7">
        <v>0</v>
      </c>
      <c r="F7" s="3">
        <v>0</v>
      </c>
      <c r="G7" s="3">
        <v>56</v>
      </c>
      <c r="H7">
        <f>SUM(Table7[[#This Row],[To Do]:[Done]])</f>
        <v>70</v>
      </c>
    </row>
    <row r="8" spans="1:8">
      <c r="A8" s="3" t="s">
        <v>8</v>
      </c>
      <c r="B8" s="3">
        <v>10</v>
      </c>
      <c r="C8" s="3">
        <v>0</v>
      </c>
      <c r="D8" s="3">
        <v>0</v>
      </c>
      <c r="E8">
        <v>0</v>
      </c>
      <c r="F8" s="3">
        <v>0</v>
      </c>
      <c r="G8" s="3">
        <v>40</v>
      </c>
      <c r="H8">
        <f>SUM(Table7[[#This Row],[To Do]:[Done]])</f>
        <v>50</v>
      </c>
    </row>
    <row r="9" spans="1:8">
      <c r="A9" s="3" t="s">
        <v>9</v>
      </c>
      <c r="B9" s="3">
        <v>6</v>
      </c>
      <c r="C9" s="3">
        <v>0</v>
      </c>
      <c r="D9" s="3">
        <v>0</v>
      </c>
      <c r="E9">
        <v>0</v>
      </c>
      <c r="F9" s="3">
        <v>0</v>
      </c>
      <c r="G9" s="3">
        <v>33</v>
      </c>
      <c r="H9">
        <f>SUM(Table7[[#This Row],[To Do]:[Done]])</f>
        <v>39</v>
      </c>
    </row>
    <row r="10" spans="1:8">
      <c r="A10" s="3" t="s">
        <v>10</v>
      </c>
      <c r="B10" s="3">
        <v>11</v>
      </c>
      <c r="C10" s="3">
        <v>1</v>
      </c>
      <c r="D10" s="3">
        <v>0</v>
      </c>
      <c r="E10">
        <v>0</v>
      </c>
      <c r="F10" s="3">
        <v>0</v>
      </c>
      <c r="G10" s="3">
        <v>29</v>
      </c>
      <c r="H10">
        <f>SUM(Table7[[#This Row],[To Do]:[Done]])</f>
        <v>41</v>
      </c>
    </row>
    <row r="11" spans="1:8">
      <c r="A11" s="3" t="s">
        <v>44</v>
      </c>
      <c r="B11" s="3">
        <v>2</v>
      </c>
      <c r="C11" s="3">
        <v>0</v>
      </c>
      <c r="D11" s="3">
        <v>0</v>
      </c>
      <c r="E11">
        <v>0</v>
      </c>
      <c r="F11" s="3">
        <v>0</v>
      </c>
      <c r="G11" s="3">
        <v>1</v>
      </c>
      <c r="H11">
        <f>SUM(Table7[[#This Row],[To Do]:[Done]])</f>
        <v>3</v>
      </c>
    </row>
    <row r="12" spans="1:8">
      <c r="A12" s="3" t="s">
        <v>49</v>
      </c>
      <c r="B12" s="3">
        <v>13</v>
      </c>
      <c r="C12" s="3">
        <v>0</v>
      </c>
      <c r="D12" s="3">
        <v>0</v>
      </c>
      <c r="E12">
        <v>0</v>
      </c>
      <c r="F12" s="3">
        <v>0</v>
      </c>
      <c r="G12" s="3">
        <v>9</v>
      </c>
      <c r="H12">
        <f>SUM(Table7[[#This Row],[To Do]:[Done]])</f>
        <v>22</v>
      </c>
    </row>
    <row r="13" spans="1:8">
      <c r="A13" s="3" t="s">
        <v>50</v>
      </c>
      <c r="B13" s="3">
        <v>1</v>
      </c>
      <c r="C13" s="3">
        <v>0</v>
      </c>
      <c r="D13" s="3">
        <v>0</v>
      </c>
      <c r="E13">
        <v>0</v>
      </c>
      <c r="F13" s="3">
        <v>0</v>
      </c>
      <c r="G13" s="3">
        <v>12</v>
      </c>
      <c r="H13">
        <f>SUM(Table7[[#This Row],[To Do]:[Done]])</f>
        <v>13</v>
      </c>
    </row>
    <row r="14" spans="1:8">
      <c r="A14" s="3" t="s">
        <v>53</v>
      </c>
      <c r="B14" s="3">
        <v>4</v>
      </c>
      <c r="C14" s="3">
        <v>0</v>
      </c>
      <c r="D14" s="3">
        <v>0</v>
      </c>
      <c r="E14">
        <v>0</v>
      </c>
      <c r="F14" s="3">
        <v>0</v>
      </c>
      <c r="G14" s="3">
        <v>9</v>
      </c>
      <c r="H14">
        <f>SUM(Table7[[#This Row],[To Do]:[Done]])</f>
        <v>13</v>
      </c>
    </row>
    <row r="15" spans="1:8">
      <c r="A15" s="3" t="s">
        <v>54</v>
      </c>
      <c r="B15" s="3">
        <v>17</v>
      </c>
      <c r="C15" s="3">
        <v>0</v>
      </c>
      <c r="D15" s="3">
        <v>0</v>
      </c>
      <c r="E15">
        <v>0</v>
      </c>
      <c r="F15" s="3">
        <v>0</v>
      </c>
      <c r="G15" s="3">
        <v>37</v>
      </c>
      <c r="H15">
        <f>SUM(Table7[[#This Row],[To Do]:[Done]])</f>
        <v>54</v>
      </c>
    </row>
    <row r="16" spans="1:8">
      <c r="A16" s="3" t="s">
        <v>56</v>
      </c>
      <c r="B16" s="3">
        <v>5</v>
      </c>
      <c r="C16" s="3">
        <v>0</v>
      </c>
      <c r="D16" s="3">
        <v>0</v>
      </c>
      <c r="E16">
        <v>0</v>
      </c>
      <c r="F16" s="3">
        <v>0</v>
      </c>
      <c r="G16" s="3">
        <v>37</v>
      </c>
      <c r="H16">
        <f>SUM(Table7[[#This Row],[To Do]:[Done]])</f>
        <v>42</v>
      </c>
    </row>
    <row r="17" spans="1:8">
      <c r="A17" s="3" t="s">
        <v>59</v>
      </c>
      <c r="B17" s="3">
        <v>8</v>
      </c>
      <c r="C17" s="3">
        <v>1</v>
      </c>
      <c r="D17" s="3">
        <v>0</v>
      </c>
      <c r="E17">
        <v>0</v>
      </c>
      <c r="F17" s="3">
        <v>0</v>
      </c>
      <c r="G17" s="3">
        <v>34</v>
      </c>
      <c r="H17">
        <f>SUM(Table7[[#This Row],[To Do]:[Done]])</f>
        <v>43</v>
      </c>
    </row>
    <row r="18" spans="1:8">
      <c r="A18" s="3" t="s">
        <v>60</v>
      </c>
      <c r="B18" s="3">
        <v>7</v>
      </c>
      <c r="C18" s="3">
        <v>0</v>
      </c>
      <c r="D18" s="3">
        <v>0</v>
      </c>
      <c r="E18">
        <v>0</v>
      </c>
      <c r="F18" s="3">
        <v>0</v>
      </c>
      <c r="G18" s="3">
        <v>17</v>
      </c>
      <c r="H18">
        <f>SUM(Table7[[#This Row],[To Do]:[Done]])</f>
        <v>24</v>
      </c>
    </row>
    <row r="19" spans="1:8">
      <c r="A19" s="3" t="s">
        <v>90</v>
      </c>
      <c r="B19" s="3">
        <v>2</v>
      </c>
      <c r="C19" s="3">
        <v>2</v>
      </c>
      <c r="D19" s="3">
        <v>0</v>
      </c>
      <c r="E19">
        <v>0</v>
      </c>
      <c r="F19" s="3">
        <v>2</v>
      </c>
      <c r="G19" s="3">
        <v>8</v>
      </c>
      <c r="H19">
        <f>SUM(Table7[[#This Row],[To Do]:[Done]])</f>
        <v>14</v>
      </c>
    </row>
    <row r="20" spans="1:8">
      <c r="A20" s="3" t="s">
        <v>96</v>
      </c>
      <c r="B20" s="3">
        <v>2</v>
      </c>
      <c r="C20" s="3">
        <v>1</v>
      </c>
      <c r="D20" s="3">
        <v>0</v>
      </c>
      <c r="E20">
        <v>0</v>
      </c>
      <c r="F20" s="3">
        <v>0</v>
      </c>
      <c r="G20" s="3">
        <v>4</v>
      </c>
      <c r="H20">
        <f>SUM(Table7[[#This Row],[To Do]:[Done]])</f>
        <v>7</v>
      </c>
    </row>
    <row r="21" spans="1:8">
      <c r="A21" s="3" t="s">
        <v>97</v>
      </c>
      <c r="B21" s="3">
        <v>1</v>
      </c>
      <c r="C21" s="3">
        <v>0</v>
      </c>
      <c r="D21" s="3">
        <v>0</v>
      </c>
      <c r="E21">
        <v>0</v>
      </c>
      <c r="F21" s="3">
        <v>0</v>
      </c>
      <c r="G21" s="3">
        <v>0</v>
      </c>
      <c r="H21">
        <f>SUM(Table7[[#This Row],[To Do]:[Done]])</f>
        <v>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7"/>
  <sheetViews>
    <sheetView zoomScaleNormal="100" workbookViewId="0">
      <selection activeCell="J26" sqref="J26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47</v>
      </c>
      <c r="E1" s="7" t="s">
        <v>25</v>
      </c>
      <c r="F1" s="7" t="s">
        <v>61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100</v>
      </c>
      <c r="B2" s="5">
        <v>158</v>
      </c>
      <c r="C2" s="5">
        <v>0</v>
      </c>
      <c r="D2" s="5">
        <v>1</v>
      </c>
      <c r="E2" s="5">
        <v>4</v>
      </c>
      <c r="F2" s="5">
        <v>0</v>
      </c>
      <c r="G2" s="5">
        <v>120</v>
      </c>
      <c r="H2" s="5">
        <v>74</v>
      </c>
      <c r="I2" s="15">
        <f>SUM(Table5[[#This Row],[To Do (0%)]:[WON''T DO (100%)]])</f>
        <v>357</v>
      </c>
    </row>
    <row r="3" spans="1:9" ht="18" thickBot="1">
      <c r="A3" s="4" t="s">
        <v>101</v>
      </c>
      <c r="B3" s="5">
        <v>22</v>
      </c>
      <c r="C3" s="5">
        <v>0</v>
      </c>
      <c r="D3" s="5">
        <v>0</v>
      </c>
      <c r="E3" s="5">
        <v>0</v>
      </c>
      <c r="F3" s="5">
        <v>0</v>
      </c>
      <c r="G3" s="5">
        <v>2</v>
      </c>
      <c r="H3" s="5">
        <v>3</v>
      </c>
      <c r="I3" s="5">
        <f>SUM(Table5[[#This Row],[To Do (0%)]:[WON''T DO (100%)]])</f>
        <v>27</v>
      </c>
    </row>
    <row r="4" spans="1:9" ht="18" thickBot="1">
      <c r="A4" s="4" t="s">
        <v>36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20</v>
      </c>
      <c r="H4" s="5">
        <v>3</v>
      </c>
      <c r="I4" s="5">
        <f>SUM(Table5[[#This Row],[To Do (0%)]:[WON''T DO (100%)]])</f>
        <v>23</v>
      </c>
    </row>
    <row r="5" spans="1:9" ht="18" thickBot="1">
      <c r="A5" s="4" t="s">
        <v>37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20</v>
      </c>
      <c r="H5" s="5">
        <v>2</v>
      </c>
      <c r="I5" s="5">
        <f>SUM(Table5[[#This Row],[To Do (0%)]:[WON''T DO (100%)]])</f>
        <v>22</v>
      </c>
    </row>
    <row r="6" spans="1:9" ht="18" thickBot="1">
      <c r="A6" s="4" t="s">
        <v>38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16</v>
      </c>
      <c r="H6" s="5">
        <v>2</v>
      </c>
      <c r="I6" s="5">
        <f>SUM(Table5[[#This Row],[To Do (0%)]:[WON''T DO (100%)]])</f>
        <v>18</v>
      </c>
    </row>
    <row r="7" spans="1:9" ht="18" thickBot="1">
      <c r="A7" s="4" t="s">
        <v>39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16</v>
      </c>
      <c r="H7" s="5">
        <v>2</v>
      </c>
      <c r="I7" s="5">
        <f>SUM(Table5[[#This Row],[To Do (0%)]:[WON''T DO (100%)]])</f>
        <v>18</v>
      </c>
    </row>
    <row r="8" spans="1:9" ht="18" thickBot="1">
      <c r="A8" s="4" t="s">
        <v>40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55</v>
      </c>
      <c r="H8" s="5">
        <v>4</v>
      </c>
      <c r="I8" s="5">
        <f>SUM(Table5[[#This Row],[To Do (0%)]:[WON''T DO (100%)]])</f>
        <v>59</v>
      </c>
    </row>
    <row r="9" spans="1:9" ht="18" thickBot="1">
      <c r="A9" s="4" t="s">
        <v>41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35</v>
      </c>
      <c r="H9" s="5">
        <v>4</v>
      </c>
      <c r="I9" s="5">
        <f>SUM(Table5[[#This Row],[To Do (0%)]:[WON''T DO (100%)]])</f>
        <v>39</v>
      </c>
    </row>
    <row r="10" spans="1:9" ht="18" thickBot="1">
      <c r="A10" s="4" t="s">
        <v>28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39</v>
      </c>
      <c r="H10" s="5">
        <v>2</v>
      </c>
      <c r="I10" s="5">
        <f>SUM(Table5[[#This Row],[To Do (0%)]:[WON''T DO (100%)]])</f>
        <v>42</v>
      </c>
    </row>
    <row r="11" spans="1:9" ht="18" thickBot="1">
      <c r="A11" s="4" t="s">
        <v>29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39</v>
      </c>
      <c r="H11" s="5">
        <v>6</v>
      </c>
      <c r="I11" s="5">
        <f>SUM(Table5[[#This Row],[To Do (0%)]:[WON''T DO (100%)]])</f>
        <v>46</v>
      </c>
    </row>
    <row r="12" spans="1:9" ht="18" thickBot="1">
      <c r="A12" s="4" t="s">
        <v>30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45</v>
      </c>
      <c r="H12" s="5">
        <v>7</v>
      </c>
      <c r="I12" s="5">
        <f>SUM(Table5[[#This Row],[To Do (0%)]:[WON''T DO (100%)]])</f>
        <v>53</v>
      </c>
    </row>
    <row r="13" spans="1:9" ht="18" thickBot="1">
      <c r="A13" s="4" t="s">
        <v>31</v>
      </c>
      <c r="B13" s="5">
        <v>1</v>
      </c>
      <c r="C13" s="5">
        <v>0</v>
      </c>
      <c r="D13" s="5">
        <v>0</v>
      </c>
      <c r="E13" s="5">
        <v>0</v>
      </c>
      <c r="F13" s="5">
        <v>0</v>
      </c>
      <c r="G13" s="5">
        <v>18</v>
      </c>
      <c r="H13" s="5">
        <v>1</v>
      </c>
      <c r="I13" s="5">
        <f>SUM(Table5[[#This Row],[To Do (0%)]:[WON''T DO (100%)]])</f>
        <v>20</v>
      </c>
    </row>
    <row r="14" spans="1:9" ht="18" thickBot="1">
      <c r="A14" s="4" t="s">
        <v>32</v>
      </c>
      <c r="B14" s="5">
        <v>3</v>
      </c>
      <c r="C14" s="5">
        <v>0</v>
      </c>
      <c r="D14" s="5">
        <v>0</v>
      </c>
      <c r="E14" s="5">
        <v>0</v>
      </c>
      <c r="F14" s="5">
        <v>0</v>
      </c>
      <c r="G14" s="5">
        <v>25</v>
      </c>
      <c r="H14" s="5">
        <v>4</v>
      </c>
      <c r="I14" s="5">
        <f>SUM(Table5[[#This Row],[To Do (0%)]:[WON''T DO (100%)]])</f>
        <v>32</v>
      </c>
    </row>
    <row r="15" spans="1:9" ht="18" thickBot="1">
      <c r="A15" s="4" t="s">
        <v>34</v>
      </c>
      <c r="B15" s="5">
        <v>3</v>
      </c>
      <c r="C15" s="5">
        <v>0</v>
      </c>
      <c r="D15" s="5">
        <v>0</v>
      </c>
      <c r="E15" s="5">
        <v>0</v>
      </c>
      <c r="F15" s="5">
        <v>0</v>
      </c>
      <c r="G15" s="5">
        <v>45</v>
      </c>
      <c r="H15" s="5">
        <v>5</v>
      </c>
      <c r="I15" s="5">
        <f>SUM(Table5[[#This Row],[To Do (0%)]:[WON''T DO (100%)]])</f>
        <v>53</v>
      </c>
    </row>
    <row r="16" spans="1:9" ht="18" thickBot="1">
      <c r="A16" s="4" t="s">
        <v>35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24</v>
      </c>
      <c r="H16" s="5">
        <v>1</v>
      </c>
      <c r="I16" s="5">
        <f>SUM(Table5[[#This Row],[To Do (0%)]:[WON''T DO (100%)]])</f>
        <v>25</v>
      </c>
    </row>
    <row r="17" spans="1:9" ht="18" thickBot="1">
      <c r="A17" s="4" t="s">
        <v>48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43</v>
      </c>
      <c r="H17" s="5">
        <v>0</v>
      </c>
      <c r="I17" s="5">
        <f>SUM(Table5[[#This Row],[To Do (0%)]:[WON''T DO (100%)]])</f>
        <v>43</v>
      </c>
    </row>
    <row r="18" spans="1:9" ht="18" thickBot="1">
      <c r="A18" s="4" t="s">
        <v>51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35</v>
      </c>
      <c r="H18" s="5">
        <v>0</v>
      </c>
      <c r="I18" s="5">
        <f>SUM(Table5[[#This Row],[To Do (0%)]:[WON''T DO (100%)]])</f>
        <v>35</v>
      </c>
    </row>
    <row r="19" spans="1:9" ht="18" thickBot="1">
      <c r="A19" s="4" t="s">
        <v>52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29</v>
      </c>
      <c r="H19" s="5">
        <v>0</v>
      </c>
      <c r="I19" s="5">
        <f>SUM(Table5[[#This Row],[To Do (0%)]:[WON''T DO (100%)]])</f>
        <v>29</v>
      </c>
    </row>
    <row r="20" spans="1:9" ht="18" thickBot="1">
      <c r="A20" s="4" t="s">
        <v>55</v>
      </c>
      <c r="B20" s="5">
        <v>4</v>
      </c>
      <c r="C20" s="5">
        <v>0</v>
      </c>
      <c r="D20" s="5">
        <v>0</v>
      </c>
      <c r="E20" s="5">
        <v>0</v>
      </c>
      <c r="F20" s="5">
        <v>0</v>
      </c>
      <c r="G20" s="5">
        <v>39</v>
      </c>
      <c r="H20" s="5">
        <v>1</v>
      </c>
      <c r="I20" s="5">
        <f>SUM(Table5[[#This Row],[To Do (0%)]:[WON''T DO (100%)]])</f>
        <v>44</v>
      </c>
    </row>
    <row r="21" spans="1:9" ht="18" thickBot="1">
      <c r="A21" s="4" t="s">
        <v>57</v>
      </c>
      <c r="B21" s="5">
        <v>4</v>
      </c>
      <c r="C21" s="5">
        <v>0</v>
      </c>
      <c r="D21" s="5">
        <v>0</v>
      </c>
      <c r="E21" s="5">
        <v>0</v>
      </c>
      <c r="F21" s="5">
        <v>0</v>
      </c>
      <c r="G21" s="5">
        <v>31</v>
      </c>
      <c r="H21" s="5">
        <v>1</v>
      </c>
      <c r="I21" s="5">
        <f>SUM(Table5[[#This Row],[To Do (0%)]:[WON''T DO (100%)]])</f>
        <v>36</v>
      </c>
    </row>
    <row r="22" spans="1:9" ht="18" thickBot="1">
      <c r="A22" s="4" t="s">
        <v>58</v>
      </c>
      <c r="B22" s="5">
        <v>7</v>
      </c>
      <c r="C22" s="5">
        <v>0</v>
      </c>
      <c r="D22" s="5">
        <v>0</v>
      </c>
      <c r="E22" s="5">
        <v>0</v>
      </c>
      <c r="F22" s="5">
        <v>0</v>
      </c>
      <c r="G22" s="5">
        <v>29</v>
      </c>
      <c r="H22" s="5">
        <v>1</v>
      </c>
      <c r="I22" s="15">
        <f>SUM(Table5[[#This Row],[To Do (0%)]:[WON''T DO (100%)]])</f>
        <v>37</v>
      </c>
    </row>
    <row r="23" spans="1:9" ht="18" thickBot="1">
      <c r="A23" s="4" t="s">
        <v>62</v>
      </c>
      <c r="B23" s="5">
        <v>2</v>
      </c>
      <c r="C23" s="5">
        <v>0</v>
      </c>
      <c r="D23" s="5">
        <v>0</v>
      </c>
      <c r="E23" s="5">
        <v>0</v>
      </c>
      <c r="F23" s="5">
        <v>0</v>
      </c>
      <c r="G23" s="5">
        <v>29</v>
      </c>
      <c r="H23" s="5">
        <v>0</v>
      </c>
      <c r="I23" s="5">
        <f>SUM(Table5[[#This Row],[To Do (0%)]:[WON''T DO (100%)]])</f>
        <v>31</v>
      </c>
    </row>
    <row r="24" spans="1:9" ht="18" thickBot="1">
      <c r="A24" s="4" t="s">
        <v>91</v>
      </c>
      <c r="B24" s="5">
        <v>2</v>
      </c>
      <c r="C24" s="5">
        <v>1</v>
      </c>
      <c r="D24" s="5">
        <v>1</v>
      </c>
      <c r="E24" s="5">
        <v>0</v>
      </c>
      <c r="F24" s="5">
        <v>2</v>
      </c>
      <c r="G24" s="5">
        <v>26</v>
      </c>
      <c r="H24" s="5">
        <v>2</v>
      </c>
      <c r="I24" s="15">
        <f>SUM(Table5[[#This Row],[To Do (0%)]:[WON''T DO (100%)]])</f>
        <v>34</v>
      </c>
    </row>
    <row r="25" spans="1:9" ht="18" thickBot="1">
      <c r="A25" s="4" t="s">
        <v>92</v>
      </c>
      <c r="B25" s="5">
        <v>11</v>
      </c>
      <c r="C25" s="5">
        <v>2</v>
      </c>
      <c r="D25" s="5">
        <v>1</v>
      </c>
      <c r="E25" s="5">
        <v>1</v>
      </c>
      <c r="F25" s="5">
        <v>5</v>
      </c>
      <c r="G25" s="5">
        <v>4</v>
      </c>
      <c r="H25" s="5">
        <v>3</v>
      </c>
      <c r="I25" s="15">
        <f>SUM(Table5[[#This Row],[To Do (0%)]:[WON''T DO (100%)]])</f>
        <v>27</v>
      </c>
    </row>
    <row r="26" spans="1:9" ht="18" thickBot="1">
      <c r="A26" s="4" t="s">
        <v>98</v>
      </c>
      <c r="B26" s="5">
        <v>6</v>
      </c>
      <c r="C26" s="5">
        <v>1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15">
        <f>SUM(Table5[[#This Row],[To Do (0%)]:[WON''T DO (100%)]])</f>
        <v>7</v>
      </c>
    </row>
    <row r="27" spans="1:9" ht="18" thickBot="1">
      <c r="A27" s="4" t="s">
        <v>99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f>SUM(Table5[[#This Row],[To Do (0%)]:[WON''T DO (100%)]])</f>
        <v>1</v>
      </c>
    </row>
  </sheetData>
  <phoneticPr fontId="1" type="noConversion"/>
  <hyperlinks>
    <hyperlink ref="B4" r:id="rId1" display="https://xrspace.atlassian.net/issues/?jql=created+%3E%3D+2025-02-01+AND+created+%3C%3D+2026-12-31+AND+type+%3D+Bug+AND+project+%3D+SOVA+AND+Sprint+%3D+1463+AND+status+%3D+%22To+Do+%280%25%29%22" xr:uid="{809911B9-76F9-4F05-BF2D-6BBC76E4F9A4}"/>
    <hyperlink ref="D4" r:id="rId2" display="https://xrspace.atlassian.net/issues/?jql=created+%3E%3D+2025-02-01+AND+created+%3C%3D+2026-12-31+AND+type+%3D+Bug+AND+project+%3D+SOVA+AND+Sprint+%3D+1463+AND+status+%3D+%22In+Progress+%2850+%7E+70%25%29%22" xr:uid="{6B099EA0-04DA-43D1-8F27-EB9428CB8EF8}"/>
    <hyperlink ref="G4" r:id="rId3" display="https://xrspace.atlassian.net/issues/?jql=created+%3E%3D+2025-02-01+AND+created+%3C%3D+2026-12-31+AND+type+%3D+Bug+AND+project+%3D+SOVA+AND+Sprint+%3D+1463+AND+status+%3D+%22Done+%28100%25%29%22" xr:uid="{53437BDB-B9CF-4A77-8F51-0EC19C84E287}"/>
    <hyperlink ref="E4" r:id="rId4" display="https://xrspace.atlassian.net/issues/?jql=created+%3E%3D+2025-02-01+AND+created+%3C%3D+2026-12-31+AND+type+%3D+Bug+AND+project+%3D+SOVA+AND+Sprint+%3D+1463+AND+status+%3D+%22IN+REVIEW+%2880%25%29%22" xr:uid="{4A483F77-3DFE-4943-883F-066FD629EC60}"/>
    <hyperlink ref="H4" r:id="rId5" display="https://xrspace.atlassian.net/issues/?jql=created+%3E%3D+2025-02-01+AND+created+%3C%3D+2026-12-31+AND+type+%3D+Bug+AND+project+%3D+SOVA+AND+Sprint+%3D+1463+AND+status+%3D+%22WON%27T+DO+%28100%25%29%22" xr:uid="{4432C5CA-1687-45C6-A1FC-ACAE6248977B}"/>
    <hyperlink ref="C4" r:id="rId6" display="https://xrspace.atlassian.net/issues/?jql=created+%3E%3D+2025-02-01+AND+created+%3C%3D+2026-12-31+AND+type+%3D+Bug+AND+project+%3D+SOVA+AND+Sprint+%3D+1463+AND+status+%3D+%22STARTING+%2810+%7E+40%25%29%22" xr:uid="{CA463E28-82E9-4EC4-9F5C-36811632F5FB}"/>
    <hyperlink ref="F4" r:id="rId7" display="https://xrspace.atlassian.net/issues/?jql=created+%3E%3D+2025-02-01+AND+created+%3C%3D+2026-12-31+AND+type+%3D+Bug+AND+project+%3D+SOVA+AND+Sprint+%3D+1463+AND+status+%3D+%22READY+FOR+TESTING+%2890%25%29%22" xr:uid="{8BCCA4C3-1A13-4861-8312-700629419ABB}"/>
    <hyperlink ref="B5" r:id="rId8" display="https://xrspace.atlassian.net/issues/?jql=created+%3E%3D+2025-02-01+AND+created+%3C%3D+2026-12-31+AND+type+%3D+Bug+AND+project+%3D+SOVA+AND+Sprint+%3D+1466+AND+status+%3D+%22To+Do+%280%25%29%22" xr:uid="{43008575-D248-4C37-B84B-B58F31C9E710}"/>
    <hyperlink ref="D5" r:id="rId9" display="https://xrspace.atlassian.net/issues/?jql=created+%3E%3D+2025-02-01+AND+created+%3C%3D+2026-12-31+AND+type+%3D+Bug+AND+project+%3D+SOVA+AND+Sprint+%3D+1466+AND+status+%3D+%22In+Progress+%2850+%7E+70%25%29%22" xr:uid="{1653F765-3F3B-4B2E-9D36-538466BF23A6}"/>
    <hyperlink ref="G5" r:id="rId10" display="https://xrspace.atlassian.net/issues/?jql=created+%3E%3D+2025-02-01+AND+created+%3C%3D+2026-12-31+AND+type+%3D+Bug+AND+project+%3D+SOVA+AND+Sprint+%3D+1466+AND+status+%3D+%22Done+%28100%25%29%22" xr:uid="{7070D2B0-7E6D-4074-A27C-E36E1E8AE2A5}"/>
    <hyperlink ref="E5" r:id="rId11" display="https://xrspace.atlassian.net/issues/?jql=created+%3E%3D+2025-02-01+AND+created+%3C%3D+2026-12-31+AND+type+%3D+Bug+AND+project+%3D+SOVA+AND+Sprint+%3D+1466+AND+status+%3D+%22IN+REVIEW+%2880%25%29%22" xr:uid="{A76495A5-96A4-4290-8219-6C5408113A6F}"/>
    <hyperlink ref="H5" r:id="rId12" display="https://xrspace.atlassian.net/issues/?jql=created+%3E%3D+2025-02-01+AND+created+%3C%3D+2026-12-31+AND+type+%3D+Bug+AND+project+%3D+SOVA+AND+Sprint+%3D+1466+AND+status+%3D+%22WON%27T+DO+%28100%25%29%22" xr:uid="{C97C35D6-A179-4245-AA36-94D184175927}"/>
    <hyperlink ref="C5" r:id="rId13" display="https://xrspace.atlassian.net/issues/?jql=created+%3E%3D+2025-02-01+AND+created+%3C%3D+2026-12-31+AND+type+%3D+Bug+AND+project+%3D+SOVA+AND+Sprint+%3D+1466+AND+status+%3D+%22STARTING+%2810+%7E+40%25%29%22" xr:uid="{523C3F12-61CD-463C-A5FF-92656933318E}"/>
    <hyperlink ref="F5" r:id="rId14" display="https://xrspace.atlassian.net/issues/?jql=created+%3E%3D+2025-02-01+AND+created+%3C%3D+2026-12-31+AND+type+%3D+Bug+AND+project+%3D+SOVA+AND+Sprint+%3D+1466+AND+status+%3D+%22READY+FOR+TESTING+%2890%25%29%22" xr:uid="{E5410F34-7F6C-4F8C-B0AD-9230565A782A}"/>
    <hyperlink ref="B6" r:id="rId15" display="https://xrspace.atlassian.net/issues/?jql=created+%3E%3D+2025-02-01+AND+created+%3C%3D+2026-12-31+AND+type+%3D+Bug+AND+project+%3D+SOVA+AND+Sprint+%3D+1496+AND+status+%3D+%22To+Do+%280%25%29%22" xr:uid="{AE9F9892-18D8-4BA4-97EA-2CBE8E8C303E}"/>
    <hyperlink ref="D6" r:id="rId16" display="https://xrspace.atlassian.net/issues/?jql=created+%3E%3D+2025-02-01+AND+created+%3C%3D+2026-12-31+AND+type+%3D+Bug+AND+project+%3D+SOVA+AND+Sprint+%3D+1496+AND+status+%3D+%22In+Progress+%2850+%7E+70%25%29%22" xr:uid="{CB4D0C42-DB0E-4D72-B16C-151732989921}"/>
    <hyperlink ref="G6" r:id="rId17" display="https://xrspace.atlassian.net/issues/?jql=created+%3E%3D+2025-02-01+AND+created+%3C%3D+2026-12-31+AND+type+%3D+Bug+AND+project+%3D+SOVA+AND+Sprint+%3D+1496+AND+status+%3D+%22Done+%28100%25%29%22" xr:uid="{67892A8E-723C-4B5E-B1F9-DB1BB20C8917}"/>
    <hyperlink ref="E6" r:id="rId18" display="https://xrspace.atlassian.net/issues/?jql=created+%3E%3D+2025-02-01+AND+created+%3C%3D+2026-12-31+AND+type+%3D+Bug+AND+project+%3D+SOVA+AND+Sprint+%3D+1496+AND+status+%3D+%22IN+REVIEW+%2880%25%29%22" xr:uid="{336B88ED-F758-4271-8635-3A8D1D1D556A}"/>
    <hyperlink ref="H6" r:id="rId19" display="https://xrspace.atlassian.net/issues/?jql=created+%3E%3D+2025-02-01+AND+created+%3C%3D+2026-12-31+AND+type+%3D+Bug+AND+project+%3D+SOVA+AND+Sprint+%3D+1496+AND+status+%3D+%22WON%27T+DO+%28100%25%29%22" xr:uid="{2F756263-1270-43F6-950C-92BD3164EBBB}"/>
    <hyperlink ref="C6" r:id="rId20" display="https://xrspace.atlassian.net/issues/?jql=created+%3E%3D+2025-02-01+AND+created+%3C%3D+2026-12-31+AND+type+%3D+Bug+AND+project+%3D+SOVA+AND+Sprint+%3D+1496+AND+status+%3D+%22STARTING+%2810+%7E+40%25%29%22" xr:uid="{ACF67BC0-89FE-4D5A-B97B-812F44746C6D}"/>
    <hyperlink ref="F6" r:id="rId21" display="https://xrspace.atlassian.net/issues/?jql=created+%3E%3D+2025-02-01+AND+created+%3C%3D+2026-12-31+AND+type+%3D+Bug+AND+project+%3D+SOVA+AND+Sprint+%3D+1496+AND+status+%3D+%22READY+FOR+TESTING+%2890%25%29%22" xr:uid="{9F1F05CA-A99B-4163-9466-5FF138BFBF50}"/>
    <hyperlink ref="B7" r:id="rId22" display="https://xrspace.atlassian.net/issues/?jql=created+%3E%3D+2025-02-01+AND+created+%3C%3D+2026-12-31+AND+type+%3D+Bug+AND+project+%3D+SOVA+AND+Sprint+%3D+1497+AND+status+%3D+%22To+Do+%280%25%29%22" xr:uid="{FA4C0BF9-A9A1-4B46-9050-76DD68287419}"/>
    <hyperlink ref="D7" r:id="rId23" display="https://xrspace.atlassian.net/issues/?jql=created+%3E%3D+2025-02-01+AND+created+%3C%3D+2026-12-31+AND+type+%3D+Bug+AND+project+%3D+SOVA+AND+Sprint+%3D+1497+AND+status+%3D+%22In+Progress+%2850+%7E+70%25%29%22" xr:uid="{22FE5682-848C-4093-AB72-5C6137AD99CE}"/>
    <hyperlink ref="G7" r:id="rId24" display="https://xrspace.atlassian.net/issues/?jql=created+%3E%3D+2025-02-01+AND+created+%3C%3D+2026-12-31+AND+type+%3D+Bug+AND+project+%3D+SOVA+AND+Sprint+%3D+1497+AND+status+%3D+%22Done+%28100%25%29%22" xr:uid="{DB9974B9-7BAC-40B7-BD0C-B06113AFB915}"/>
    <hyperlink ref="E7" r:id="rId25" display="https://xrspace.atlassian.net/issues/?jql=created+%3E%3D+2025-02-01+AND+created+%3C%3D+2026-12-31+AND+type+%3D+Bug+AND+project+%3D+SOVA+AND+Sprint+%3D+1497+AND+status+%3D+%22IN+REVIEW+%2880%25%29%22" xr:uid="{72130AC9-2DFB-417B-9555-D30217DEFFED}"/>
    <hyperlink ref="H7" r:id="rId26" display="https://xrspace.atlassian.net/issues/?jql=created+%3E%3D+2025-02-01+AND+created+%3C%3D+2026-12-31+AND+type+%3D+Bug+AND+project+%3D+SOVA+AND+Sprint+%3D+1497+AND+status+%3D+%22WON%27T+DO+%28100%25%29%22" xr:uid="{F680F49E-77A1-4803-8990-F1267B8509E7}"/>
    <hyperlink ref="C7" r:id="rId27" display="https://xrspace.atlassian.net/issues/?jql=created+%3E%3D+2025-02-01+AND+created+%3C%3D+2026-12-31+AND+type+%3D+Bug+AND+project+%3D+SOVA+AND+Sprint+%3D+1497+AND+status+%3D+%22STARTING+%2810+%7E+40%25%29%22" xr:uid="{A107A0E4-D25D-4B5C-A287-2BA40D3A6CE1}"/>
    <hyperlink ref="F7" r:id="rId28" display="https://xrspace.atlassian.net/issues/?jql=created+%3E%3D+2025-02-01+AND+created+%3C%3D+2026-12-31+AND+type+%3D+Bug+AND+project+%3D+SOVA+AND+Sprint+%3D+1497+AND+status+%3D+%22READY+FOR+TESTING+%2890%25%29%22" xr:uid="{71ABECD1-D053-4327-BA34-1AE3EFC5E005}"/>
    <hyperlink ref="B8" r:id="rId29" display="https://xrspace.atlassian.net/issues/?jql=created+%3E%3D+2025-02-01+AND+created+%3C%3D+2026-12-31+AND+type+%3D+Bug+AND+project+%3D+SOVA+AND+Sprint+%3D+1498+AND+status+%3D+%22To+Do+%280%25%29%22" xr:uid="{C2A15436-EB0D-41A7-BA99-74AC0265F40C}"/>
    <hyperlink ref="D8" r:id="rId30" display="https://xrspace.atlassian.net/issues/?jql=created+%3E%3D+2025-02-01+AND+created+%3C%3D+2026-12-31+AND+type+%3D+Bug+AND+project+%3D+SOVA+AND+Sprint+%3D+1498+AND+status+%3D+%22In+Progress+%2850+%7E+70%25%29%22" xr:uid="{BE5C5B59-D82A-44B8-A178-0635264600AC}"/>
    <hyperlink ref="G8" r:id="rId31" display="https://xrspace.atlassian.net/issues/?jql=created+%3E%3D+2025-02-01+AND+created+%3C%3D+2026-12-31+AND+type+%3D+Bug+AND+project+%3D+SOVA+AND+Sprint+%3D+1498+AND+status+%3D+%22Done+%28100%25%29%22" xr:uid="{8CBB9692-A79C-44A2-A7A8-0FF31F3EE08A}"/>
    <hyperlink ref="E8" r:id="rId32" display="https://xrspace.atlassian.net/issues/?jql=created+%3E%3D+2025-02-01+AND+created+%3C%3D+2026-12-31+AND+type+%3D+Bug+AND+project+%3D+SOVA+AND+Sprint+%3D+1498+AND+status+%3D+%22IN+REVIEW+%2880%25%29%22" xr:uid="{A45B00C8-CA31-4639-A512-D2CB8C9CC5E8}"/>
    <hyperlink ref="H8" r:id="rId33" display="https://xrspace.atlassian.net/issues/?jql=created+%3E%3D+2025-02-01+AND+created+%3C%3D+2026-12-31+AND+type+%3D+Bug+AND+project+%3D+SOVA+AND+Sprint+%3D+1498+AND+status+%3D+%22WON%27T+DO+%28100%25%29%22" xr:uid="{440016F2-D63E-4478-B81F-448FD1ECB262}"/>
    <hyperlink ref="C8" r:id="rId34" display="https://xrspace.atlassian.net/issues/?jql=created+%3E%3D+2025-02-01+AND+created+%3C%3D+2026-12-31+AND+type+%3D+Bug+AND+project+%3D+SOVA+AND+Sprint+%3D+1498+AND+status+%3D+%22STARTING+%2810+%7E+40%25%29%22" xr:uid="{EDE311DC-E60C-483B-BC39-7648489A0E99}"/>
    <hyperlink ref="F8" r:id="rId35" display="https://xrspace.atlassian.net/issues/?jql=created+%3E%3D+2025-02-01+AND+created+%3C%3D+2026-12-31+AND+type+%3D+Bug+AND+project+%3D+SOVA+AND+Sprint+%3D+1498+AND+status+%3D+%22READY+FOR+TESTING+%2890%25%29%22" xr:uid="{8921717D-4DD0-415F-8786-1A949A18110F}"/>
    <hyperlink ref="B9" r:id="rId36" display="https://xrspace.atlassian.net/issues/?jql=created+%3E%3D+2025-02-01+AND+created+%3C%3D+2026-12-31+AND+type+%3D+Bug+AND+project+%3D+SOVA+AND+Sprint+%3D+1499+AND+status+%3D+%22To+Do+%280%25%29%22" xr:uid="{5FF5D9F2-3D2C-415F-8402-AAD3FF701320}"/>
    <hyperlink ref="D9" r:id="rId37" display="https://xrspace.atlassian.net/issues/?jql=created+%3E%3D+2025-02-01+AND+created+%3C%3D+2026-12-31+AND+type+%3D+Bug+AND+project+%3D+SOVA+AND+Sprint+%3D+1499+AND+status+%3D+%22In+Progress+%2850+%7E+70%25%29%22" xr:uid="{D005BEE4-355C-4621-9CEF-3B254C7E0267}"/>
    <hyperlink ref="G9" r:id="rId38" display="https://xrspace.atlassian.net/issues/?jql=created+%3E%3D+2025-02-01+AND+created+%3C%3D+2026-12-31+AND+type+%3D+Bug+AND+project+%3D+SOVA+AND+Sprint+%3D+1499+AND+status+%3D+%22Done+%28100%25%29%22" xr:uid="{85757C4C-E150-4401-83A1-A24FA0FBD79B}"/>
    <hyperlink ref="E9" r:id="rId39" display="https://xrspace.atlassian.net/issues/?jql=created+%3E%3D+2025-02-01+AND+created+%3C%3D+2026-12-31+AND+type+%3D+Bug+AND+project+%3D+SOVA+AND+Sprint+%3D+1499+AND+status+%3D+%22IN+REVIEW+%2880%25%29%22" xr:uid="{78AFBF1B-52DE-4CDC-8CFC-C164967D0753}"/>
    <hyperlink ref="H9" r:id="rId40" display="https://xrspace.atlassian.net/issues/?jql=created+%3E%3D+2025-02-01+AND+created+%3C%3D+2026-12-31+AND+type+%3D+Bug+AND+project+%3D+SOVA+AND+Sprint+%3D+1499+AND+status+%3D+%22WON%27T+DO+%28100%25%29%22" xr:uid="{DCD465D9-29F4-4B28-BDFC-E5E9884A5FE8}"/>
    <hyperlink ref="C9" r:id="rId41" display="https://xrspace.atlassian.net/issues/?jql=created+%3E%3D+2025-02-01+AND+created+%3C%3D+2026-12-31+AND+type+%3D+Bug+AND+project+%3D+SOVA+AND+Sprint+%3D+1499+AND+status+%3D+%22STARTING+%2810+%7E+40%25%29%22" xr:uid="{0CCF4C5A-035E-4648-A9FF-3756DB75E273}"/>
    <hyperlink ref="F9" r:id="rId42" display="https://xrspace.atlassian.net/issues/?jql=created+%3E%3D+2025-02-01+AND+created+%3C%3D+2026-12-31+AND+type+%3D+Bug+AND+project+%3D+SOVA+AND+Sprint+%3D+1499+AND+status+%3D+%22READY+FOR+TESTING+%2890%25%29%22" xr:uid="{C2A2B8CD-FB8E-4535-8062-810B0CF2288A}"/>
    <hyperlink ref="B10" r:id="rId43" display="https://xrspace.atlassian.net/issues/?jql=created+%3E%3D+2025-02-01+AND+created+%3C%3D+2026-12-31+AND+type+%3D+Bug+AND+project+%3D+SOVA+AND+Sprint+%3D+2156+AND+status+%3D+%22To+Do+%280%25%29%22" xr:uid="{CBC4FA39-776C-4DE2-93BB-37E2E644BA0D}"/>
    <hyperlink ref="D10" r:id="rId44" display="https://xrspace.atlassian.net/issues/?jql=created+%3E%3D+2025-02-01+AND+created+%3C%3D+2026-12-31+AND+type+%3D+Bug+AND+project+%3D+SOVA+AND+Sprint+%3D+2156+AND+status+%3D+%22In+Progress+%2850+%7E+70%25%29%22" xr:uid="{AC65ED6C-148F-4532-A62A-FD801B17E639}"/>
    <hyperlink ref="G10" r:id="rId45" display="https://xrspace.atlassian.net/issues/?jql=created+%3E%3D+2025-02-01+AND+created+%3C%3D+2026-12-31+AND+type+%3D+Bug+AND+project+%3D+SOVA+AND+Sprint+%3D+2156+AND+status+%3D+%22Done+%28100%25%29%22" xr:uid="{AEB89E02-CD1F-421B-A29E-19CC77E06704}"/>
    <hyperlink ref="E10" r:id="rId46" display="https://xrspace.atlassian.net/issues/?jql=created+%3E%3D+2025-02-01+AND+created+%3C%3D+2026-12-31+AND+type+%3D+Bug+AND+project+%3D+SOVA+AND+Sprint+%3D+2156+AND+status+%3D+%22IN+REVIEW+%2880%25%29%22" xr:uid="{F6B12E1B-1989-4478-9816-516133A06C54}"/>
    <hyperlink ref="H10" r:id="rId47" display="https://xrspace.atlassian.net/issues/?jql=created+%3E%3D+2025-02-01+AND+created+%3C%3D+2026-12-31+AND+type+%3D+Bug+AND+project+%3D+SOVA+AND+Sprint+%3D+2156+AND+status+%3D+%22WON%27T+DO+%28100%25%29%22" xr:uid="{8D3B67BF-765B-45B9-A673-1E5BA756D87E}"/>
    <hyperlink ref="C10" r:id="rId48" display="https://xrspace.atlassian.net/issues/?jql=created+%3E%3D+2025-02-01+AND+created+%3C%3D+2026-12-31+AND+type+%3D+Bug+AND+project+%3D+SOVA+AND+Sprint+%3D+2156+AND+status+%3D+%22STARTING+%2810+%7E+40%25%29%22" xr:uid="{268C54F3-9625-489E-AE1A-FE1C1FB23F04}"/>
    <hyperlink ref="F10" r:id="rId49" display="https://xrspace.atlassian.net/issues/?jql=created+%3E%3D+2025-02-01+AND+created+%3C%3D+2026-12-31+AND+type+%3D+Bug+AND+project+%3D+SOVA+AND+Sprint+%3D+2156+AND+status+%3D+%22READY+FOR+TESTING+%2890%25%29%22" xr:uid="{BA5625FF-62E4-47D4-BDB9-CA6D7F76F92C}"/>
    <hyperlink ref="B11" r:id="rId50" display="https://xrspace.atlassian.net/issues/?jql=created+%3E%3D+2025-02-01+AND+created+%3C%3D+2026-12-31+AND+type+%3D+Bug+AND+project+%3D+SOVA+AND+Sprint+%3D+2157+AND+status+%3D+%22To+Do+%280%25%29%22" xr:uid="{A49E1934-7EFC-455B-A85C-337EC77B1B65}"/>
    <hyperlink ref="D11" r:id="rId51" display="https://xrspace.atlassian.net/issues/?jql=created+%3E%3D+2025-02-01+AND+created+%3C%3D+2026-12-31+AND+type+%3D+Bug+AND+project+%3D+SOVA+AND+Sprint+%3D+2157+AND+status+%3D+%22In+Progress+%2850+%7E+70%25%29%22" xr:uid="{5C38973C-96E9-408E-B8CD-65DB985B2A99}"/>
    <hyperlink ref="G11" r:id="rId52" display="https://xrspace.atlassian.net/issues/?jql=created+%3E%3D+2025-02-01+AND+created+%3C%3D+2026-12-31+AND+type+%3D+Bug+AND+project+%3D+SOVA+AND+Sprint+%3D+2157+AND+status+%3D+%22Done+%28100%25%29%22" xr:uid="{BA200205-AA70-480C-AF68-32217E59167A}"/>
    <hyperlink ref="E11" r:id="rId53" display="https://xrspace.atlassian.net/issues/?jql=created+%3E%3D+2025-02-01+AND+created+%3C%3D+2026-12-31+AND+type+%3D+Bug+AND+project+%3D+SOVA+AND+Sprint+%3D+2157+AND+status+%3D+%22IN+REVIEW+%2880%25%29%22" xr:uid="{C054038C-7AD9-415D-BCC9-5A8C143768BD}"/>
    <hyperlink ref="H11" r:id="rId54" display="https://xrspace.atlassian.net/issues/?jql=created+%3E%3D+2025-02-01+AND+created+%3C%3D+2026-12-31+AND+type+%3D+Bug+AND+project+%3D+SOVA+AND+Sprint+%3D+2157+AND+status+%3D+%22WON%27T+DO+%28100%25%29%22" xr:uid="{E5E35CC8-29BF-474E-9761-62C45C4172A8}"/>
    <hyperlink ref="C11" r:id="rId55" display="https://xrspace.atlassian.net/issues/?jql=created+%3E%3D+2025-02-01+AND+created+%3C%3D+2026-12-31+AND+type+%3D+Bug+AND+project+%3D+SOVA+AND+Sprint+%3D+2157+AND+status+%3D+%22STARTING+%2810+%7E+40%25%29%22" xr:uid="{3A5D8691-EA28-4A7D-B37C-0D93C59035D5}"/>
    <hyperlink ref="F11" r:id="rId56" display="https://xrspace.atlassian.net/issues/?jql=created+%3E%3D+2025-02-01+AND+created+%3C%3D+2026-12-31+AND+type+%3D+Bug+AND+project+%3D+SOVA+AND+Sprint+%3D+2157+AND+status+%3D+%22READY+FOR+TESTING+%2890%25%29%22" xr:uid="{4BFFD283-E2FE-4C13-AD26-2210AA94B599}"/>
    <hyperlink ref="B12" r:id="rId57" display="https://xrspace.atlassian.net/issues/?jql=created+%3E%3D+2025-02-01+AND+created+%3C%3D+2026-12-31+AND+type+%3D+Bug+AND+project+%3D+SOVA+AND+Sprint+%3D+2618+AND+status+%3D+%22To+Do+%280%25%29%22" xr:uid="{F8593ACE-636B-403A-A712-EF8DDC49A22E}"/>
    <hyperlink ref="D12" r:id="rId58" display="https://xrspace.atlassian.net/issues/?jql=created+%3E%3D+2025-02-01+AND+created+%3C%3D+2026-12-31+AND+type+%3D+Bug+AND+project+%3D+SOVA+AND+Sprint+%3D+2618+AND+status+%3D+%22In+Progress+%2850+%7E+70%25%29%22" xr:uid="{D725BBD2-653C-40D9-945F-BE91C8EB9733}"/>
    <hyperlink ref="G12" r:id="rId59" display="https://xrspace.atlassian.net/issues/?jql=created+%3E%3D+2025-02-01+AND+created+%3C%3D+2026-12-31+AND+type+%3D+Bug+AND+project+%3D+SOVA+AND+Sprint+%3D+2618+AND+status+%3D+%22Done+%28100%25%29%22" xr:uid="{F95614A1-E6C4-4633-967B-FE665C115ED5}"/>
    <hyperlink ref="E12" r:id="rId60" display="https://xrspace.atlassian.net/issues/?jql=created+%3E%3D+2025-02-01+AND+created+%3C%3D+2026-12-31+AND+type+%3D+Bug+AND+project+%3D+SOVA+AND+Sprint+%3D+2618+AND+status+%3D+%22IN+REVIEW+%2880%25%29%22" xr:uid="{E9EB2556-D891-4D22-8D3B-99640293CFEA}"/>
    <hyperlink ref="H12" r:id="rId61" display="https://xrspace.atlassian.net/issues/?jql=created+%3E%3D+2025-02-01+AND+created+%3C%3D+2026-12-31+AND+type+%3D+Bug+AND+project+%3D+SOVA+AND+Sprint+%3D+2618+AND+status+%3D+%22WON%27T+DO+%28100%25%29%22" xr:uid="{C77D8C36-5F65-4740-AFC8-16F5A4692277}"/>
    <hyperlink ref="C12" r:id="rId62" display="https://xrspace.atlassian.net/issues/?jql=created+%3E%3D+2025-02-01+AND+created+%3C%3D+2026-12-31+AND+type+%3D+Bug+AND+project+%3D+SOVA+AND+Sprint+%3D+2618+AND+status+%3D+%22STARTING+%2810+%7E+40%25%29%22" xr:uid="{A535644C-83A5-4CB0-9829-1AE4B6C2B504}"/>
    <hyperlink ref="F12" r:id="rId63" display="https://xrspace.atlassian.net/issues/?jql=created+%3E%3D+2025-02-01+AND+created+%3C%3D+2026-12-31+AND+type+%3D+Bug+AND+project+%3D+SOVA+AND+Sprint+%3D+2618+AND+status+%3D+%22READY+FOR+TESTING+%2890%25%29%22" xr:uid="{913F0D72-9F20-4D15-B340-2FD29C293540}"/>
    <hyperlink ref="B13" r:id="rId64" display="https://xrspace.atlassian.net/issues/?jql=created+%3E%3D+2025-02-01+AND+created+%3C%3D+2026-12-31+AND+type+%3D+Bug+AND+project+%3D+SOVA+AND+Sprint+%3D+2619+AND+status+%3D+%22To+Do+%280%25%29%22" xr:uid="{FBF54ADC-A1C6-484F-B1CE-E84D3D12CE07}"/>
    <hyperlink ref="D13" r:id="rId65" display="https://xrspace.atlassian.net/issues/?jql=created+%3E%3D+2025-02-01+AND+created+%3C%3D+2026-12-31+AND+type+%3D+Bug+AND+project+%3D+SOVA+AND+Sprint+%3D+2619+AND+status+%3D+%22In+Progress+%2850+%7E+70%25%29%22" xr:uid="{EBCBA75B-B2B6-46D1-BCC4-187E6F8FA482}"/>
    <hyperlink ref="G13" r:id="rId66" display="https://xrspace.atlassian.net/issues/?jql=created+%3E%3D+2025-02-01+AND+created+%3C%3D+2026-12-31+AND+type+%3D+Bug+AND+project+%3D+SOVA+AND+Sprint+%3D+2619+AND+status+%3D+%22Done+%28100%25%29%22" xr:uid="{672F40D7-E05F-452E-A095-3DF7D7820611}"/>
    <hyperlink ref="E13" r:id="rId67" display="https://xrspace.atlassian.net/issues/?jql=created+%3E%3D+2025-02-01+AND+created+%3C%3D+2026-12-31+AND+type+%3D+Bug+AND+project+%3D+SOVA+AND+Sprint+%3D+2619+AND+status+%3D+%22IN+REVIEW+%2880%25%29%22" xr:uid="{13BB4184-DC18-4BBC-BAA8-3239F6616721}"/>
    <hyperlink ref="H13" r:id="rId68" display="https://xrspace.atlassian.net/issues/?jql=created+%3E%3D+2025-02-01+AND+created+%3C%3D+2026-12-31+AND+type+%3D+Bug+AND+project+%3D+SOVA+AND+Sprint+%3D+2619+AND+status+%3D+%22WON%27T+DO+%28100%25%29%22" xr:uid="{4EA0DA79-6BAF-49CC-8DCE-6B9B5FCD0BC8}"/>
    <hyperlink ref="C13" r:id="rId69" display="https://xrspace.atlassian.net/issues/?jql=created+%3E%3D+2025-02-01+AND+created+%3C%3D+2026-12-31+AND+type+%3D+Bug+AND+project+%3D+SOVA+AND+Sprint+%3D+2619+AND+status+%3D+%22STARTING+%2810+%7E+40%25%29%22" xr:uid="{3BF0366F-8BBC-4F7F-9765-7CA9F1C594B0}"/>
    <hyperlink ref="F13" r:id="rId70" display="https://xrspace.atlassian.net/issues/?jql=created+%3E%3D+2025-02-01+AND+created+%3C%3D+2026-12-31+AND+type+%3D+Bug+AND+project+%3D+SOVA+AND+Sprint+%3D+2619+AND+status+%3D+%22READY+FOR+TESTING+%2890%25%29%22" xr:uid="{8774BD5F-0DE1-451C-9301-2E3B775F4E8D}"/>
    <hyperlink ref="B14" r:id="rId71" display="https://xrspace.atlassian.net/issues/?jql=created+%3E%3D+2025-02-01+AND+created+%3C%3D+2026-12-31+AND+type+%3D+Bug+AND+project+%3D+SOVA+AND+Sprint+%3D+2882+AND+status+%3D+%22To+Do+%280%25%29%22" xr:uid="{CBE74DF1-1680-46DD-ABDB-247754DF3737}"/>
    <hyperlink ref="D14" r:id="rId72" display="https://xrspace.atlassian.net/issues/?jql=created+%3E%3D+2025-02-01+AND+created+%3C%3D+2026-12-31+AND+type+%3D+Bug+AND+project+%3D+SOVA+AND+Sprint+%3D+2882+AND+status+%3D+%22In+Progress+%2850+%7E+70%25%29%22" xr:uid="{64E6426F-D4D6-490E-A65B-A0898BCE1BC0}"/>
    <hyperlink ref="G14" r:id="rId73" display="https://xrspace.atlassian.net/issues/?jql=created+%3E%3D+2025-02-01+AND+created+%3C%3D+2026-12-31+AND+type+%3D+Bug+AND+project+%3D+SOVA+AND+Sprint+%3D+2882+AND+status+%3D+%22Done+%28100%25%29%22" xr:uid="{3DCC6CEB-6808-4463-B122-43A7777D5521}"/>
    <hyperlink ref="E14" r:id="rId74" display="https://xrspace.atlassian.net/issues/?jql=created+%3E%3D+2025-02-01+AND+created+%3C%3D+2026-12-31+AND+type+%3D+Bug+AND+project+%3D+SOVA+AND+Sprint+%3D+2882+AND+status+%3D+%22IN+REVIEW+%2880%25%29%22" xr:uid="{99E89007-0504-4278-A141-B4431A5B700D}"/>
    <hyperlink ref="H14" r:id="rId75" display="https://xrspace.atlassian.net/issues/?jql=created+%3E%3D+2025-02-01+AND+created+%3C%3D+2026-12-31+AND+type+%3D+Bug+AND+project+%3D+SOVA+AND+Sprint+%3D+2882+AND+status+%3D+%22WON%27T+DO+%28100%25%29%22" xr:uid="{DEBDD966-994E-4773-A45D-02EC25578AAB}"/>
    <hyperlink ref="C14" r:id="rId76" display="https://xrspace.atlassian.net/issues/?jql=created+%3E%3D+2025-02-01+AND+created+%3C%3D+2026-12-31+AND+type+%3D+Bug+AND+project+%3D+SOVA+AND+Sprint+%3D+2882+AND+status+%3D+%22STARTING+%2810+%7E+40%25%29%22" xr:uid="{35134365-F806-456C-96EB-A68DA5C1A5C2}"/>
    <hyperlink ref="F14" r:id="rId77" display="https://xrspace.atlassian.net/issues/?jql=created+%3E%3D+2025-02-01+AND+created+%3C%3D+2026-12-31+AND+type+%3D+Bug+AND+project+%3D+SOVA+AND+Sprint+%3D+2882+AND+status+%3D+%22READY+FOR+TESTING+%2890%25%29%22" xr:uid="{45CF823E-8F4E-4C94-A49D-C29D1560F4AA}"/>
    <hyperlink ref="B15" r:id="rId78" display="https://xrspace.atlassian.net/issues/?jql=created+%3E%3D+2025-02-01+AND+created+%3C%3D+2026-12-31+AND+type+%3D+Bug+AND+project+%3D+SOVA+AND+Sprint+%3D+3213+AND+status+%3D+%22To+Do+%280%25%29%22" xr:uid="{79D5282E-7221-421F-BE1E-FD480BA6BB20}"/>
    <hyperlink ref="D15" r:id="rId79" display="https://xrspace.atlassian.net/issues/?jql=created+%3E%3D+2025-02-01+AND+created+%3C%3D+2026-12-31+AND+type+%3D+Bug+AND+project+%3D+SOVA+AND+Sprint+%3D+3213+AND+status+%3D+%22In+Progress+%2850+%7E+70%25%29%22" xr:uid="{FFCB8B3B-865A-4780-9B5E-89C395CACC65}"/>
    <hyperlink ref="G15" r:id="rId80" display="https://xrspace.atlassian.net/issues/?jql=created+%3E%3D+2025-02-01+AND+created+%3C%3D+2026-12-31+AND+type+%3D+Bug+AND+project+%3D+SOVA+AND+Sprint+%3D+3213+AND+status+%3D+%22Done+%28100%25%29%22" xr:uid="{32E870DD-0569-4685-A9DE-0CC61CD0F1D1}"/>
    <hyperlink ref="E15" r:id="rId81" display="https://xrspace.atlassian.net/issues/?jql=created+%3E%3D+2025-02-01+AND+created+%3C%3D+2026-12-31+AND+type+%3D+Bug+AND+project+%3D+SOVA+AND+Sprint+%3D+3213+AND+status+%3D+%22IN+REVIEW+%2880%25%29%22" xr:uid="{06EDB94B-C1E8-4035-AEF5-EDA8329F815E}"/>
    <hyperlink ref="H15" r:id="rId82" display="https://xrspace.atlassian.net/issues/?jql=created+%3E%3D+2025-02-01+AND+created+%3C%3D+2026-12-31+AND+type+%3D+Bug+AND+project+%3D+SOVA+AND+Sprint+%3D+3213+AND+status+%3D+%22WON%27T+DO+%28100%25%29%22" xr:uid="{99730D50-CAAA-4855-BE7F-B9A4241F9E56}"/>
    <hyperlink ref="C15" r:id="rId83" display="https://xrspace.atlassian.net/issues/?jql=created+%3E%3D+2025-02-01+AND+created+%3C%3D+2026-12-31+AND+type+%3D+Bug+AND+project+%3D+SOVA+AND+Sprint+%3D+3213+AND+status+%3D+%22STARTING+%2810+%7E+40%25%29%22" xr:uid="{6C68D715-0E54-40B1-8315-250BBEA9DCE8}"/>
    <hyperlink ref="F15" r:id="rId84" display="https://xrspace.atlassian.net/issues/?jql=created+%3E%3D+2025-02-01+AND+created+%3C%3D+2026-12-31+AND+type+%3D+Bug+AND+project+%3D+SOVA+AND+Sprint+%3D+3213+AND+status+%3D+%22READY+FOR+TESTING+%2890%25%29%22" xr:uid="{E892457F-9BBE-4D46-8F00-6224F881DA65}"/>
    <hyperlink ref="B16" r:id="rId85" display="https://xrspace.atlassian.net/issues/?jql=created+%3E%3D+2025-02-01+AND+created+%3C%3D+2026-12-31+AND+type+%3D+Bug+AND+project+%3D+SOVA+AND+Sprint+%3D+3245+AND+status+%3D+%22To+Do+%280%25%29%22" xr:uid="{0ABFFA40-61BF-48AF-B693-9719E5BB2CED}"/>
    <hyperlink ref="D16" r:id="rId86" display="https://xrspace.atlassian.net/issues/?jql=created+%3E%3D+2025-02-01+AND+created+%3C%3D+2026-12-31+AND+type+%3D+Bug+AND+project+%3D+SOVA+AND+Sprint+%3D+3245+AND+status+%3D+%22In+Progress+%2850+%7E+70%25%29%22" xr:uid="{C25E1253-0381-49D8-A8FD-E44CCAFA258F}"/>
    <hyperlink ref="G16" r:id="rId87" display="https://xrspace.atlassian.net/issues/?jql=created+%3E%3D+2025-02-01+AND+created+%3C%3D+2026-12-31+AND+type+%3D+Bug+AND+project+%3D+SOVA+AND+Sprint+%3D+3245+AND+status+%3D+%22Done+%28100%25%29%22" xr:uid="{72D281C8-A48F-4404-B3E3-7914FCC5F761}"/>
    <hyperlink ref="E16" r:id="rId88" display="https://xrspace.atlassian.net/issues/?jql=created+%3E%3D+2025-02-01+AND+created+%3C%3D+2026-12-31+AND+type+%3D+Bug+AND+project+%3D+SOVA+AND+Sprint+%3D+3245+AND+status+%3D+%22IN+REVIEW+%2880%25%29%22" xr:uid="{C99C42F0-8FDA-4A85-97BB-06A7E33F76C5}"/>
    <hyperlink ref="H16" r:id="rId89" display="https://xrspace.atlassian.net/issues/?jql=created+%3E%3D+2025-02-01+AND+created+%3C%3D+2026-12-31+AND+type+%3D+Bug+AND+project+%3D+SOVA+AND+Sprint+%3D+3245+AND+status+%3D+%22WON%27T+DO+%28100%25%29%22" xr:uid="{93761553-79E8-484F-866F-D8B1E3FD28A0}"/>
    <hyperlink ref="C16" r:id="rId90" display="https://xrspace.atlassian.net/issues/?jql=created+%3E%3D+2025-02-01+AND+created+%3C%3D+2026-12-31+AND+type+%3D+Bug+AND+project+%3D+SOVA+AND+Sprint+%3D+3245+AND+status+%3D+%22STARTING+%2810+%7E+40%25%29%22" xr:uid="{6D0ED953-7B0D-4823-8B3D-D1FF50BA7798}"/>
    <hyperlink ref="F16" r:id="rId91" display="https://xrspace.atlassian.net/issues/?jql=created+%3E%3D+2025-02-01+AND+created+%3C%3D+2026-12-31+AND+type+%3D+Bug+AND+project+%3D+SOVA+AND+Sprint+%3D+3245+AND+status+%3D+%22READY+FOR+TESTING+%2890%25%29%22" xr:uid="{834830F4-7D94-4107-AC9E-546C9FC0D8F4}"/>
    <hyperlink ref="B17" r:id="rId92" display="https://xrspace.atlassian.net/issues/?jql=created+%3E%3D+2025-02-01+AND+created+%3C%3D+2026-12-31+AND+type+%3D+Bug+AND+project+%3D+SOVA+AND+Sprint+%3D+3246+AND+status+%3D+%22To+Do+%280%25%29%22" xr:uid="{FFC47A93-753D-45BD-84A9-2C8E939096CC}"/>
    <hyperlink ref="D17" r:id="rId93" display="https://xrspace.atlassian.net/issues/?jql=created+%3E%3D+2025-02-01+AND+created+%3C%3D+2026-12-31+AND+type+%3D+Bug+AND+project+%3D+SOVA+AND+Sprint+%3D+3246+AND+status+%3D+%22In+Progress+%2850+%7E+70%25%29%22" xr:uid="{AF0F0963-788E-48F3-A864-05F399832899}"/>
    <hyperlink ref="G17" r:id="rId94" display="https://xrspace.atlassian.net/issues/?jql=created+%3E%3D+2025-02-01+AND+created+%3C%3D+2026-12-31+AND+type+%3D+Bug+AND+project+%3D+SOVA+AND+Sprint+%3D+3246+AND+status+%3D+%22Done+%28100%25%29%22" xr:uid="{72E3CFFE-E38C-4DD2-B168-F110EDF62D6E}"/>
    <hyperlink ref="E17" r:id="rId95" display="https://xrspace.atlassian.net/issues/?jql=created+%3E%3D+2025-02-01+AND+created+%3C%3D+2026-12-31+AND+type+%3D+Bug+AND+project+%3D+SOVA+AND+Sprint+%3D+3246+AND+status+%3D+%22IN+REVIEW+%2880%25%29%22" xr:uid="{B0B793BC-CC52-49E6-A302-E554AACE338F}"/>
    <hyperlink ref="H17" r:id="rId96" display="https://xrspace.atlassian.net/issues/?jql=created+%3E%3D+2025-02-01+AND+created+%3C%3D+2026-12-31+AND+type+%3D+Bug+AND+project+%3D+SOVA+AND+Sprint+%3D+3246+AND+status+%3D+%22WON%27T+DO+%28100%25%29%22" xr:uid="{84CFA2E7-097E-4FF6-BC99-FC04B537C996}"/>
    <hyperlink ref="C17" r:id="rId97" display="https://xrspace.atlassian.net/issues/?jql=created+%3E%3D+2025-02-01+AND+created+%3C%3D+2026-12-31+AND+type+%3D+Bug+AND+project+%3D+SOVA+AND+Sprint+%3D+3246+AND+status+%3D+%22STARTING+%2810+%7E+40%25%29%22" xr:uid="{1A871C21-A8E2-4EBB-963F-CA348AD9651A}"/>
    <hyperlink ref="F17" r:id="rId98" display="https://xrspace.atlassian.net/issues/?jql=created+%3E%3D+2025-02-01+AND+created+%3C%3D+2026-12-31+AND+type+%3D+Bug+AND+project+%3D+SOVA+AND+Sprint+%3D+3246+AND+status+%3D+%22READY+FOR+TESTING+%2890%25%29%22" xr:uid="{A7B5ECC3-FF32-473E-BD29-9A447ED7CC1D}"/>
    <hyperlink ref="B18" r:id="rId99" display="https://xrspace.atlassian.net/issues/?jql=created+%3E%3D+2025-02-01+AND+created+%3C%3D+2026-12-31+AND+type+%3D+Bug+AND+project+%3D+SOVA+AND+Sprint+%3D+3575+AND+status+%3D+%22To+Do+%280%25%29%22" xr:uid="{8351149E-A13D-417A-9F1E-EF71EEE3CF9D}"/>
    <hyperlink ref="D18" r:id="rId100" display="https://xrspace.atlassian.net/issues/?jql=created+%3E%3D+2025-02-01+AND+created+%3C%3D+2026-12-31+AND+type+%3D+Bug+AND+project+%3D+SOVA+AND+Sprint+%3D+3575+AND+status+%3D+%22In+Progress+%2850+%7E+70%25%29%22" xr:uid="{D56C4A55-52AB-4DA7-A6D1-C5F00DD4C338}"/>
    <hyperlink ref="G18" r:id="rId101" display="https://xrspace.atlassian.net/issues/?jql=created+%3E%3D+2025-02-01+AND+created+%3C%3D+2026-12-31+AND+type+%3D+Bug+AND+project+%3D+SOVA+AND+Sprint+%3D+3575+AND+status+%3D+%22Done+%28100%25%29%22" xr:uid="{1F116C9C-ECEB-4DC8-B4E0-6EA0B3B42056}"/>
    <hyperlink ref="E18" r:id="rId102" display="https://xrspace.atlassian.net/issues/?jql=created+%3E%3D+2025-02-01+AND+created+%3C%3D+2026-12-31+AND+type+%3D+Bug+AND+project+%3D+SOVA+AND+Sprint+%3D+3575+AND+status+%3D+%22IN+REVIEW+%2880%25%29%22" xr:uid="{E04B4FA5-A2F2-4C64-9EDE-5F5DE9D8E9A6}"/>
    <hyperlink ref="H18" r:id="rId103" display="https://xrspace.atlassian.net/issues/?jql=created+%3E%3D+2025-02-01+AND+created+%3C%3D+2026-12-31+AND+type+%3D+Bug+AND+project+%3D+SOVA+AND+Sprint+%3D+3575+AND+status+%3D+%22WON%27T+DO+%28100%25%29%22" xr:uid="{71E4EE44-A29F-4526-BA38-4EF53739DD93}"/>
    <hyperlink ref="C18" r:id="rId104" display="https://xrspace.atlassian.net/issues/?jql=created+%3E%3D+2025-02-01+AND+created+%3C%3D+2026-12-31+AND+type+%3D+Bug+AND+project+%3D+SOVA+AND+Sprint+%3D+3575+AND+status+%3D+%22STARTING+%2810+%7E+40%25%29%22" xr:uid="{50D394ED-C29A-432C-A933-365144F1C1DD}"/>
    <hyperlink ref="F18" r:id="rId105" display="https://xrspace.atlassian.net/issues/?jql=created+%3E%3D+2025-02-01+AND+created+%3C%3D+2026-12-31+AND+type+%3D+Bug+AND+project+%3D+SOVA+AND+Sprint+%3D+3575+AND+status+%3D+%22READY+FOR+TESTING+%2890%25%29%22" xr:uid="{BC5B7E0C-A7F6-42F9-8504-D17DB9FFEE05}"/>
    <hyperlink ref="B19" r:id="rId106" display="https://xrspace.atlassian.net/issues/?jql=created+%3E%3D+2025-02-01+AND+created+%3C%3D+2026-12-31+AND+type+%3D+Bug+AND+project+%3D+SOVA+AND+Sprint+%3D+3608+AND+status+%3D+%22To+Do+%280%25%29%22" xr:uid="{798B3080-A508-48AE-8947-A168CE8BF5F7}"/>
    <hyperlink ref="D19" r:id="rId107" display="https://xrspace.atlassian.net/issues/?jql=created+%3E%3D+2025-02-01+AND+created+%3C%3D+2026-12-31+AND+type+%3D+Bug+AND+project+%3D+SOVA+AND+Sprint+%3D+3608+AND+status+%3D+%22In+Progress+%2850+%7E+70%25%29%22" xr:uid="{66E6880A-CC47-48B1-ADDB-643A6025D5A9}"/>
    <hyperlink ref="G19" r:id="rId108" display="https://xrspace.atlassian.net/issues/?jql=created+%3E%3D+2025-02-01+AND+created+%3C%3D+2026-12-31+AND+type+%3D+Bug+AND+project+%3D+SOVA+AND+Sprint+%3D+3608+AND+status+%3D+%22Done+%28100%25%29%22" xr:uid="{E3D3CA17-3882-449D-AC0F-ACBE44FB0CD6}"/>
    <hyperlink ref="E19" r:id="rId109" display="https://xrspace.atlassian.net/issues/?jql=created+%3E%3D+2025-02-01+AND+created+%3C%3D+2026-12-31+AND+type+%3D+Bug+AND+project+%3D+SOVA+AND+Sprint+%3D+3608+AND+status+%3D+%22IN+REVIEW+%2880%25%29%22" xr:uid="{EFA11580-0B85-4714-9384-FDFA75234BA3}"/>
    <hyperlink ref="H19" r:id="rId110" display="https://xrspace.atlassian.net/issues/?jql=created+%3E%3D+2025-02-01+AND+created+%3C%3D+2026-12-31+AND+type+%3D+Bug+AND+project+%3D+SOVA+AND+Sprint+%3D+3608+AND+status+%3D+%22WON%27T+DO+%28100%25%29%22" xr:uid="{834ECA52-269F-4F0D-A927-285BF359ECC0}"/>
    <hyperlink ref="C19" r:id="rId111" display="https://xrspace.atlassian.net/issues/?jql=created+%3E%3D+2025-02-01+AND+created+%3C%3D+2026-12-31+AND+type+%3D+Bug+AND+project+%3D+SOVA+AND+Sprint+%3D+3608+AND+status+%3D+%22STARTING+%2810+%7E+40%25%29%22" xr:uid="{BE317CF9-1E01-4590-BFAB-8F768FE4477A}"/>
    <hyperlink ref="F19" r:id="rId112" display="https://xrspace.atlassian.net/issues/?jql=created+%3E%3D+2025-02-01+AND+created+%3C%3D+2026-12-31+AND+type+%3D+Bug+AND+project+%3D+SOVA+AND+Sprint+%3D+3608+AND+status+%3D+%22READY+FOR+TESTING+%2890%25%29%22" xr:uid="{164C42ED-384F-4154-8FCF-D6D7BC210AAF}"/>
    <hyperlink ref="B20" r:id="rId113" display="https://xrspace.atlassian.net/issues/?jql=created+%3E%3D+2025-02-01+AND+created+%3C%3D+2026-12-31+AND+type+%3D+Bug+AND+project+%3D+SOVA+AND+Sprint+%3D+3872+AND+status+%3D+%22To+Do+%280%25%29%22" xr:uid="{AB067417-A1E3-4D8D-AFA1-60C1242EC87A}"/>
    <hyperlink ref="D20" r:id="rId114" display="https://xrspace.atlassian.net/issues/?jql=created+%3E%3D+2025-02-01+AND+created+%3C%3D+2026-12-31+AND+type+%3D+Bug+AND+project+%3D+SOVA+AND+Sprint+%3D+3872+AND+status+%3D+%22In+Progress+%2850+%7E+70%25%29%22" xr:uid="{892BF312-20B0-461C-BB21-2B38FB6601EC}"/>
    <hyperlink ref="G20" r:id="rId115" display="https://xrspace.atlassian.net/issues/?jql=created+%3E%3D+2025-02-01+AND+created+%3C%3D+2026-12-31+AND+type+%3D+Bug+AND+project+%3D+SOVA+AND+Sprint+%3D+3872+AND+status+%3D+%22Done+%28100%25%29%22" xr:uid="{7069171E-E0A8-42D6-9B18-A96FA9D9670A}"/>
    <hyperlink ref="E20" r:id="rId116" display="https://xrspace.atlassian.net/issues/?jql=created+%3E%3D+2025-02-01+AND+created+%3C%3D+2026-12-31+AND+type+%3D+Bug+AND+project+%3D+SOVA+AND+Sprint+%3D+3872+AND+status+%3D+%22IN+REVIEW+%2880%25%29%22" xr:uid="{FFEEC264-23C3-479B-836C-6A7816220486}"/>
    <hyperlink ref="H20" r:id="rId117" display="https://xrspace.atlassian.net/issues/?jql=created+%3E%3D+2025-02-01+AND+created+%3C%3D+2026-12-31+AND+type+%3D+Bug+AND+project+%3D+SOVA+AND+Sprint+%3D+3872+AND+status+%3D+%22WON%27T+DO+%28100%25%29%22" xr:uid="{8DF90A02-4A69-4CB4-B691-62DAEBF30861}"/>
    <hyperlink ref="C20" r:id="rId118" display="https://xrspace.atlassian.net/issues/?jql=created+%3E%3D+2025-02-01+AND+created+%3C%3D+2026-12-31+AND+type+%3D+Bug+AND+project+%3D+SOVA+AND+Sprint+%3D+3872+AND+status+%3D+%22STARTING+%2810+%7E+40%25%29%22" xr:uid="{2D9A0811-ECD0-4E83-B084-1ED048494949}"/>
    <hyperlink ref="F20" r:id="rId119" display="https://xrspace.atlassian.net/issues/?jql=created+%3E%3D+2025-02-01+AND+created+%3C%3D+2026-12-31+AND+type+%3D+Bug+AND+project+%3D+SOVA+AND+Sprint+%3D+3872+AND+status+%3D+%22READY+FOR+TESTING+%2890%25%29%22" xr:uid="{30A5F476-97D8-45CA-93AC-BA3557449927}"/>
    <hyperlink ref="B21" r:id="rId120" display="https://xrspace.atlassian.net/issues/?jql=created+%3E%3D+2025-02-01+AND+created+%3C%3D+2026-12-31+AND+type+%3D+Bug+AND+project+%3D+SOVA+AND+Sprint+%3D+3873+AND+status+%3D+%22To+Do+%280%25%29%22" xr:uid="{62DA024A-85CA-46C9-869E-370FAE8589E5}"/>
    <hyperlink ref="D21" r:id="rId121" display="https://xrspace.atlassian.net/issues/?jql=created+%3E%3D+2025-02-01+AND+created+%3C%3D+2026-12-31+AND+type+%3D+Bug+AND+project+%3D+SOVA+AND+Sprint+%3D+3873+AND+status+%3D+%22In+Progress+%2850+%7E+70%25%29%22" xr:uid="{EA42C0A6-67E7-4439-BE9E-05F68C36A4FA}"/>
    <hyperlink ref="G21" r:id="rId122" display="https://xrspace.atlassian.net/issues/?jql=created+%3E%3D+2025-02-01+AND+created+%3C%3D+2026-12-31+AND+type+%3D+Bug+AND+project+%3D+SOVA+AND+Sprint+%3D+3873+AND+status+%3D+%22Done+%28100%25%29%22" xr:uid="{D63DF082-3A10-41FC-B993-EF3EC220C9AB}"/>
    <hyperlink ref="E21" r:id="rId123" display="https://xrspace.atlassian.net/issues/?jql=created+%3E%3D+2025-02-01+AND+created+%3C%3D+2026-12-31+AND+type+%3D+Bug+AND+project+%3D+SOVA+AND+Sprint+%3D+3873+AND+status+%3D+%22IN+REVIEW+%2880%25%29%22" xr:uid="{3E823444-4C36-4B65-9D15-1268A1FE7ECA}"/>
    <hyperlink ref="H21" r:id="rId124" display="https://xrspace.atlassian.net/issues/?jql=created+%3E%3D+2025-02-01+AND+created+%3C%3D+2026-12-31+AND+type+%3D+Bug+AND+project+%3D+SOVA+AND+Sprint+%3D+3873+AND+status+%3D+%22WON%27T+DO+%28100%25%29%22" xr:uid="{90328037-E39D-4C38-912C-7DBC6B124B2A}"/>
    <hyperlink ref="C21" r:id="rId125" display="https://xrspace.atlassian.net/issues/?jql=created+%3E%3D+2025-02-01+AND+created+%3C%3D+2026-12-31+AND+type+%3D+Bug+AND+project+%3D+SOVA+AND+Sprint+%3D+3873+AND+status+%3D+%22STARTING+%2810+%7E+40%25%29%22" xr:uid="{028309F5-49F5-4FC1-BC95-7F1BE93C0705}"/>
    <hyperlink ref="F21" r:id="rId126" display="https://xrspace.atlassian.net/issues/?jql=created+%3E%3D+2025-02-01+AND+created+%3C%3D+2026-12-31+AND+type+%3D+Bug+AND+project+%3D+SOVA+AND+Sprint+%3D+3873+AND+status+%3D+%22READY+FOR+TESTING+%2890%25%29%22" xr:uid="{E2B5DE71-E3A5-44E6-B360-4286FBD48AE1}"/>
    <hyperlink ref="B22" r:id="rId127" display="https://xrspace.atlassian.net/issues/?jql=created+%3E%3D+2025-02-01+AND+created+%3C%3D+2026-12-31+AND+type+%3D+Bug+AND+project+%3D+SOVA+AND+Sprint+%3D+4140+AND+status+%3D+%22To+Do+%280%25%29%22" xr:uid="{31447D0C-7E99-4C15-8F45-B42CC49F24A4}"/>
    <hyperlink ref="D22" r:id="rId128" display="https://xrspace.atlassian.net/issues/?jql=created+%3E%3D+2025-02-01+AND+created+%3C%3D+2026-12-31+AND+type+%3D+Bug+AND+project+%3D+SOVA+AND+Sprint+%3D+4140+AND+status+%3D+%22In+Progress+%2850+%7E+70%25%29%22" xr:uid="{B9D7FE24-FBAA-4EB1-9277-1F39AEFA3D8F}"/>
    <hyperlink ref="G22" r:id="rId129" display="https://xrspace.atlassian.net/issues/?jql=created+%3E%3D+2025-02-01+AND+created+%3C%3D+2026-12-31+AND+type+%3D+Bug+AND+project+%3D+SOVA+AND+Sprint+%3D+4140+AND+status+%3D+%22Done+%28100%25%29%22" xr:uid="{925AEBAD-45BC-4B41-8FC8-97567672446B}"/>
    <hyperlink ref="E22" r:id="rId130" display="https://xrspace.atlassian.net/issues/?jql=created+%3E%3D+2025-02-01+AND+created+%3C%3D+2026-12-31+AND+type+%3D+Bug+AND+project+%3D+SOVA+AND+Sprint+%3D+4140+AND+status+%3D+%22IN+REVIEW+%2880%25%29%22" xr:uid="{8403DAED-8C63-4AC2-A93D-0685568BAFDF}"/>
    <hyperlink ref="H22" r:id="rId131" display="https://xrspace.atlassian.net/issues/?jql=created+%3E%3D+2025-02-01+AND+created+%3C%3D+2026-12-31+AND+type+%3D+Bug+AND+project+%3D+SOVA+AND+Sprint+%3D+4140+AND+status+%3D+%22WON%27T+DO+%28100%25%29%22" xr:uid="{FB2B5D59-99CC-4335-9921-DFA15239FD2A}"/>
    <hyperlink ref="C22" r:id="rId132" display="https://xrspace.atlassian.net/issues/?jql=created+%3E%3D+2025-02-01+AND+created+%3C%3D+2026-12-31+AND+type+%3D+Bug+AND+project+%3D+SOVA+AND+Sprint+%3D+4140+AND+status+%3D+%22STARTING+%2810+%7E+40%25%29%22" xr:uid="{06CEADBE-F1BC-4C87-A636-B777FCB603B8}"/>
    <hyperlink ref="F22" r:id="rId133" display="https://xrspace.atlassian.net/issues/?jql=created+%3E%3D+2025-02-01+AND+created+%3C%3D+2026-12-31+AND+type+%3D+Bug+AND+project+%3D+SOVA+AND+Sprint+%3D+4140+AND+status+%3D+%22READY+FOR+TESTING+%2890%25%29%22" xr:uid="{C2949024-F0A1-4413-BBEB-B3208DEA7F3F}"/>
    <hyperlink ref="B23" r:id="rId134" display="https://xrspace.atlassian.net/issues/?jql=created+%3E%3D+2025-02-01+AND+created+%3C%3D+2026-12-31+AND+type+%3D+Bug+AND+project+%3D+SOVA+AND+Sprint+%3D+4206+AND+status+%3D+%22To+Do+%280%25%29%22" xr:uid="{067B3D9B-C59E-449C-A13D-FD6561FD25E2}"/>
    <hyperlink ref="D23" r:id="rId135" display="https://xrspace.atlassian.net/issues/?jql=created+%3E%3D+2025-02-01+AND+created+%3C%3D+2026-12-31+AND+type+%3D+Bug+AND+project+%3D+SOVA+AND+Sprint+%3D+4206+AND+status+%3D+%22In+Progress+%2850+%7E+70%25%29%22" xr:uid="{C6C5DA57-66A4-4A76-BFB8-708F79614290}"/>
    <hyperlink ref="G23" r:id="rId136" display="https://xrspace.atlassian.net/issues/?jql=created+%3E%3D+2025-02-01+AND+created+%3C%3D+2026-12-31+AND+type+%3D+Bug+AND+project+%3D+SOVA+AND+Sprint+%3D+4206+AND+status+%3D+%22Done+%28100%25%29%22" xr:uid="{C4CD30A9-0235-46D2-9B58-91CF14B5399E}"/>
    <hyperlink ref="E23" r:id="rId137" display="https://xrspace.atlassian.net/issues/?jql=created+%3E%3D+2025-02-01+AND+created+%3C%3D+2026-12-31+AND+type+%3D+Bug+AND+project+%3D+SOVA+AND+Sprint+%3D+4206+AND+status+%3D+%22IN+REVIEW+%2880%25%29%22" xr:uid="{F666FC5A-FAF7-4C70-A3F7-6F5B003A0504}"/>
    <hyperlink ref="H23" r:id="rId138" display="https://xrspace.atlassian.net/issues/?jql=created+%3E%3D+2025-02-01+AND+created+%3C%3D+2026-12-31+AND+type+%3D+Bug+AND+project+%3D+SOVA+AND+Sprint+%3D+4206+AND+status+%3D+%22WON%27T+DO+%28100%25%29%22" xr:uid="{8E2741DA-00B9-42C6-BF7A-CECB5C7A5EA1}"/>
    <hyperlink ref="C23" r:id="rId139" display="https://xrspace.atlassian.net/issues/?jql=created+%3E%3D+2025-02-01+AND+created+%3C%3D+2026-12-31+AND+type+%3D+Bug+AND+project+%3D+SOVA+AND+Sprint+%3D+4206+AND+status+%3D+%22STARTING+%2810+%7E+40%25%29%22" xr:uid="{0D997503-988D-4ABD-AB1C-BD103EB89410}"/>
    <hyperlink ref="F23" r:id="rId140" display="https://xrspace.atlassian.net/issues/?jql=created+%3E%3D+2025-02-01+AND+created+%3C%3D+2026-12-31+AND+type+%3D+Bug+AND+project+%3D+SOVA+AND+Sprint+%3D+4206+AND+status+%3D+%22READY+FOR+TESTING+%2890%25%29%22" xr:uid="{2ACCA93B-4796-47AB-81CB-D2211D51E00E}"/>
    <hyperlink ref="B24" r:id="rId141" display="https://xrspace.atlassian.net/issues/?jql=created+%3E%3D+2025-02-01+AND+created+%3C%3D+2026-12-31+AND+type+%3D+Bug+AND+project+%3D+SOVA+AND+Sprint+%3D+4477+AND+status+%3D+%22To+Do+%280%25%29%22" xr:uid="{6830705C-D441-44A3-86F5-32984F945991}"/>
    <hyperlink ref="D24" r:id="rId142" display="https://xrspace.atlassian.net/issues/?jql=created+%3E%3D+2025-02-01+AND+created+%3C%3D+2026-12-31+AND+type+%3D+Bug+AND+project+%3D+SOVA+AND+Sprint+%3D+4477+AND+status+%3D+%22In+Progress+%2850+%7E+70%25%29%22" xr:uid="{736592D5-6D1E-408F-B02E-7244D465FD50}"/>
    <hyperlink ref="G24" r:id="rId143" display="https://xrspace.atlassian.net/issues/?jql=created+%3E%3D+2025-02-01+AND+created+%3C%3D+2026-12-31+AND+type+%3D+Bug+AND+project+%3D+SOVA+AND+Sprint+%3D+4477+AND+status+%3D+%22Done+%28100%25%29%22" xr:uid="{587ACEF7-F5F3-4109-B719-EBB4C4183040}"/>
    <hyperlink ref="E24" r:id="rId144" display="https://xrspace.atlassian.net/issues/?jql=created+%3E%3D+2025-02-01+AND+created+%3C%3D+2026-12-31+AND+type+%3D+Bug+AND+project+%3D+SOVA+AND+Sprint+%3D+4477+AND+status+%3D+%22IN+REVIEW+%2880%25%29%22" xr:uid="{0AFA3ED1-7292-4F03-996F-6A2A2D3A0953}"/>
    <hyperlink ref="H24" r:id="rId145" display="https://xrspace.atlassian.net/issues/?jql=created+%3E%3D+2025-02-01+AND+created+%3C%3D+2026-12-31+AND+type+%3D+Bug+AND+project+%3D+SOVA+AND+Sprint+%3D+4477+AND+status+%3D+%22WON%27T+DO+%28100%25%29%22" xr:uid="{C6B1CC50-91FE-481B-9F69-5737077BBA18}"/>
    <hyperlink ref="C24" r:id="rId146" display="https://xrspace.atlassian.net/issues/?jql=created+%3E%3D+2025-02-01+AND+created+%3C%3D+2026-12-31+AND+type+%3D+Bug+AND+project+%3D+SOVA+AND+Sprint+%3D+4477+AND+status+%3D+%22STARTING+%2810+%7E+40%25%29%22" xr:uid="{6146E52B-A975-495D-B437-788544ED822D}"/>
    <hyperlink ref="F24" r:id="rId147" display="https://xrspace.atlassian.net/issues/?jql=created+%3E%3D+2025-02-01+AND+created+%3C%3D+2026-12-31+AND+type+%3D+Bug+AND+project+%3D+SOVA+AND+Sprint+%3D+4477+AND+status+%3D+%22READY+FOR+TESTING+%2890%25%29%22" xr:uid="{C44E6C0C-1849-48D8-8B81-3196429ABA91}"/>
    <hyperlink ref="B25" r:id="rId148" display="https://xrspace.atlassian.net/issues/?jql=created+%3E%3D+2025-02-01+AND+created+%3C%3D+2026-12-31+AND+type+%3D+Bug+AND+project+%3D+SOVA+AND+Sprint+%3D+4478+AND+status+%3D+%22To+Do+%280%25%29%22" xr:uid="{B43341AF-D98D-40F3-A8CD-5A0F65C07BA4}"/>
    <hyperlink ref="D25" r:id="rId149" display="https://xrspace.atlassian.net/issues/?jql=created+%3E%3D+2025-02-01+AND+created+%3C%3D+2026-12-31+AND+type+%3D+Bug+AND+project+%3D+SOVA+AND+Sprint+%3D+4478+AND+status+%3D+%22In+Progress+%2850+%7E+70%25%29%22" xr:uid="{7A43F814-4F67-499F-B300-B7019649656E}"/>
    <hyperlink ref="G25" r:id="rId150" display="https://xrspace.atlassian.net/issues/?jql=created+%3E%3D+2025-02-01+AND+created+%3C%3D+2026-12-31+AND+type+%3D+Bug+AND+project+%3D+SOVA+AND+Sprint+%3D+4478+AND+status+%3D+%22Done+%28100%25%29%22" xr:uid="{28E206CD-E58B-40CF-8BF0-84D3EC8D1B01}"/>
    <hyperlink ref="E25" r:id="rId151" display="https://xrspace.atlassian.net/issues/?jql=created+%3E%3D+2025-02-01+AND+created+%3C%3D+2026-12-31+AND+type+%3D+Bug+AND+project+%3D+SOVA+AND+Sprint+%3D+4478+AND+status+%3D+%22IN+REVIEW+%2880%25%29%22" xr:uid="{D95661B6-48BD-41FC-A1CA-911866114506}"/>
    <hyperlink ref="H25" r:id="rId152" display="https://xrspace.atlassian.net/issues/?jql=created+%3E%3D+2025-02-01+AND+created+%3C%3D+2026-12-31+AND+type+%3D+Bug+AND+project+%3D+SOVA+AND+Sprint+%3D+4478+AND+status+%3D+%22WON%27T+DO+%28100%25%29%22" xr:uid="{B73535A0-B20E-40D5-A0DC-3D649F279C0E}"/>
    <hyperlink ref="C25" r:id="rId153" display="https://xrspace.atlassian.net/issues/?jql=created+%3E%3D+2025-02-01+AND+created+%3C%3D+2026-12-31+AND+type+%3D+Bug+AND+project+%3D+SOVA+AND+Sprint+%3D+4478+AND+status+%3D+%22STARTING+%2810+%7E+40%25%29%22" xr:uid="{2B842A76-1F4A-4BC2-8068-6C73CF537F6D}"/>
    <hyperlink ref="F25" r:id="rId154" display="https://xrspace.atlassian.net/issues/?jql=created+%3E%3D+2025-02-01+AND+created+%3C%3D+2026-12-31+AND+type+%3D+Bug+AND+project+%3D+SOVA+AND+Sprint+%3D+4478+AND+status+%3D+%22READY+FOR+TESTING+%2890%25%29%22" xr:uid="{F73C53F8-0B19-41F9-BE13-0B988EDE38B4}"/>
    <hyperlink ref="B26" r:id="rId155" display="https://xrspace.atlassian.net/issues/?jql=created+%3E%3D+2025-02-01+AND+created+%3C%3D+2026-12-31+AND+type+%3D+Bug+AND+project+%3D+SOVA+AND+Sprint+%3D+4677+AND+status+%3D+%22To+Do+%280%25%29%22" xr:uid="{8C577972-191E-4506-9C4B-728263CF5F3B}"/>
    <hyperlink ref="D26" r:id="rId156" display="https://xrspace.atlassian.net/issues/?jql=created+%3E%3D+2025-02-01+AND+created+%3C%3D+2026-12-31+AND+type+%3D+Bug+AND+project+%3D+SOVA+AND+Sprint+%3D+4677+AND+status+%3D+%22In+Progress+%2850+%7E+70%25%29%22" xr:uid="{5970EA26-C2A2-4DB6-9A59-528605C672EF}"/>
    <hyperlink ref="G26" r:id="rId157" display="https://xrspace.atlassian.net/issues/?jql=created+%3E%3D+2025-02-01+AND+created+%3C%3D+2026-12-31+AND+type+%3D+Bug+AND+project+%3D+SOVA+AND+Sprint+%3D+4677+AND+status+%3D+%22Done+%28100%25%29%22" xr:uid="{BC5BA146-1368-42A3-8FB1-C82206325E70}"/>
    <hyperlink ref="E26" r:id="rId158" display="https://xrspace.atlassian.net/issues/?jql=created+%3E%3D+2025-02-01+AND+created+%3C%3D+2026-12-31+AND+type+%3D+Bug+AND+project+%3D+SOVA+AND+Sprint+%3D+4677+AND+status+%3D+%22IN+REVIEW+%2880%25%29%22" xr:uid="{BDAF99B8-EE08-4A76-8335-CF08C8628DE1}"/>
    <hyperlink ref="H26" r:id="rId159" display="https://xrspace.atlassian.net/issues/?jql=created+%3E%3D+2025-02-01+AND+created+%3C%3D+2026-12-31+AND+type+%3D+Bug+AND+project+%3D+SOVA+AND+Sprint+%3D+4677+AND+status+%3D+%22WON%27T+DO+%28100%25%29%22" xr:uid="{01616887-05D0-44BA-870D-B1FF7AEFFCE8}"/>
    <hyperlink ref="C26" r:id="rId160" display="https://xrspace.atlassian.net/issues/?jql=created+%3E%3D+2025-02-01+AND+created+%3C%3D+2026-12-31+AND+type+%3D+Bug+AND+project+%3D+SOVA+AND+Sprint+%3D+4677+AND+status+%3D+%22STARTING+%2810+%7E+40%25%29%22" xr:uid="{C5B7DB27-233C-4F2A-A0F1-5D5C8E4D7006}"/>
    <hyperlink ref="F26" r:id="rId161" display="https://xrspace.atlassian.net/issues/?jql=created+%3E%3D+2025-02-01+AND+created+%3C%3D+2026-12-31+AND+type+%3D+Bug+AND+project+%3D+SOVA+AND+Sprint+%3D+4677+AND+status+%3D+%22READY+FOR+TESTING+%2890%25%29%22" xr:uid="{28FE0AF6-07C2-4BCF-9C84-4FA3F8947E90}"/>
    <hyperlink ref="B27" r:id="rId162" display="https://xrspace.atlassian.net/issues/?jql=created+%3E%3D+2025-02-01+AND+created+%3C%3D+2026-12-31+AND+type+%3D+Bug+AND+project+%3D+SOVA+AND+Sprint+%3D+4678+AND+status+%3D+%22To+Do+%280%25%29%22" xr:uid="{3F1BFDB0-8FEF-4B03-9B80-BFBBA6DED58A}"/>
    <hyperlink ref="D27" r:id="rId163" display="https://xrspace.atlassian.net/issues/?jql=created+%3E%3D+2025-02-01+AND+created+%3C%3D+2026-12-31+AND+type+%3D+Bug+AND+project+%3D+SOVA+AND+Sprint+%3D+4678+AND+status+%3D+%22In+Progress+%2850+%7E+70%25%29%22" xr:uid="{88820CF6-3163-490D-8566-3290DF72A3AA}"/>
    <hyperlink ref="G27" r:id="rId164" display="https://xrspace.atlassian.net/issues/?jql=created+%3E%3D+2025-02-01+AND+created+%3C%3D+2026-12-31+AND+type+%3D+Bug+AND+project+%3D+SOVA+AND+Sprint+%3D+4678+AND+status+%3D+%22Done+%28100%25%29%22" xr:uid="{962F555A-013B-4318-974D-5FC1690AC4CD}"/>
    <hyperlink ref="E27" r:id="rId165" display="https://xrspace.atlassian.net/issues/?jql=created+%3E%3D+2025-02-01+AND+created+%3C%3D+2026-12-31+AND+type+%3D+Bug+AND+project+%3D+SOVA+AND+Sprint+%3D+4678+AND+status+%3D+%22IN+REVIEW+%2880%25%29%22" xr:uid="{1B012E19-D779-402E-96A5-9B470EC23FA3}"/>
    <hyperlink ref="H27" r:id="rId166" display="https://xrspace.atlassian.net/issues/?jql=created+%3E%3D+2025-02-01+AND+created+%3C%3D+2026-12-31+AND+type+%3D+Bug+AND+project+%3D+SOVA+AND+Sprint+%3D+4678+AND+status+%3D+%22WON%27T+DO+%28100%25%29%22" xr:uid="{185DC5EB-5D6F-40E5-9597-979F5B23144A}"/>
    <hyperlink ref="C27" r:id="rId167" display="https://xrspace.atlassian.net/issues/?jql=created+%3E%3D+2025-02-01+AND+created+%3C%3D+2026-12-31+AND+type+%3D+Bug+AND+project+%3D+SOVA+AND+Sprint+%3D+4678+AND+status+%3D+%22STARTING+%2810+%7E+40%25%29%22" xr:uid="{9EC0D9BE-7428-41E0-B690-F9C98D4C905E}"/>
    <hyperlink ref="F27" r:id="rId168" display="https://xrspace.atlassian.net/issues/?jql=created+%3E%3D+2025-02-01+AND+created+%3C%3D+2026-12-31+AND+type+%3D+Bug+AND+project+%3D+SOVA+AND+Sprint+%3D+4678+AND+status+%3D+%22READY+FOR+TESTING+%2890%25%29%22" xr:uid="{D924C78A-7EB1-4B73-AD46-9CF3D3D00B10}"/>
    <hyperlink ref="B2" r:id="rId169" display="https://xrspace.atlassian.net/issues/?jql=created+%3E%3D+2025-02-01+AND+created+%3C%3D+2026-12-31+AND+type+%3D+Bug+AND+project+%3D+SOVA+AND+Sprint+%3D+EMPTY+AND+status+%3D+%22To+Do+%280%25%29%22" xr:uid="{C3E7CF5B-8526-4329-8920-3C4D26EC31A9}"/>
    <hyperlink ref="D2" r:id="rId170" display="https://xrspace.atlassian.net/issues/?jql=created+%3E%3D+2025-02-01+AND+created+%3C%3D+2026-12-31+AND+type+%3D+Bug+AND+project+%3D+SOVA+AND+Sprint+%3D+EMPTY+AND+status+%3D+%22In+Progress+%2850+%7E+70%25%29%22" xr:uid="{12BD1984-0B08-4350-8ED9-C83B6B039111}"/>
    <hyperlink ref="G2" r:id="rId171" display="https://xrspace.atlassian.net/issues/?jql=created+%3E%3D+2025-02-01+AND+created+%3C%3D+2026-12-31+AND+type+%3D+Bug+AND+project+%3D+SOVA+AND+Sprint+%3D+EMPTY+AND+status+%3D+%22Done+%28100%25%29%22" xr:uid="{1B273B89-FFAB-4775-A13C-A2BCC76215A9}"/>
    <hyperlink ref="E2" r:id="rId172" display="https://xrspace.atlassian.net/issues/?jql=created+%3E%3D+2025-02-01+AND+created+%3C%3D+2026-12-31+AND+type+%3D+Bug+AND+project+%3D+SOVA+AND+Sprint+%3D+EMPTY+AND+status+%3D+%22IN+REVIEW+%2880%25%29%22" xr:uid="{A96C42EE-3C33-42BA-A901-F4EF8F429CD7}"/>
    <hyperlink ref="H2" r:id="rId173" display="https://xrspace.atlassian.net/issues/?jql=created+%3E%3D+2025-02-01+AND+created+%3C%3D+2026-12-31+AND+type+%3D+Bug+AND+project+%3D+SOVA+AND+Sprint+%3D+EMPTY+AND+status+%3D+%22WON%27T+DO+%28100%25%29%22" xr:uid="{34864220-955C-4802-B200-B6D5E3959E41}"/>
    <hyperlink ref="C2" r:id="rId174" display="https://xrspace.atlassian.net/issues/?jql=created+%3E%3D+2025-02-01+AND+created+%3C%3D+2026-12-31+AND+type+%3D+Bug+AND+project+%3D+SOVA+AND+Sprint+%3D+EMPTY+AND+status+%3D+%22STARTING+%2810+%7E+40%25%29%22" xr:uid="{7BB6763D-FC38-4CD1-A317-5AFDB91A97CA}"/>
    <hyperlink ref="F2" r:id="rId175" display="https://xrspace.atlassian.net/issues/?jql=created+%3E%3D+2025-02-01+AND+created+%3C%3D+2026-12-31+AND+type+%3D+Bug+AND+project+%3D+SOVA+AND+Sprint+%3D+EMPTY+AND+status+%3D+%22READY+FOR+TESTING+%2890%25%29%22" xr:uid="{FEF51C2F-6D76-448E-806F-F2878600C9E6}"/>
    <hyperlink ref="B3" r:id="rId176" display="https://xrspace.atlassian.net/issues/?jql=created+%3E%3D+2025-02-01+AND+created+%3C%3D+2026-12-31+AND+type+%3D+Bug+AND+project+%3D+SOVA+AND+Sprint+%3D+2915+AND+status+%3D+%22To+Do+%280%25%29%22" xr:uid="{7D78EEF5-3AA8-4B35-917B-EC14A98B256C}"/>
    <hyperlink ref="D3" r:id="rId177" display="https://xrspace.atlassian.net/issues/?jql=created+%3E%3D+2025-02-01+AND+created+%3C%3D+2026-12-31+AND+type+%3D+Bug+AND+project+%3D+SOVA+AND+Sprint+%3D+2915+AND+status+%3D+%22In+Progress+%2850+%7E+70%25%29%22" xr:uid="{7FCE6098-B630-4CD9-A80C-DF5B1EB8D4EC}"/>
    <hyperlink ref="G3" r:id="rId178" display="https://xrspace.atlassian.net/issues/?jql=created+%3E%3D+2025-02-01+AND+created+%3C%3D+2026-12-31+AND+type+%3D+Bug+AND+project+%3D+SOVA+AND+Sprint+%3D+2915+AND+status+%3D+%22Done+%28100%25%29%22" xr:uid="{314923AC-AC7D-42A6-A582-A858BE7A06B0}"/>
    <hyperlink ref="E3" r:id="rId179" display="https://xrspace.atlassian.net/issues/?jql=created+%3E%3D+2025-02-01+AND+created+%3C%3D+2026-12-31+AND+type+%3D+Bug+AND+project+%3D+SOVA+AND+Sprint+%3D+2915+AND+status+%3D+%22IN+REVIEW+%2880%25%29%22" xr:uid="{7989CAE1-1F3F-41E8-8309-E17CFDC6160B}"/>
    <hyperlink ref="H3" r:id="rId180" display="https://xrspace.atlassian.net/issues/?jql=created+%3E%3D+2025-02-01+AND+created+%3C%3D+2026-12-31+AND+type+%3D+Bug+AND+project+%3D+SOVA+AND+Sprint+%3D+2915+AND+status+%3D+%22WON%27T+DO+%28100%25%29%22" xr:uid="{0521050B-BD22-42E2-9A80-3B6B44655902}"/>
    <hyperlink ref="C3" r:id="rId181" display="https://xrspace.atlassian.net/issues/?jql=created+%3E%3D+2025-02-01+AND+created+%3C%3D+2026-12-31+AND+type+%3D+Bug+AND+project+%3D+SOVA+AND+Sprint+%3D+2915+AND+status+%3D+%22STARTING+%2810+%7E+40%25%29%22" xr:uid="{76EF4C34-D9F9-4CE3-941C-F4703F7E2D2C}"/>
    <hyperlink ref="F3" r:id="rId182" display="https://xrspace.atlassian.net/issues/?jql=created+%3E%3D+2025-02-01+AND+created+%3C%3D+2026-12-31+AND+type+%3D+Bug+AND+project+%3D+SOVA+AND+Sprint+%3D+2915+AND+status+%3D+%22READY+FOR+TESTING+%2890%25%29%22" xr:uid="{4650FFD7-0961-400E-920D-B72AB6BD4105}"/>
  </hyperlinks>
  <pageMargins left="0.7" right="0.7" top="0.75" bottom="0.75" header="0.3" footer="0.3"/>
  <pageSetup orientation="portrait" r:id="rId183"/>
  <drawing r:id="rId184"/>
  <tableParts count="1">
    <tablePart r:id="rId18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9"/>
  <sheetViews>
    <sheetView workbookViewId="0">
      <selection activeCell="G17" sqref="G17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43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64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65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66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67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68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69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70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71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72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73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74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75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63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76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93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94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95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102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2026-02-06T09:49:17Z</dcterms:modified>
</cp:coreProperties>
</file>