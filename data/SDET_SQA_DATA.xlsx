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4756C83A-D820-459E-9DDD-9955A481BD60}" xr6:coauthVersionLast="47" xr6:coauthVersionMax="47" xr10:uidLastSave="{00000000-0000-0000-0000-000000000000}"/>
  <bookViews>
    <workbookView xWindow="-120" yWindow="-120" windowWidth="29040" windowHeight="15720" activeTab="2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9" i="2" l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E24" i="1"/>
  <c r="E17" i="6"/>
  <c r="E16" i="6"/>
  <c r="I21" i="5"/>
  <c r="I22" i="5"/>
  <c r="I23" i="5"/>
  <c r="H28" i="2"/>
  <c r="H27" i="2"/>
  <c r="E23" i="1"/>
  <c r="E25" i="1"/>
  <c r="E15" i="6"/>
  <c r="I20" i="5"/>
  <c r="E22" i="1"/>
  <c r="E14" i="6"/>
  <c r="E13" i="6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H25" i="2"/>
  <c r="E21" i="1"/>
  <c r="E12" i="6"/>
  <c r="E20" i="1"/>
  <c r="E19" i="1"/>
  <c r="H24" i="2"/>
  <c r="H23" i="2"/>
  <c r="E18" i="1"/>
  <c r="E10" i="6"/>
  <c r="E17" i="1"/>
  <c r="H26" i="2"/>
  <c r="E9" i="6"/>
  <c r="H22" i="2"/>
  <c r="H21" i="2"/>
  <c r="E8" i="6"/>
  <c r="H19" i="2"/>
  <c r="E6" i="6"/>
  <c r="E15" i="1"/>
  <c r="E5" i="6"/>
  <c r="E16" i="1"/>
  <c r="H18" i="2"/>
  <c r="E7" i="6"/>
  <c r="E14" i="1"/>
  <c r="H20" i="2"/>
  <c r="E13" i="1"/>
  <c r="E12" i="1"/>
  <c r="E3" i="6"/>
  <c r="E2" i="6"/>
  <c r="E4" i="6"/>
  <c r="H16" i="2"/>
  <c r="E2" i="1"/>
  <c r="E3" i="1"/>
  <c r="E4" i="1"/>
  <c r="E5" i="1"/>
  <c r="E6" i="1"/>
  <c r="E7" i="1"/>
  <c r="E8" i="1"/>
  <c r="E9" i="1"/>
  <c r="E10" i="1"/>
  <c r="E11" i="1"/>
  <c r="H14" i="2"/>
  <c r="H6" i="2"/>
  <c r="H2" i="2"/>
  <c r="H4" i="2"/>
  <c r="H8" i="2"/>
  <c r="H10" i="2"/>
  <c r="H12" i="2"/>
</calcChain>
</file>

<file path=xl/sharedStrings.xml><?xml version="1.0" encoding="utf-8"?>
<sst xmlns="http://schemas.openxmlformats.org/spreadsheetml/2006/main" count="173" uniqueCount="100">
  <si>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</si>
  <si>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</si>
  <si>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</si>
  <si>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</si>
  <si>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</si>
  <si>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</si>
  <si>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</si>
  <si>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</si>
  <si>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</si>
  <si>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</si>
  <si>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</si>
  <si>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</si>
  <si>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</si>
  <si>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</si>
  <si>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</si>
  <si>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</si>
  <si>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</si>
  <si>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</si>
  <si>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</si>
  <si>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v1.15</t>
  </si>
  <si>
    <t>v1.16</t>
  </si>
  <si>
    <t>v1.17</t>
  </si>
  <si>
    <t>v1.18</t>
  </si>
  <si>
    <t>v1.19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</si>
  <si>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</si>
  <si>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</si>
  <si>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</si>
  <si>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</si>
  <si>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</si>
  <si>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</si>
  <si>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</si>
  <si>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</si>
  <si>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</si>
  <si>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</si>
  <si>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</si>
  <si>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</si>
  <si>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</si>
  <si>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</si>
  <si>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</si>
  <si>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</si>
  <si>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</si>
  <si>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</si>
  <si>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</si>
  <si>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</si>
  <si>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</si>
  <si>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</si>
  <si>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</si>
  <si>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</si>
  <si>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</si>
  <si>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</si>
  <si>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</si>
  <si>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</si>
  <si>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</si>
  <si>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</si>
  <si>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</si>
  <si>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</si>
  <si>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</si>
  <si>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</si>
  <si>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</si>
  <si>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</si>
  <si>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</si>
  <si>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</si>
  <si>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</si>
  <si>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</si>
  <si>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</si>
  <si>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</si>
  <si>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</si>
  <si>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y26w2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</si>
  <si>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</si>
  <si>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</si>
  <si>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</si>
  <si>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</si>
  <si>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</si>
  <si>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</si>
  <si>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</si>
  <si>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</si>
  <si>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</si>
  <si>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</si>
  <si>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</si>
  <si>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</si>
  <si>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</si>
  <si>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</si>
  <si>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</si>
  <si>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</si>
  <si>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</si>
  <si>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</si>
  <si>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</si>
  <si>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</si>
  <si>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</si>
  <si>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</si>
  <si>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</si>
  <si>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</si>
  <si>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</si>
  <si>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</si>
  <si>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</si>
  <si>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</si>
  <si>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y26w4</t>
  </si>
  <si>
    <t>y26w6</t>
  </si>
  <si>
    <t>26W03</t>
  </si>
  <si>
    <t>26W04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</si>
</sst>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6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TestAutomationProgress!$A$2:$A$25</c:f>
              <c:strCache>
                <c:ptCount val="24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</c:strCache>
            </c:strRef>
          </c:cat>
          <c:val>
            <c:numRef>
              <c:f>TestAutomationProgress!$B$2:$B$25</c:f>
              <c:numCache>
                <c:formatCode>General</c:formatCode>
                <c:ptCount val="24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TestAutomationProgress!$A$2:$A$25</c:f>
              <c:strCache>
                <c:ptCount val="24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</c:strCache>
            </c:strRef>
          </c:cat>
          <c:val>
            <c:numRef>
              <c:f>TestAutomationProgress!$C$2:$C$25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8</c:v>
                </c:pt>
                <c:pt idx="17">
                  <c:v>6</c:v>
                </c:pt>
                <c:pt idx="18">
                  <c:v>5</c:v>
                </c:pt>
                <c:pt idx="19">
                  <c:v>5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TestAutomationProgress!$A$2:$A$25</c:f>
              <c:strCache>
                <c:ptCount val="24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</c:strCache>
            </c:strRef>
          </c:cat>
          <c:val>
            <c:numRef>
              <c:f>TestAutomationProgress!$D$2:$D$25</c:f>
              <c:numCache>
                <c:formatCode>General</c:formatCode>
                <c:ptCount val="24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  <c:pt idx="16">
                  <c:v>160</c:v>
                </c:pt>
                <c:pt idx="17">
                  <c:v>160</c:v>
                </c:pt>
                <c:pt idx="18">
                  <c:v>160</c:v>
                </c:pt>
                <c:pt idx="19">
                  <c:v>160</c:v>
                </c:pt>
                <c:pt idx="20">
                  <c:v>162</c:v>
                </c:pt>
                <c:pt idx="21">
                  <c:v>162</c:v>
                </c:pt>
                <c:pt idx="22">
                  <c:v>162</c:v>
                </c:pt>
                <c:pt idx="23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'Humi-TestResult'!$B$2:$B$17</c:f>
              <c:numCache>
                <c:formatCode>General</c:formatCode>
                <c:ptCount val="16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  <c:pt idx="15">
                  <c:v>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'Humi-TestResult'!$C$2:$C$17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'Humi-TestResult'!$D$2:$D$17</c:f>
              <c:numCache>
                <c:formatCode>General</c:formatCode>
                <c:ptCount val="16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'Humi-TestResult'!$E$2:$E$17</c:f>
              <c:numCache>
                <c:formatCode>General</c:formatCode>
                <c:ptCount val="16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'Humi-TestResult'!$F$2:$F$17</c:f>
              <c:numCache>
                <c:formatCode>General</c:formatCode>
                <c:ptCount val="1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'Humi-TestResult'!$G$2:$G$17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'Humi-TestResult'!$H$2:$H$17</c:f>
              <c:numCache>
                <c:formatCode>General</c:formatCode>
                <c:ptCount val="16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  <c:pt idx="15">
                  <c:v>1442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'SOVA-TestResult'!$B$2:$B$30</c:f>
              <c:numCache>
                <c:formatCode>General</c:formatCode>
                <c:ptCount val="29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'SOVA-TestResult'!$C$2:$C$30</c:f>
              <c:numCache>
                <c:formatCode>General</c:formatCode>
                <c:ptCount val="29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'SOVA-TestResult'!$D$2:$D$30</c:f>
              <c:numCache>
                <c:formatCode>General</c:formatCode>
                <c:ptCount val="29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'SOVA-TestResult'!$E$2:$E$30</c:f>
              <c:numCache>
                <c:formatCode>General</c:formatCode>
                <c:ptCount val="29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'SOVA-TestResult'!$F$2:$F$30</c:f>
              <c:numCache>
                <c:formatCode>General</c:formatCode>
                <c:ptCount val="29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'SOVA-TestResult'!$G$2:$G$30</c:f>
              <c:numCache>
                <c:formatCode>General</c:formatCode>
                <c:ptCount val="29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'SOVA-TestResult'!$H$2:$H$30</c:f>
              <c:numCache>
                <c:formatCode>General</c:formatCode>
                <c:ptCount val="29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'Humi-BugTrend'!$B$2:$B$24</c:f>
              <c:numCache>
                <c:formatCode>General</c:formatCode>
                <c:ptCount val="23"/>
                <c:pt idx="0">
                  <c:v>8</c:v>
                </c:pt>
                <c:pt idx="1">
                  <c:v>7</c:v>
                </c:pt>
                <c:pt idx="2">
                  <c:v>25</c:v>
                </c:pt>
                <c:pt idx="3">
                  <c:v>30</c:v>
                </c:pt>
                <c:pt idx="4">
                  <c:v>14</c:v>
                </c:pt>
                <c:pt idx="5">
                  <c:v>15</c:v>
                </c:pt>
                <c:pt idx="6">
                  <c:v>7</c:v>
                </c:pt>
                <c:pt idx="7">
                  <c:v>18</c:v>
                </c:pt>
                <c:pt idx="8">
                  <c:v>17</c:v>
                </c:pt>
                <c:pt idx="9">
                  <c:v>26</c:v>
                </c:pt>
                <c:pt idx="10">
                  <c:v>14</c:v>
                </c:pt>
                <c:pt idx="11">
                  <c:v>10</c:v>
                </c:pt>
                <c:pt idx="12">
                  <c:v>6</c:v>
                </c:pt>
                <c:pt idx="13">
                  <c:v>11</c:v>
                </c:pt>
                <c:pt idx="14">
                  <c:v>2</c:v>
                </c:pt>
                <c:pt idx="15">
                  <c:v>13</c:v>
                </c:pt>
                <c:pt idx="16">
                  <c:v>1</c:v>
                </c:pt>
                <c:pt idx="17">
                  <c:v>4</c:v>
                </c:pt>
                <c:pt idx="18">
                  <c:v>17</c:v>
                </c:pt>
                <c:pt idx="19">
                  <c:v>6</c:v>
                </c:pt>
                <c:pt idx="20">
                  <c:v>9</c:v>
                </c:pt>
                <c:pt idx="21">
                  <c:v>8</c:v>
                </c:pt>
                <c:pt idx="2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'Humi-BugTrend'!$C$2:$C$24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'Humi-BugTrend'!$D$2:$D$24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'Humi-BugTrend'!$E$2:$E$24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'Humi-BugTrend'!$F$2:$F$24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'Humi-BugTrend'!$G$2:$G$24</c:f>
              <c:numCache>
                <c:formatCode>General</c:formatCode>
                <c:ptCount val="23"/>
                <c:pt idx="0">
                  <c:v>93</c:v>
                </c:pt>
                <c:pt idx="1">
                  <c:v>59</c:v>
                </c:pt>
                <c:pt idx="2">
                  <c:v>168</c:v>
                </c:pt>
                <c:pt idx="3">
                  <c:v>156</c:v>
                </c:pt>
                <c:pt idx="4">
                  <c:v>77</c:v>
                </c:pt>
                <c:pt idx="5">
                  <c:v>61</c:v>
                </c:pt>
                <c:pt idx="6">
                  <c:v>46</c:v>
                </c:pt>
                <c:pt idx="7">
                  <c:v>43</c:v>
                </c:pt>
                <c:pt idx="8">
                  <c:v>33</c:v>
                </c:pt>
                <c:pt idx="9">
                  <c:v>25</c:v>
                </c:pt>
                <c:pt idx="10">
                  <c:v>56</c:v>
                </c:pt>
                <c:pt idx="11">
                  <c:v>40</c:v>
                </c:pt>
                <c:pt idx="12">
                  <c:v>33</c:v>
                </c:pt>
                <c:pt idx="13">
                  <c:v>29</c:v>
                </c:pt>
                <c:pt idx="14">
                  <c:v>1</c:v>
                </c:pt>
                <c:pt idx="15">
                  <c:v>9</c:v>
                </c:pt>
                <c:pt idx="16">
                  <c:v>12</c:v>
                </c:pt>
                <c:pt idx="17">
                  <c:v>8</c:v>
                </c:pt>
                <c:pt idx="18">
                  <c:v>37</c:v>
                </c:pt>
                <c:pt idx="19">
                  <c:v>36</c:v>
                </c:pt>
                <c:pt idx="20">
                  <c:v>33</c:v>
                </c:pt>
                <c:pt idx="21">
                  <c:v>12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'Humi-BugTrend'!$H$2:$H$24</c:f>
              <c:numCache>
                <c:formatCode>General</c:formatCode>
                <c:ptCount val="23"/>
                <c:pt idx="0">
                  <c:v>93</c:v>
                </c:pt>
                <c:pt idx="1">
                  <c:v>59</c:v>
                </c:pt>
                <c:pt idx="2">
                  <c:v>168</c:v>
                </c:pt>
                <c:pt idx="3">
                  <c:v>156</c:v>
                </c:pt>
                <c:pt idx="4">
                  <c:v>77</c:v>
                </c:pt>
                <c:pt idx="5">
                  <c:v>61</c:v>
                </c:pt>
                <c:pt idx="6">
                  <c:v>46</c:v>
                </c:pt>
                <c:pt idx="7">
                  <c:v>43</c:v>
                </c:pt>
                <c:pt idx="8">
                  <c:v>33</c:v>
                </c:pt>
                <c:pt idx="9">
                  <c:v>25</c:v>
                </c:pt>
                <c:pt idx="10">
                  <c:v>56</c:v>
                </c:pt>
                <c:pt idx="11">
                  <c:v>40</c:v>
                </c:pt>
                <c:pt idx="12">
                  <c:v>33</c:v>
                </c:pt>
                <c:pt idx="13">
                  <c:v>28</c:v>
                </c:pt>
                <c:pt idx="14">
                  <c:v>1</c:v>
                </c:pt>
                <c:pt idx="15">
                  <c:v>9</c:v>
                </c:pt>
                <c:pt idx="16">
                  <c:v>12</c:v>
                </c:pt>
                <c:pt idx="17">
                  <c:v>8</c:v>
                </c:pt>
                <c:pt idx="18">
                  <c:v>37</c:v>
                </c:pt>
                <c:pt idx="19">
                  <c:v>36</c:v>
                </c:pt>
                <c:pt idx="20">
                  <c:v>32</c:v>
                </c:pt>
                <c:pt idx="21">
                  <c:v>10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'SOVA-BugTrend'!$B$2:$B$23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9</c:v>
                </c:pt>
                <c:pt idx="19">
                  <c:v>3</c:v>
                </c:pt>
                <c:pt idx="20">
                  <c:v>12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'SOVA-BugTrend'!$C$2:$C$23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'SOVA-BugTrend'!$D$2:$D$23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4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'SOVA-BugTrend'!$E$2:$E$23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7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'SOVA-BugTrend'!$F$2:$F$23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'SOVA-BugTrend'!$G$2:$G$23</c:f>
              <c:numCache>
                <c:formatCode>General</c:formatCode>
                <c:ptCount val="22"/>
                <c:pt idx="0">
                  <c:v>20</c:v>
                </c:pt>
                <c:pt idx="1">
                  <c:v>20</c:v>
                </c:pt>
                <c:pt idx="2">
                  <c:v>16</c:v>
                </c:pt>
                <c:pt idx="3">
                  <c:v>16</c:v>
                </c:pt>
                <c:pt idx="4">
                  <c:v>55</c:v>
                </c:pt>
                <c:pt idx="5">
                  <c:v>35</c:v>
                </c:pt>
                <c:pt idx="6">
                  <c:v>39</c:v>
                </c:pt>
                <c:pt idx="7">
                  <c:v>39</c:v>
                </c:pt>
                <c:pt idx="8">
                  <c:v>45</c:v>
                </c:pt>
                <c:pt idx="9">
                  <c:v>18</c:v>
                </c:pt>
                <c:pt idx="10">
                  <c:v>25</c:v>
                </c:pt>
                <c:pt idx="11">
                  <c:v>45</c:v>
                </c:pt>
                <c:pt idx="12">
                  <c:v>24</c:v>
                </c:pt>
                <c:pt idx="13">
                  <c:v>43</c:v>
                </c:pt>
                <c:pt idx="14">
                  <c:v>35</c:v>
                </c:pt>
                <c:pt idx="15">
                  <c:v>29</c:v>
                </c:pt>
                <c:pt idx="16">
                  <c:v>38</c:v>
                </c:pt>
                <c:pt idx="17">
                  <c:v>30</c:v>
                </c:pt>
                <c:pt idx="18">
                  <c:v>28</c:v>
                </c:pt>
                <c:pt idx="19">
                  <c:v>26</c:v>
                </c:pt>
                <c:pt idx="20">
                  <c:v>1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'SOVA-BugTrend'!$H$2:$H$23</c:f>
              <c:numCache>
                <c:formatCode>General</c:formatCode>
                <c:ptCount val="2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'SOVA-BugTrend'!$I$2:$I$23</c:f>
              <c:numCache>
                <c:formatCode>General</c:formatCode>
                <c:ptCount val="22"/>
                <c:pt idx="0">
                  <c:v>23</c:v>
                </c:pt>
                <c:pt idx="1">
                  <c:v>22</c:v>
                </c:pt>
                <c:pt idx="2">
                  <c:v>18</c:v>
                </c:pt>
                <c:pt idx="3">
                  <c:v>18</c:v>
                </c:pt>
                <c:pt idx="4">
                  <c:v>59</c:v>
                </c:pt>
                <c:pt idx="5">
                  <c:v>39</c:v>
                </c:pt>
                <c:pt idx="6">
                  <c:v>42</c:v>
                </c:pt>
                <c:pt idx="7">
                  <c:v>46</c:v>
                </c:pt>
                <c:pt idx="8">
                  <c:v>53</c:v>
                </c:pt>
                <c:pt idx="9">
                  <c:v>20</c:v>
                </c:pt>
                <c:pt idx="10">
                  <c:v>32</c:v>
                </c:pt>
                <c:pt idx="11">
                  <c:v>53</c:v>
                </c:pt>
                <c:pt idx="12">
                  <c:v>25</c:v>
                </c:pt>
                <c:pt idx="13">
                  <c:v>43</c:v>
                </c:pt>
                <c:pt idx="14">
                  <c:v>35</c:v>
                </c:pt>
                <c:pt idx="15">
                  <c:v>29</c:v>
                </c:pt>
                <c:pt idx="16">
                  <c:v>44</c:v>
                </c:pt>
                <c:pt idx="17">
                  <c:v>36</c:v>
                </c:pt>
                <c:pt idx="18">
                  <c:v>37</c:v>
                </c:pt>
                <c:pt idx="19">
                  <c:v>31</c:v>
                </c:pt>
                <c:pt idx="20">
                  <c:v>27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27</xdr:row>
      <xdr:rowOff>171448</xdr:rowOff>
    </xdr:from>
    <xdr:to>
      <xdr:col>8</xdr:col>
      <xdr:colOff>95250</xdr:colOff>
      <xdr:row>56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114300</xdr:rowOff>
    </xdr:from>
    <xdr:to>
      <xdr:col>6</xdr:col>
      <xdr:colOff>1028700</xdr:colOff>
      <xdr:row>47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33</xdr:row>
      <xdr:rowOff>69662</xdr:rowOff>
    </xdr:from>
    <xdr:to>
      <xdr:col>6</xdr:col>
      <xdr:colOff>1057275</xdr:colOff>
      <xdr:row>62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26</xdr:row>
      <xdr:rowOff>142875</xdr:rowOff>
    </xdr:from>
    <xdr:to>
      <xdr:col>8</xdr:col>
      <xdr:colOff>428625</xdr:colOff>
      <xdr:row>55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27</xdr:row>
      <xdr:rowOff>12700</xdr:rowOff>
    </xdr:from>
    <xdr:to>
      <xdr:col>8</xdr:col>
      <xdr:colOff>219075</xdr:colOff>
      <xdr:row>56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5" totalsRowShown="0" headerRowDxfId="35">
  <autoFilter ref="A1:E25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4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7" totalsRowShown="0" headerRowDxfId="33">
  <autoFilter ref="A1:H17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 dataDxfId="32">
      <calculatedColumnFormula>SUM(Table1[[#This Row],[Passed]:[Untested]])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30" totalsRowShown="0" headerRowDxfId="31">
  <autoFilter ref="A1:H30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4" totalsRowShown="0" headerRowDxfId="29">
  <autoFilter ref="A1:H24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3" totalsRowShown="0" headerRowDxfId="20" dataDxfId="18" headerRowBorderDxfId="19" tableBorderDxfId="17" totalsRowBorderDxfId="16" dataCellStyle="Hyperlink">
  <autoFilter ref="A1:I23" xr:uid="{108F5145-A108-41DB-B2C3-516BE7C86923}"/>
  <tableColumns count="9">
    <tableColumn id="1" xr3:uid="{5BE08AE0-E0B5-4B46-9423-456B88C2D9BC}" name="Sprint" dataDxfId="15"/>
    <tableColumn id="2" xr3:uid="{030F9647-4FC0-4C7E-9B3A-AB099CC59EBA}" name="To Do (0%)" dataDxfId="14" dataCellStyle="Hyperlink"/>
    <tableColumn id="3" xr3:uid="{7D2923F3-E2CF-4FD9-A7A5-68C36BB95591}" name="STARTING (10 ~ 40%)" dataDxfId="13" dataCellStyle="Hyperlink"/>
    <tableColumn id="4" xr3:uid="{48FB5317-7F3B-4F74-B244-5A49C7749EBD}" name="In Progress (50 ~ 70%)" dataDxfId="12" dataCellStyle="Hyperlink"/>
    <tableColumn id="5" xr3:uid="{86F5CCB5-C4C2-4C36-935A-657F085500B1}" name="IN REVIEW (80%)" dataDxfId="11" dataCellStyle="Hyperlink"/>
    <tableColumn id="9" xr3:uid="{51D22AE3-424C-4604-9869-D672DED4301F}" name="READY FOR TESTING (90%)" dataDxfId="10" dataCellStyle="Hyperlink"/>
    <tableColumn id="6" xr3:uid="{33C9BCE6-D9EB-4032-9B0A-DDD9A4051A2D}" name="Done (100%)" dataDxfId="9" dataCellStyle="Hyperlink"/>
    <tableColumn id="8" xr3:uid="{D624FC89-A88E-45AC-9D22-66D66702B8C5}" name="WON'T DO (100%)" dataDxfId="8" dataCellStyle="Hyperlink"/>
    <tableColumn id="7" xr3:uid="{EFEEB7EC-E2D1-40EA-B265-A558311E5D30}" name="Total" dataDxfId="7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17" totalsRowShown="0" headerRowDxfId="6" dataDxfId="5">
  <autoFilter ref="A1:E17" xr:uid="{2C55E946-0086-4A42-AEAE-DA5ED4E8BB10}"/>
  <tableColumns count="5">
    <tableColumn id="1" xr3:uid="{7070D9F2-0ED1-4F39-8D72-28B37C8E98F2}" name="Week" dataDxfId="4"/>
    <tableColumn id="2" xr3:uid="{1173F443-CC27-4C6E-A432-BF66DB2A740E}" name="Done" dataDxfId="3"/>
    <tableColumn id="3" xr3:uid="{2EE10CB5-1AF1-4B50-9456-B3A666DD5338}" name="In Review/Progress" dataDxfId="2"/>
    <tableColumn id="4" xr3:uid="{328D0A00-85F0-4BFF-81FE-C023998A3701}" name="TODO (P1)" dataDxfId="1"/>
    <tableColumn id="5" xr3:uid="{E385808E-1FCD-451C-9807-DAF18A42B704}" name="Total" dataDxfId="0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1496+AND+status+%3D+%22READY+FOR+TESTING+%289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1499+AND+status+%3D+%22READY+FOR+TESTING+%289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2618+AND+status+%3D+%22READY+FOR+TESTING+%289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3213+AND+status+%3D+%22READY+FOR+TESTING+%2890%25%29%22" TargetMode="External"/><Relationship Id="rId138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3608+AND+status+%3D+%22In+Progress+%2850+%7E+7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1466+AND+status+%3D+%22IN+REVIEW+%288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1498+AND+status+%3D+%22IN+REVIEW+%288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4140+AND+status+%3D+%22In+Progress+%2850+%7E+70%25%29%22" TargetMode="External"/><Relationship Id="rId149" Type="http://schemas.openxmlformats.org/officeDocument/2006/relationships/hyperlink" Target="https://xrspace.atlassian.net/issues/?jql=created+%3E%3D+2025-02-01+AND+created+%3C%3D+2026-12-31+AND+type+%3D+Bug+AND+project+%3D+SOVA+AND+Sprint+%3D+4478+AND+status+%3D+%22In+Progress+%2850+%7E+70%25%29%22" TargetMode="External"/><Relationship Id="rId5" Type="http://schemas.openxmlformats.org/officeDocument/2006/relationships/hyperlink" Target="https://xrspace.atlassian.net/issues/?jql=created+%3E%3D+2025-02-01+AND+created+%3C%3D+2026-12-31+AND+type+%3D+Bug+AND+project+%3D+SOVA+AND+Sprint+%3D+1463+AND+status+%3D+%22WON%27T+DO+%2810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1497+AND+status+%3D+%22To+Do+%28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2156+AND+status+%3D+%22To+Do+%28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139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Relationship Id="rId80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150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Relationship Id="rId155" Type="http://schemas.openxmlformats.org/officeDocument/2006/relationships/printerSettings" Target="../printerSettings/printerSettings3.bin"/><Relationship Id="rId12" Type="http://schemas.openxmlformats.org/officeDocument/2006/relationships/hyperlink" Target="https://xrspace.atlassian.net/issues/?jql=created+%3E%3D+2025-02-01+AND+created+%3C%3D+2026-12-31+AND+type+%3D+Bug+AND+project+%3D+SOVA+AND+Sprint+%3D+1466+AND+status+%3D+%22WON%27T+DO+%28100%25%29%22" TargetMode="External"/><Relationship Id="rId17" Type="http://schemas.openxmlformats.org/officeDocument/2006/relationships/hyperlink" Target="https://xrspace.atlassian.net/issues/?jql=created+%3E%3D+2025-02-01+AND+created+%3C%3D+2026-12-31+AND+type+%3D+Bug+AND+project+%3D+SOVA+AND+Sprint+%3D+1496+AND+status+%3D+%22Done+%2810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1498+AND+status+%3D+%22WON%27T+DO+%2810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1499+AND+status+%3D+%22Done+%2810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2619+AND+status+%3D+%22READY+FOR+TESTING+%289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3245+AND+status+%3D+%22READY+FOR+TESTING+%289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140" Type="http://schemas.openxmlformats.org/officeDocument/2006/relationships/hyperlink" Target="https://xrspace.atlassian.net/issues/?jql=created+%3E%3D+2025-02-01+AND+created+%3C%3D+2026-12-31+AND+type+%3D+Bug+AND+project+%3D+SOVA+AND+Sprint+%3D+4206+AND+status+%3D+%22READY+FOR+TESTING+%2890%25%29%22" TargetMode="External"/><Relationship Id="rId145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1463+AND+status+%3D+%22To+Do+%28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1463+AND+status+%3D+%22STARTING+%2810+%7E+4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1497+AND+status+%3D+%22In+Progress+%2850+%7E+7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1497+AND+status+%3D+%22READY+FOR+TESTING+%289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2156+AND+status+%3D+%22READY+FOR+TESTING+%289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3872+AND+status+%3D+%22In+Progress+%2850+%7E+7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3872+AND+status+%3D+%22READY+FOR+TESTING+%289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2156+AND+status+%3D+%22In+Progress+%2850+%7E+7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2619+AND+status+%3D+%22In+Progress+%2850+%7E+7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3245+AND+status+%3D+%22In+Progress+%2850+%7E+7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135" Type="http://schemas.openxmlformats.org/officeDocument/2006/relationships/hyperlink" Target="https://xrspace.atlassian.net/issues/?jql=created+%3E%3D+2025-02-01+AND+created+%3C%3D+2026-12-31+AND+type+%3D+Bug+AND+project+%3D+SOVA+AND+Sprint+%3D+4206+AND+status+%3D+%22In+Progress+%2850+%7E+70%25%29%22" TargetMode="External"/><Relationship Id="rId151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156" Type="http://schemas.openxmlformats.org/officeDocument/2006/relationships/drawing" Target="../drawings/drawing5.xml"/><Relationship Id="rId13" Type="http://schemas.openxmlformats.org/officeDocument/2006/relationships/hyperlink" Target="https://xrspace.atlassian.net/issues/?jql=created+%3E%3D+2025-02-01+AND+created+%3C%3D+2026-12-31+AND+type+%3D+Bug+AND+project+%3D+SOVA+AND+Sprint+%3D+1466+AND+status+%3D+%22STARTING+%2810+%7E+4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1496+AND+status+%3D+%22IN+REVIEW+%288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1499+AND+status+%3D+%22IN+REVIEW+%288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1498+AND+status+%3D+%22STARTING+%2810+%7E+4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141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146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7" Type="http://schemas.openxmlformats.org/officeDocument/2006/relationships/hyperlink" Target="https://xrspace.atlassian.net/issues/?jql=created+%3E%3D+2025-02-01+AND+created+%3C%3D+2026-12-31+AND+type+%3D+Bug+AND+project+%3D+SOVA+AND+Sprint+%3D+1463+AND+status+%3D+%22READY+FOR+TESTING+%289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2" Type="http://schemas.openxmlformats.org/officeDocument/2006/relationships/hyperlink" Target="https://xrspace.atlassian.net/issues/?jql=created+%3E%3D+2025-02-01+AND+created+%3C%3D+2026-12-31+AND+type+%3D+Bug+AND+project+%3D+SOVA+AND+Sprint+%3D+1463+AND+status+%3D+%22In+Progress+%2850+%7E+7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1498+AND+status+%3D+%22To+Do+%28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1497+AND+status+%3D+%22Done+%2810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1499+AND+status+%3D+%22WON%27T+DO+%2810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2156+AND+status+%3D+%22Done+%2810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136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157" Type="http://schemas.openxmlformats.org/officeDocument/2006/relationships/table" Target="../tables/table5.xml"/><Relationship Id="rId61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152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1496+AND+status+%3D+%22WON%27T+DO+%2810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1466+AND+status+%3D+%22READY+FOR+TESTING+%289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1498+AND+status+%3D+%22In+Progress+%2850+%7E+7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1498+AND+status+%3D+%22READY+FOR+TESTING+%289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2157+AND+status+%3D+%22READY+FOR+TESTING+%289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2882+AND+status+%3D+%22READY+FOR+TESTING+%289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3575+AND+status+%3D+%22In+Progress+%2850+%7E+7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3575+AND+status+%3D+%22READY+FOR+TESTING+%289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3873+AND+status+%3D+%22READY+FOR+TESTING+%2890%25%29%22" TargetMode="External"/><Relationship Id="rId147" Type="http://schemas.openxmlformats.org/officeDocument/2006/relationships/hyperlink" Target="https://xrspace.atlassian.net/issues/?jql=created+%3E%3D+2025-02-01+AND+created+%3C%3D+2026-12-31+AND+type+%3D+Bug+AND+project+%3D+SOVA+AND+Sprint+%3D+4477+AND+status+%3D+%22READY+FOR+TESTING+%289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1466+AND+status+%3D+%22To+Do+%28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2157+AND+status+%3D+%22In+Progress+%2850+%7E+7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2882+AND+status+%3D+%22In+Progress+%2850+%7E+7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3246+AND+status+%3D+%22In+Progress+%2850+%7E+7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3246+AND+status+%3D+%22READY+FOR+TESTING+%289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3873+AND+status+%3D+%22In+Progress+%2850+%7E+70%25%29%22" TargetMode="External"/><Relationship Id="rId142" Type="http://schemas.openxmlformats.org/officeDocument/2006/relationships/hyperlink" Target="https://xrspace.atlassian.net/issues/?jql=created+%3E%3D+2025-02-01+AND+created+%3C%3D+2026-12-31+AND+type+%3D+Bug+AND+project+%3D+SOVA+AND+Sprint+%3D+4477+AND+status+%3D+%22In+Progress+%2850+%7E+70%25%29%22" TargetMode="External"/><Relationship Id="rId3" Type="http://schemas.openxmlformats.org/officeDocument/2006/relationships/hyperlink" Target="https://xrspace.atlassian.net/issues/?jql=created+%3E%3D+2025-02-01+AND+created+%3C%3D+2026-12-31+AND+type+%3D+Bug+AND+project+%3D+SOVA+AND+Sprint+%3D+1463+AND+status+%3D+%22Done+%2810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1497+AND+status+%3D+%22IN+REVIEW+%28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2156+AND+status+%3D+%22IN+REVIEW+%288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137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1496+AND+status+%3D+%22STARTING+%2810+%7E+4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1499+AND+status+%3D+%22STARTING+%2810+%7E+4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153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1496+AND+status+%3D+%22To+Do+%28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1499+AND+status+%3D+%22To+Do+%28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1466+AND+status+%3D+%22Done+%2810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1498+AND+status+%3D+%22Done+%2810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143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148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4" Type="http://schemas.openxmlformats.org/officeDocument/2006/relationships/hyperlink" Target="https://xrspace.atlassian.net/issues/?jql=created+%3E%3D+2025-02-01+AND+created+%3C%3D+2026-12-31+AND+type+%3D+Bug+AND+project+%3D+SOVA+AND+Sprint+%3D+1463+AND+status+%3D+%22IN+REVIEW+%288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1466+AND+status+%3D+%22In+Progress+%2850+%7E+7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1497+AND+status+%3D+%22WON%27T+DO+%2810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2156+AND+status+%3D+%22WON%27T+DO+%2810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3608+AND+status+%3D+%22READY+FOR+TESTING+%2890%25%29%22" TargetMode="External"/><Relationship Id="rId133" Type="http://schemas.openxmlformats.org/officeDocument/2006/relationships/hyperlink" Target="https://xrspace.atlassian.net/issues/?jql=created+%3E%3D+2025-02-01+AND+created+%3C%3D+2026-12-31+AND+type+%3D+Bug+AND+project+%3D+SOVA+AND+Sprint+%3D+4140+AND+status+%3D+%22READY+FOR+TESTING+%2890%25%29%22" TargetMode="External"/><Relationship Id="rId154" Type="http://schemas.openxmlformats.org/officeDocument/2006/relationships/hyperlink" Target="https://xrspace.atlassian.net/issues/?jql=created+%3E%3D+2025-02-01+AND+created+%3C%3D+2026-12-31+AND+type+%3D+Bug+AND+project+%3D+SOVA+AND+Sprint+%3D+4478+AND+status+%3D+%22READY+FOR+TESTING+%289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1496+AND+status+%3D+%22In+Progress+%2850+%7E+7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1499+AND+status+%3D+%22In+Progress+%2850+%7E+7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2618+AND+status+%3D+%22In+Progress+%2850+%7E+7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3213+AND+status+%3D+%22In+Progress+%2850+%7E+7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144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1497+AND+status+%3D+%22STARTING+%2810+%7E+4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2156+AND+status+%3D+%22STARTING+%2810+%7E+4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134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5"/>
  <sheetViews>
    <sheetView zoomScaleNormal="100" workbookViewId="0">
      <selection activeCell="F25" sqref="F25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48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82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1.95" customHeight="1">
      <c r="A3" t="s">
        <v>83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1.95" customHeight="1">
      <c r="A4" t="s">
        <v>84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1.95" customHeight="1">
      <c r="A5" t="s">
        <v>85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1.95" customHeight="1">
      <c r="A6" t="s">
        <v>86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1.95" customHeight="1">
      <c r="A7" t="s">
        <v>87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1.95" customHeight="1">
      <c r="A8" t="s">
        <v>88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1.95" customHeight="1">
      <c r="A9" t="s">
        <v>89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1.95" customHeight="1">
      <c r="A10" t="s">
        <v>90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1.95" customHeight="1">
      <c r="A11" t="s">
        <v>69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1.95" customHeight="1">
      <c r="A12" t="s">
        <v>70</v>
      </c>
      <c r="B12">
        <v>13</v>
      </c>
      <c r="C12">
        <v>11</v>
      </c>
      <c r="D12">
        <v>172</v>
      </c>
      <c r="E12" s="12">
        <f>SUM(Table2[[#This Row],[Done]:[TODO (P1)]])</f>
        <v>196</v>
      </c>
    </row>
    <row r="13" spans="1:5" ht="21.95" customHeight="1">
      <c r="A13" t="s">
        <v>71</v>
      </c>
      <c r="B13">
        <v>15</v>
      </c>
      <c r="C13">
        <v>12</v>
      </c>
      <c r="D13">
        <v>168</v>
      </c>
      <c r="E13" s="12">
        <f>SUM(Table2[[#This Row],[Done]:[TODO (P1)]])</f>
        <v>195</v>
      </c>
    </row>
    <row r="14" spans="1:5" ht="21.95" customHeight="1">
      <c r="A14" t="s">
        <v>72</v>
      </c>
      <c r="B14">
        <v>18</v>
      </c>
      <c r="C14">
        <v>11</v>
      </c>
      <c r="D14">
        <v>166</v>
      </c>
      <c r="E14" s="12">
        <f>SUM(Table2[[#This Row],[Done]:[TODO (P1)]])</f>
        <v>195</v>
      </c>
    </row>
    <row r="15" spans="1:5" ht="21.95" customHeight="1">
      <c r="A15" t="s">
        <v>73</v>
      </c>
      <c r="B15">
        <v>21</v>
      </c>
      <c r="C15">
        <v>14</v>
      </c>
      <c r="D15">
        <v>160</v>
      </c>
      <c r="E15" s="12">
        <f>SUM(Table2[[#This Row],[Done]:[TODO (P1)]])</f>
        <v>195</v>
      </c>
    </row>
    <row r="16" spans="1:5" ht="21.95" customHeight="1">
      <c r="A16" t="s">
        <v>74</v>
      </c>
      <c r="B16">
        <v>22</v>
      </c>
      <c r="C16">
        <v>14</v>
      </c>
      <c r="D16">
        <v>160</v>
      </c>
      <c r="E16" s="12">
        <f>SUM(Table2[[#This Row],[Done]:[TODO (P1)]])</f>
        <v>196</v>
      </c>
    </row>
    <row r="17" spans="1:5" ht="21.95" customHeight="1">
      <c r="A17" t="s">
        <v>75</v>
      </c>
      <c r="B17">
        <v>25</v>
      </c>
      <c r="C17">
        <v>10</v>
      </c>
      <c r="D17">
        <v>161</v>
      </c>
      <c r="E17" s="12">
        <f>SUM(Table2[[#This Row],[Done]:[TODO (P1)]])</f>
        <v>196</v>
      </c>
    </row>
    <row r="18" spans="1:5" ht="21.95" customHeight="1">
      <c r="A18" t="s">
        <v>77</v>
      </c>
      <c r="B18">
        <v>28</v>
      </c>
      <c r="C18">
        <v>8</v>
      </c>
      <c r="D18">
        <v>160</v>
      </c>
      <c r="E18" s="12">
        <f>SUM(Table2[[#This Row],[Done]:[TODO (P1)]])</f>
        <v>196</v>
      </c>
    </row>
    <row r="19" spans="1:5" ht="21.95" customHeight="1">
      <c r="A19" t="s">
        <v>78</v>
      </c>
      <c r="B19">
        <v>30</v>
      </c>
      <c r="C19">
        <v>6</v>
      </c>
      <c r="D19">
        <v>160</v>
      </c>
      <c r="E19" s="12">
        <f>SUM(Table2[[#This Row],[Done]:[TODO (P1)]])</f>
        <v>196</v>
      </c>
    </row>
    <row r="20" spans="1:5" ht="21.95" customHeight="1">
      <c r="A20" t="s">
        <v>79</v>
      </c>
      <c r="B20">
        <v>32</v>
      </c>
      <c r="C20">
        <v>5</v>
      </c>
      <c r="D20">
        <v>160</v>
      </c>
      <c r="E20" s="12">
        <f>SUM(Table2[[#This Row],[Done]:[TODO (P1)]])</f>
        <v>197</v>
      </c>
    </row>
    <row r="21" spans="1:5" ht="21.95" customHeight="1">
      <c r="A21" t="s">
        <v>80</v>
      </c>
      <c r="B21">
        <v>32</v>
      </c>
      <c r="C21">
        <v>5</v>
      </c>
      <c r="D21">
        <v>160</v>
      </c>
      <c r="E21" s="12">
        <f>SUM(Table2[[#This Row],[Done]:[TODO (P1)]])</f>
        <v>197</v>
      </c>
    </row>
    <row r="22" spans="1:5" ht="21.95" customHeight="1">
      <c r="A22" t="s">
        <v>68</v>
      </c>
      <c r="B22">
        <v>32</v>
      </c>
      <c r="C22">
        <v>3</v>
      </c>
      <c r="D22">
        <v>162</v>
      </c>
      <c r="E22" s="12">
        <f>SUM(Table2[[#This Row],[Done]:[TODO (P1)]])</f>
        <v>197</v>
      </c>
    </row>
    <row r="23" spans="1:5" ht="21.95" customHeight="1">
      <c r="A23" t="s">
        <v>81</v>
      </c>
      <c r="B23">
        <v>32</v>
      </c>
      <c r="C23">
        <v>3</v>
      </c>
      <c r="D23">
        <v>162</v>
      </c>
      <c r="E23" s="12">
        <f>SUM(Table2[[#This Row],[Done]:[TODO (P1)]])</f>
        <v>197</v>
      </c>
    </row>
    <row r="24" spans="1:5" ht="21.95" customHeight="1">
      <c r="A24" t="s">
        <v>98</v>
      </c>
      <c r="B24">
        <v>32</v>
      </c>
      <c r="C24">
        <v>3</v>
      </c>
      <c r="D24">
        <v>162</v>
      </c>
      <c r="E24" s="12">
        <f>SUM(Table2[[#This Row],[Done]:[TODO (P1)]])</f>
        <v>197</v>
      </c>
    </row>
    <row r="25" spans="1:5" ht="21.95" customHeight="1">
      <c r="A25" t="s">
        <v>99</v>
      </c>
      <c r="B25">
        <v>32</v>
      </c>
      <c r="C25">
        <v>1</v>
      </c>
      <c r="D25">
        <v>162</v>
      </c>
      <c r="E25" s="12">
        <f>SUM(Table2[[#This Row],[Done]:[TODO (P1)]])</f>
        <v>195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7"/>
  <sheetViews>
    <sheetView zoomScaleNormal="100" workbookViewId="0">
      <selection activeCell="J16" sqref="J16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38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SUM(Table1[[#This Row],[Passed]:[Untested]])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>SUM(Table1[[#This Row],[Passed]:[Untested]])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>SUM(Table1[[#This Row],[Passed]:[Untested]])</f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>SUM(Table1[[#This Row],[Passed]:[Untested]])</f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>SUM(Table1[[#This Row],[Passed]:[Untested]])</f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>SUM(Table1[[#This Row],[Passed]:[Untested]])</f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>SUM(Table1[[#This Row],[Passed]:[Untested]])</f>
        <v>2531</v>
      </c>
    </row>
    <row r="9" spans="1:8" ht="21.95" customHeight="1">
      <c r="A9" t="s">
        <v>49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SUM(Table1[[#This Row],[Passed]:[Untested]])</f>
        <v>1401</v>
      </c>
    </row>
    <row r="10" spans="1:8" ht="21.95" customHeight="1">
      <c r="A10" t="s">
        <v>54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SUM(Table1[[#This Row],[Passed]:[Untested]])</f>
        <v>1273</v>
      </c>
    </row>
    <row r="11" spans="1:8" ht="21.95" customHeight="1">
      <c r="A11" t="s">
        <v>55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>SUM(Table1[[#This Row],[Passed]:[Untested]])</f>
        <v>1341</v>
      </c>
    </row>
    <row r="12" spans="1:8" ht="21.95" customHeight="1">
      <c r="A12" t="s">
        <v>58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>SUM(Table1[[#This Row],[Passed]:[Untested]])</f>
        <v>1485</v>
      </c>
    </row>
    <row r="13" spans="1:8" ht="21.95" customHeight="1">
      <c r="A13" t="s">
        <v>59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61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>
      <c r="A15" t="s">
        <v>64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>SUM(Table1[[#This Row],[Passed]:[Untested]])</f>
        <v>1904</v>
      </c>
    </row>
    <row r="16" spans="1:8" ht="21.95" customHeight="1">
      <c r="A16" t="s">
        <v>65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>SUM(Table1[[#This Row],[Passed]:[Untested]])</f>
        <v>1676</v>
      </c>
    </row>
    <row r="17" spans="1:8" ht="21.95" customHeight="1">
      <c r="A17" t="s">
        <v>95</v>
      </c>
      <c r="B17">
        <v>226</v>
      </c>
      <c r="C17">
        <v>10</v>
      </c>
      <c r="D17">
        <v>0</v>
      </c>
      <c r="E17">
        <v>5</v>
      </c>
      <c r="F17">
        <v>2</v>
      </c>
      <c r="G17">
        <v>1199</v>
      </c>
      <c r="H17">
        <f>SUM(Table1[[#This Row],[Passed]:[Untested]])</f>
        <v>1442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30"/>
  <sheetViews>
    <sheetView tabSelected="1" topLeftCell="A4" zoomScaleNormal="100" workbookViewId="0">
      <selection activeCell="B30" sqref="B30:H30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38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91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92</v>
      </c>
    </row>
    <row r="4" spans="1:8" ht="20.100000000000001" customHeight="1">
      <c r="A4" s="3" t="s">
        <v>93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94</v>
      </c>
    </row>
    <row r="6" spans="1:8" ht="20.100000000000001" customHeight="1">
      <c r="A6" s="3" t="s">
        <v>82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83</v>
      </c>
    </row>
    <row r="8" spans="1:8" ht="20.100000000000001" customHeight="1">
      <c r="A8" s="3" t="s">
        <v>84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85</v>
      </c>
    </row>
    <row r="10" spans="1:8" ht="20.100000000000001" customHeight="1">
      <c r="A10" s="3" t="s">
        <v>86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87</v>
      </c>
    </row>
    <row r="12" spans="1:8" ht="20.100000000000001" customHeight="1">
      <c r="A12" s="3" t="s">
        <v>88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89</v>
      </c>
    </row>
    <row r="14" spans="1:8" ht="20.100000000000001" customHeight="1">
      <c r="A14" s="3" t="s">
        <v>90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69</v>
      </c>
      <c r="H15" s="12"/>
    </row>
    <row r="16" spans="1:8" ht="20.100000000000001" customHeight="1">
      <c r="A16" s="3" t="s">
        <v>70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71</v>
      </c>
      <c r="H17" s="12"/>
    </row>
    <row r="18" spans="1:8" ht="20.100000000000001" customHeight="1">
      <c r="A18" s="3" t="s">
        <v>72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73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74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75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76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77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78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79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80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68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81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98</v>
      </c>
      <c r="B29">
        <v>636</v>
      </c>
      <c r="C29">
        <v>3</v>
      </c>
      <c r="D29">
        <v>4</v>
      </c>
      <c r="E29">
        <v>2</v>
      </c>
      <c r="F29">
        <v>5</v>
      </c>
      <c r="G29">
        <v>0</v>
      </c>
      <c r="H29" s="12">
        <f>SUM(Table3[[#This Row],[Passed]:[Untested]])</f>
        <v>650</v>
      </c>
    </row>
    <row r="30" spans="1:8" ht="20.100000000000001" customHeight="1">
      <c r="A30" s="3" t="s">
        <v>99</v>
      </c>
      <c r="H30" s="12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4"/>
  <sheetViews>
    <sheetView zoomScaleNormal="100" workbookViewId="0">
      <selection activeCell="K18" sqref="K18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26</v>
      </c>
      <c r="B1" s="3" t="s">
        <v>18</v>
      </c>
      <c r="C1" s="3" t="s">
        <v>47</v>
      </c>
      <c r="D1" s="3" t="s">
        <v>17</v>
      </c>
      <c r="E1" s="3" t="s">
        <v>50</v>
      </c>
      <c r="F1" s="3" t="s">
        <v>51</v>
      </c>
      <c r="G1" s="3" t="s">
        <v>1</v>
      </c>
      <c r="H1" s="3" t="s">
        <v>3</v>
      </c>
    </row>
    <row r="2" spans="1:8">
      <c r="A2" t="s">
        <v>19</v>
      </c>
      <c r="B2">
        <v>8</v>
      </c>
      <c r="C2">
        <v>0</v>
      </c>
      <c r="D2">
        <v>0</v>
      </c>
      <c r="E2">
        <v>0</v>
      </c>
      <c r="F2">
        <v>0</v>
      </c>
      <c r="G2">
        <v>93</v>
      </c>
      <c r="H2">
        <v>93</v>
      </c>
    </row>
    <row r="3" spans="1:8">
      <c r="A3" t="s">
        <v>20</v>
      </c>
      <c r="B3">
        <v>7</v>
      </c>
      <c r="C3">
        <v>0</v>
      </c>
      <c r="D3">
        <v>0</v>
      </c>
      <c r="E3">
        <v>0</v>
      </c>
      <c r="F3">
        <v>0</v>
      </c>
      <c r="G3">
        <v>59</v>
      </c>
      <c r="H3">
        <v>59</v>
      </c>
    </row>
    <row r="4" spans="1:8">
      <c r="A4" t="s">
        <v>21</v>
      </c>
      <c r="B4">
        <v>25</v>
      </c>
      <c r="C4">
        <v>0</v>
      </c>
      <c r="D4">
        <v>0</v>
      </c>
      <c r="E4">
        <v>0</v>
      </c>
      <c r="F4">
        <v>0</v>
      </c>
      <c r="G4">
        <v>168</v>
      </c>
      <c r="H4">
        <v>168</v>
      </c>
    </row>
    <row r="5" spans="1:8">
      <c r="A5" t="s">
        <v>22</v>
      </c>
      <c r="B5">
        <v>30</v>
      </c>
      <c r="C5">
        <v>0</v>
      </c>
      <c r="D5">
        <v>0</v>
      </c>
      <c r="E5">
        <v>0</v>
      </c>
      <c r="F5">
        <v>0</v>
      </c>
      <c r="G5">
        <v>156</v>
      </c>
      <c r="H5">
        <v>156</v>
      </c>
    </row>
    <row r="6" spans="1:8">
      <c r="A6" t="s">
        <v>23</v>
      </c>
      <c r="B6">
        <v>14</v>
      </c>
      <c r="C6">
        <v>0</v>
      </c>
      <c r="D6">
        <v>0</v>
      </c>
      <c r="E6">
        <v>0</v>
      </c>
      <c r="F6">
        <v>0</v>
      </c>
      <c r="G6">
        <v>77</v>
      </c>
      <c r="H6">
        <v>77</v>
      </c>
    </row>
    <row r="7" spans="1:8">
      <c r="A7" t="s">
        <v>24</v>
      </c>
      <c r="B7">
        <v>15</v>
      </c>
      <c r="C7">
        <v>0</v>
      </c>
      <c r="D7">
        <v>1</v>
      </c>
      <c r="E7">
        <v>0</v>
      </c>
      <c r="F7">
        <v>0</v>
      </c>
      <c r="G7">
        <v>61</v>
      </c>
      <c r="H7">
        <v>61</v>
      </c>
    </row>
    <row r="8" spans="1:8">
      <c r="A8" t="s">
        <v>25</v>
      </c>
      <c r="B8">
        <v>7</v>
      </c>
      <c r="C8">
        <v>0</v>
      </c>
      <c r="D8">
        <v>0</v>
      </c>
      <c r="E8">
        <v>0</v>
      </c>
      <c r="F8">
        <v>0</v>
      </c>
      <c r="G8">
        <v>46</v>
      </c>
      <c r="H8">
        <v>46</v>
      </c>
    </row>
    <row r="9" spans="1:8">
      <c r="A9" t="s">
        <v>4</v>
      </c>
      <c r="B9">
        <v>18</v>
      </c>
      <c r="C9">
        <v>0</v>
      </c>
      <c r="D9">
        <v>2</v>
      </c>
      <c r="E9">
        <v>0</v>
      </c>
      <c r="F9">
        <v>0</v>
      </c>
      <c r="G9">
        <v>43</v>
      </c>
      <c r="H9">
        <v>43</v>
      </c>
    </row>
    <row r="10" spans="1:8">
      <c r="A10" t="s">
        <v>5</v>
      </c>
      <c r="B10">
        <v>17</v>
      </c>
      <c r="C10">
        <v>0</v>
      </c>
      <c r="D10">
        <v>1</v>
      </c>
      <c r="E10">
        <v>0</v>
      </c>
      <c r="F10">
        <v>0</v>
      </c>
      <c r="G10">
        <v>33</v>
      </c>
      <c r="H10">
        <v>33</v>
      </c>
    </row>
    <row r="11" spans="1:8">
      <c r="A11" t="s">
        <v>6</v>
      </c>
      <c r="B11">
        <v>26</v>
      </c>
      <c r="C11">
        <v>0</v>
      </c>
      <c r="D11">
        <v>0</v>
      </c>
      <c r="E11">
        <v>0</v>
      </c>
      <c r="F11">
        <v>0</v>
      </c>
      <c r="G11">
        <v>25</v>
      </c>
      <c r="H11">
        <v>25</v>
      </c>
    </row>
    <row r="12" spans="1:8">
      <c r="A12" t="s">
        <v>7</v>
      </c>
      <c r="B12">
        <v>14</v>
      </c>
      <c r="C12">
        <v>0</v>
      </c>
      <c r="D12">
        <v>0</v>
      </c>
      <c r="E12">
        <v>0</v>
      </c>
      <c r="F12">
        <v>0</v>
      </c>
      <c r="G12">
        <v>56</v>
      </c>
      <c r="H12">
        <v>56</v>
      </c>
    </row>
    <row r="13" spans="1:8">
      <c r="A13" t="s">
        <v>8</v>
      </c>
      <c r="B13">
        <v>10</v>
      </c>
      <c r="C13">
        <v>0</v>
      </c>
      <c r="D13">
        <v>0</v>
      </c>
      <c r="E13">
        <v>0</v>
      </c>
      <c r="F13">
        <v>0</v>
      </c>
      <c r="G13">
        <v>40</v>
      </c>
      <c r="H13">
        <v>40</v>
      </c>
    </row>
    <row r="14" spans="1:8">
      <c r="A14" t="s">
        <v>9</v>
      </c>
      <c r="B14">
        <v>6</v>
      </c>
      <c r="C14">
        <v>0</v>
      </c>
      <c r="D14">
        <v>0</v>
      </c>
      <c r="E14">
        <v>0</v>
      </c>
      <c r="F14">
        <v>0</v>
      </c>
      <c r="G14">
        <v>33</v>
      </c>
      <c r="H14">
        <v>33</v>
      </c>
    </row>
    <row r="15" spans="1:8">
      <c r="A15" t="s">
        <v>10</v>
      </c>
      <c r="B15">
        <v>11</v>
      </c>
      <c r="C15">
        <v>1</v>
      </c>
      <c r="D15">
        <v>0</v>
      </c>
      <c r="E15">
        <v>0</v>
      </c>
      <c r="F15">
        <v>0</v>
      </c>
      <c r="G15">
        <v>29</v>
      </c>
      <c r="H15">
        <v>28</v>
      </c>
    </row>
    <row r="16" spans="1:8">
      <c r="A16" t="s">
        <v>49</v>
      </c>
      <c r="B16">
        <v>2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</row>
    <row r="17" spans="1:8">
      <c r="A17" t="s">
        <v>54</v>
      </c>
      <c r="B17">
        <v>13</v>
      </c>
      <c r="C17">
        <v>0</v>
      </c>
      <c r="D17">
        <v>0</v>
      </c>
      <c r="E17">
        <v>0</v>
      </c>
      <c r="F17">
        <v>0</v>
      </c>
      <c r="G17">
        <v>9</v>
      </c>
      <c r="H17">
        <v>9</v>
      </c>
    </row>
    <row r="18" spans="1:8">
      <c r="A18" t="s">
        <v>55</v>
      </c>
      <c r="B18">
        <v>1</v>
      </c>
      <c r="C18">
        <v>0</v>
      </c>
      <c r="D18">
        <v>0</v>
      </c>
      <c r="E18">
        <v>0</v>
      </c>
      <c r="F18">
        <v>0</v>
      </c>
      <c r="G18">
        <v>12</v>
      </c>
      <c r="H18">
        <v>12</v>
      </c>
    </row>
    <row r="19" spans="1:8">
      <c r="A19" t="s">
        <v>58</v>
      </c>
      <c r="B19">
        <v>4</v>
      </c>
      <c r="C19">
        <v>0</v>
      </c>
      <c r="D19">
        <v>1</v>
      </c>
      <c r="E19">
        <v>0</v>
      </c>
      <c r="F19">
        <v>0</v>
      </c>
      <c r="G19">
        <v>8</v>
      </c>
      <c r="H19">
        <v>8</v>
      </c>
    </row>
    <row r="20" spans="1:8">
      <c r="A20" t="s">
        <v>59</v>
      </c>
      <c r="B20">
        <v>17</v>
      </c>
      <c r="C20">
        <v>0</v>
      </c>
      <c r="D20">
        <v>0</v>
      </c>
      <c r="E20">
        <v>0</v>
      </c>
      <c r="F20">
        <v>0</v>
      </c>
      <c r="G20">
        <v>37</v>
      </c>
      <c r="H20">
        <v>37</v>
      </c>
    </row>
    <row r="21" spans="1:8">
      <c r="A21" t="s">
        <v>61</v>
      </c>
      <c r="B21">
        <v>6</v>
      </c>
      <c r="C21">
        <v>0</v>
      </c>
      <c r="D21">
        <v>0</v>
      </c>
      <c r="E21">
        <v>0</v>
      </c>
      <c r="F21">
        <v>0</v>
      </c>
      <c r="G21">
        <v>36</v>
      </c>
      <c r="H21">
        <v>36</v>
      </c>
    </row>
    <row r="22" spans="1:8">
      <c r="A22" t="s">
        <v>64</v>
      </c>
      <c r="B22">
        <v>9</v>
      </c>
      <c r="C22">
        <v>1</v>
      </c>
      <c r="D22">
        <v>0</v>
      </c>
      <c r="E22">
        <v>0</v>
      </c>
      <c r="F22">
        <v>0</v>
      </c>
      <c r="G22">
        <v>33</v>
      </c>
      <c r="H22">
        <v>32</v>
      </c>
    </row>
    <row r="23" spans="1:8">
      <c r="A23" t="s">
        <v>65</v>
      </c>
      <c r="B23">
        <v>8</v>
      </c>
      <c r="C23">
        <v>0</v>
      </c>
      <c r="D23">
        <v>0</v>
      </c>
      <c r="E23">
        <v>0</v>
      </c>
      <c r="F23">
        <v>0</v>
      </c>
      <c r="G23">
        <v>12</v>
      </c>
      <c r="H23">
        <v>10</v>
      </c>
    </row>
    <row r="24" spans="1:8">
      <c r="A24" t="s">
        <v>95</v>
      </c>
      <c r="B24">
        <v>3</v>
      </c>
      <c r="C24">
        <v>0</v>
      </c>
      <c r="D24">
        <v>1</v>
      </c>
      <c r="E24">
        <v>0</v>
      </c>
      <c r="F24">
        <v>1</v>
      </c>
      <c r="G24">
        <v>1</v>
      </c>
      <c r="H24">
        <v>1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3"/>
  <sheetViews>
    <sheetView zoomScaleNormal="100" workbookViewId="0">
      <selection activeCell="J21" sqref="J21"/>
    </sheetView>
  </sheetViews>
  <sheetFormatPr defaultColWidth="11.5546875" defaultRowHeight="15"/>
  <cols>
    <col min="1" max="1" width="18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27</v>
      </c>
      <c r="B1" s="7" t="s">
        <v>28</v>
      </c>
      <c r="C1" s="7" t="s">
        <v>32</v>
      </c>
      <c r="D1" s="7" t="s">
        <v>52</v>
      </c>
      <c r="E1" s="7" t="s">
        <v>30</v>
      </c>
      <c r="F1" s="7" t="s">
        <v>66</v>
      </c>
      <c r="G1" s="7" t="s">
        <v>29</v>
      </c>
      <c r="H1" s="8" t="s">
        <v>31</v>
      </c>
      <c r="I1" s="9" t="s">
        <v>3</v>
      </c>
    </row>
    <row r="2" spans="1:9" ht="18" thickBot="1">
      <c r="A2" s="4" t="s">
        <v>41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20</v>
      </c>
      <c r="H2" s="5">
        <v>3</v>
      </c>
      <c r="I2" s="5">
        <f>SUM(Table5[[#This Row],[To Do (0%)]:[WON''T DO (100%)]])</f>
        <v>23</v>
      </c>
    </row>
    <row r="3" spans="1:9" ht="18" thickBot="1">
      <c r="A3" s="4" t="s">
        <v>42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20</v>
      </c>
      <c r="H3" s="5">
        <v>2</v>
      </c>
      <c r="I3" s="5">
        <f>SUM(Table5[[#This Row],[To Do (0%)]:[WON''T DO (100%)]])</f>
        <v>22</v>
      </c>
    </row>
    <row r="4" spans="1:9" ht="18" thickBot="1">
      <c r="A4" s="4" t="s">
        <v>43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16</v>
      </c>
      <c r="H4" s="5">
        <v>2</v>
      </c>
      <c r="I4" s="5">
        <f>SUM(Table5[[#This Row],[To Do (0%)]:[WON''T DO (100%)]])</f>
        <v>18</v>
      </c>
    </row>
    <row r="5" spans="1:9" ht="18" thickBot="1">
      <c r="A5" s="4" t="s">
        <v>44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16</v>
      </c>
      <c r="H5" s="5">
        <v>2</v>
      </c>
      <c r="I5" s="5">
        <f>SUM(Table5[[#This Row],[To Do (0%)]:[WON''T DO (100%)]])</f>
        <v>18</v>
      </c>
    </row>
    <row r="6" spans="1:9" ht="18" thickBot="1">
      <c r="A6" s="4" t="s">
        <v>45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55</v>
      </c>
      <c r="H6" s="5">
        <v>4</v>
      </c>
      <c r="I6" s="5">
        <f>SUM(Table5[[#This Row],[To Do (0%)]:[WON''T DO (100%)]])</f>
        <v>59</v>
      </c>
    </row>
    <row r="7" spans="1:9" ht="18" thickBot="1">
      <c r="A7" s="4" t="s">
        <v>46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35</v>
      </c>
      <c r="H7" s="5">
        <v>4</v>
      </c>
      <c r="I7" s="5">
        <f>SUM(Table5[[#This Row],[To Do (0%)]:[WON''T DO (100%)]])</f>
        <v>39</v>
      </c>
    </row>
    <row r="8" spans="1:9" ht="18" thickBot="1">
      <c r="A8" s="4" t="s">
        <v>33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39</v>
      </c>
      <c r="H8" s="5">
        <v>2</v>
      </c>
      <c r="I8" s="5">
        <f>SUM(Table5[[#This Row],[To Do (0%)]:[WON''T DO (100%)]])</f>
        <v>42</v>
      </c>
    </row>
    <row r="9" spans="1:9" ht="18" thickBot="1">
      <c r="A9" s="4" t="s">
        <v>34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39</v>
      </c>
      <c r="H9" s="5">
        <v>6</v>
      </c>
      <c r="I9" s="5">
        <f>SUM(Table5[[#This Row],[To Do (0%)]:[WON''T DO (100%)]])</f>
        <v>46</v>
      </c>
    </row>
    <row r="10" spans="1:9" ht="18" thickBot="1">
      <c r="A10" s="4" t="s">
        <v>35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45</v>
      </c>
      <c r="H10" s="5">
        <v>7</v>
      </c>
      <c r="I10" s="5">
        <f>SUM(Table5[[#This Row],[To Do (0%)]:[WON''T DO (100%)]])</f>
        <v>53</v>
      </c>
    </row>
    <row r="11" spans="1:9" ht="18" thickBot="1">
      <c r="A11" s="4" t="s">
        <v>36</v>
      </c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18</v>
      </c>
      <c r="H11" s="5">
        <v>1</v>
      </c>
      <c r="I11" s="5">
        <f>SUM(Table5[[#This Row],[To Do (0%)]:[WON''T DO (100%)]])</f>
        <v>20</v>
      </c>
    </row>
    <row r="12" spans="1:9" ht="18" thickBot="1">
      <c r="A12" s="4" t="s">
        <v>37</v>
      </c>
      <c r="B12" s="5">
        <v>3</v>
      </c>
      <c r="C12" s="5">
        <v>0</v>
      </c>
      <c r="D12" s="5">
        <v>0</v>
      </c>
      <c r="E12" s="5">
        <v>0</v>
      </c>
      <c r="F12" s="5">
        <v>0</v>
      </c>
      <c r="G12" s="5">
        <v>25</v>
      </c>
      <c r="H12" s="5">
        <v>4</v>
      </c>
      <c r="I12" s="5">
        <f>SUM(Table5[[#This Row],[To Do (0%)]:[WON''T DO (100%)]])</f>
        <v>32</v>
      </c>
    </row>
    <row r="13" spans="1:9" ht="18" thickBot="1">
      <c r="A13" s="4" t="s">
        <v>39</v>
      </c>
      <c r="B13" s="5">
        <v>3</v>
      </c>
      <c r="C13" s="5">
        <v>0</v>
      </c>
      <c r="D13" s="5">
        <v>0</v>
      </c>
      <c r="E13" s="5">
        <v>0</v>
      </c>
      <c r="F13" s="5">
        <v>0</v>
      </c>
      <c r="G13" s="5">
        <v>45</v>
      </c>
      <c r="H13" s="5">
        <v>5</v>
      </c>
      <c r="I13" s="5">
        <f>SUM(Table5[[#This Row],[To Do (0%)]:[WON''T DO (100%)]])</f>
        <v>53</v>
      </c>
    </row>
    <row r="14" spans="1:9" ht="18" thickBot="1">
      <c r="A14" s="4" t="s">
        <v>40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24</v>
      </c>
      <c r="H14" s="5">
        <v>1</v>
      </c>
      <c r="I14" s="5">
        <f>SUM(Table5[[#This Row],[To Do (0%)]:[WON''T DO (100%)]])</f>
        <v>25</v>
      </c>
    </row>
    <row r="15" spans="1:9" ht="18" thickBot="1">
      <c r="A15" s="4" t="s">
        <v>53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43</v>
      </c>
      <c r="H15" s="5">
        <v>0</v>
      </c>
      <c r="I15" s="5">
        <f>SUM(Table5[[#This Row],[To Do (0%)]:[WON''T DO (100%)]])</f>
        <v>43</v>
      </c>
    </row>
    <row r="16" spans="1:9" ht="18" thickBot="1">
      <c r="A16" s="4" t="s">
        <v>56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35</v>
      </c>
      <c r="H16" s="5">
        <v>0</v>
      </c>
      <c r="I16" s="5">
        <f>SUM(Table5[[#This Row],[To Do (0%)]:[WON''T DO (100%)]])</f>
        <v>35</v>
      </c>
    </row>
    <row r="17" spans="1:9" ht="18" thickBot="1">
      <c r="A17" s="4" t="s">
        <v>57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29</v>
      </c>
      <c r="H17" s="5">
        <v>0</v>
      </c>
      <c r="I17" s="5">
        <f>SUM(Table5[[#This Row],[To Do (0%)]:[WON''T DO (100%)]])</f>
        <v>29</v>
      </c>
    </row>
    <row r="18" spans="1:9" ht="18" thickBot="1">
      <c r="A18" s="4" t="s">
        <v>60</v>
      </c>
      <c r="B18" s="5">
        <v>6</v>
      </c>
      <c r="C18" s="5">
        <v>0</v>
      </c>
      <c r="D18" s="5">
        <v>0</v>
      </c>
      <c r="E18" s="5">
        <v>0</v>
      </c>
      <c r="F18" s="5">
        <v>0</v>
      </c>
      <c r="G18" s="5">
        <v>38</v>
      </c>
      <c r="H18" s="5">
        <v>0</v>
      </c>
      <c r="I18" s="5">
        <f>SUM(Table5[[#This Row],[To Do (0%)]:[WON''T DO (100%)]])</f>
        <v>44</v>
      </c>
    </row>
    <row r="19" spans="1:9" ht="18" thickBot="1">
      <c r="A19" s="4" t="s">
        <v>62</v>
      </c>
      <c r="B19" s="5">
        <v>6</v>
      </c>
      <c r="C19" s="5">
        <v>0</v>
      </c>
      <c r="D19" s="5">
        <v>0</v>
      </c>
      <c r="E19" s="5">
        <v>0</v>
      </c>
      <c r="F19" s="5">
        <v>0</v>
      </c>
      <c r="G19" s="5">
        <v>30</v>
      </c>
      <c r="H19" s="5">
        <v>0</v>
      </c>
      <c r="I19" s="5">
        <f>SUM(Table5[[#This Row],[To Do (0%)]:[WON''T DO (100%)]])</f>
        <v>36</v>
      </c>
    </row>
    <row r="20" spans="1:9" ht="18" thickBot="1">
      <c r="A20" s="4" t="s">
        <v>63</v>
      </c>
      <c r="B20" s="5">
        <v>9</v>
      </c>
      <c r="C20" s="5">
        <v>0</v>
      </c>
      <c r="D20" s="5">
        <v>0</v>
      </c>
      <c r="E20" s="5">
        <v>0</v>
      </c>
      <c r="F20" s="5">
        <v>0</v>
      </c>
      <c r="G20" s="5">
        <v>28</v>
      </c>
      <c r="H20" s="5">
        <v>0</v>
      </c>
      <c r="I20" s="15">
        <f>SUM(Table5[[#This Row],[To Do (0%)]:[WON''T DO (100%)]])</f>
        <v>37</v>
      </c>
    </row>
    <row r="21" spans="1:9" ht="18" thickBot="1">
      <c r="A21" s="4" t="s">
        <v>67</v>
      </c>
      <c r="B21" s="5">
        <v>3</v>
      </c>
      <c r="C21" s="5">
        <v>0</v>
      </c>
      <c r="D21" s="5">
        <v>1</v>
      </c>
      <c r="E21" s="5">
        <v>1</v>
      </c>
      <c r="F21" s="5">
        <v>0</v>
      </c>
      <c r="G21" s="5">
        <v>26</v>
      </c>
      <c r="H21" s="5">
        <v>0</v>
      </c>
      <c r="I21" s="5">
        <f>SUM(Table5[[#This Row],[To Do (0%)]:[WON''T DO (100%)]])</f>
        <v>31</v>
      </c>
    </row>
    <row r="22" spans="1:9" ht="18" thickBot="1">
      <c r="A22" s="4" t="s">
        <v>96</v>
      </c>
      <c r="B22" s="5">
        <v>12</v>
      </c>
      <c r="C22" s="5">
        <v>1</v>
      </c>
      <c r="D22" s="5">
        <v>4</v>
      </c>
      <c r="E22" s="5">
        <v>7</v>
      </c>
      <c r="F22" s="5">
        <v>2</v>
      </c>
      <c r="G22" s="5">
        <v>1</v>
      </c>
      <c r="H22" s="5">
        <v>0</v>
      </c>
      <c r="I22" s="15">
        <f>SUM(Table5[[#This Row],[To Do (0%)]:[WON''T DO (100%)]])</f>
        <v>27</v>
      </c>
    </row>
    <row r="23" spans="1:9" ht="18" thickBot="1">
      <c r="A23" s="4" t="s">
        <v>97</v>
      </c>
      <c r="B23" s="5">
        <v>2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f>SUM(Table5[[#This Row],[To Do (0%)]:[WON''T DO (100%)]])</f>
        <v>2</v>
      </c>
    </row>
  </sheetData>
  <phoneticPr fontId="1" type="noConversion"/>
  <hyperlinks>
    <hyperlink ref="B2" r:id="rId1" display="https://xrspace.atlassian.net/issues/?jql=created+%3E%3D+2025-02-01+AND+created+%3C%3D+2026-12-31+AND+type+%3D+Bug+AND+project+%3D+SOVA+AND+Sprint+%3D+1463+AND+status+%3D+%22To+Do+%280%25%29%22" xr:uid="{D188F0BA-97B2-40A0-82D8-3552C37F4639}"/>
    <hyperlink ref="D2" r:id="rId2" display="https://xrspace.atlassian.net/issues/?jql=created+%3E%3D+2025-02-01+AND+created+%3C%3D+2026-12-31+AND+type+%3D+Bug+AND+project+%3D+SOVA+AND+Sprint+%3D+1463+AND+status+%3D+%22In+Progress+%2850+%7E+70%25%29%22" xr:uid="{6525BB8B-E772-4DE2-9E50-FB01F417B155}"/>
    <hyperlink ref="G2" r:id="rId3" display="https://xrspace.atlassian.net/issues/?jql=created+%3E%3D+2025-02-01+AND+created+%3C%3D+2026-12-31+AND+type+%3D+Bug+AND+project+%3D+SOVA+AND+Sprint+%3D+1463+AND+status+%3D+%22Done+%28100%25%29%22" xr:uid="{B90899F7-463D-44C8-9F16-0B3F8FC68F32}"/>
    <hyperlink ref="E2" r:id="rId4" display="https://xrspace.atlassian.net/issues/?jql=created+%3E%3D+2025-02-01+AND+created+%3C%3D+2026-12-31+AND+type+%3D+Bug+AND+project+%3D+SOVA+AND+Sprint+%3D+1463+AND+status+%3D+%22IN+REVIEW+%2880%25%29%22" xr:uid="{B93DF181-79B9-4F01-B6F5-7B7536E6F340}"/>
    <hyperlink ref="H2" r:id="rId5" display="https://xrspace.atlassian.net/issues/?jql=created+%3E%3D+2025-02-01+AND+created+%3C%3D+2026-12-31+AND+type+%3D+Bug+AND+project+%3D+SOVA+AND+Sprint+%3D+1463+AND+status+%3D+%22WON%27T+DO+%28100%25%29%22" xr:uid="{66E7E77E-1B5D-4FC9-9F43-573C7F7BA05B}"/>
    <hyperlink ref="C2" r:id="rId6" display="https://xrspace.atlassian.net/issues/?jql=created+%3E%3D+2025-02-01+AND+created+%3C%3D+2026-12-31+AND+type+%3D+Bug+AND+project+%3D+SOVA+AND+Sprint+%3D+1463+AND+status+%3D+%22STARTING+%2810+%7E+40%25%29%22" xr:uid="{E3BDAF91-879D-4230-B9AA-8022220E5FFB}"/>
    <hyperlink ref="F2" r:id="rId7" display="https://xrspace.atlassian.net/issues/?jql=created+%3E%3D+2025-02-01+AND+created+%3C%3D+2026-12-31+AND+type+%3D+Bug+AND+project+%3D+SOVA+AND+Sprint+%3D+1463+AND+status+%3D+%22READY+FOR+TESTING+%2890%25%29%22" xr:uid="{726FFC97-E32A-413D-9C53-05CD3CDB9725}"/>
    <hyperlink ref="B3" r:id="rId8" display="https://xrspace.atlassian.net/issues/?jql=created+%3E%3D+2025-02-01+AND+created+%3C%3D+2026-12-31+AND+type+%3D+Bug+AND+project+%3D+SOVA+AND+Sprint+%3D+1466+AND+status+%3D+%22To+Do+%280%25%29%22" xr:uid="{984875F0-8345-40B0-A35E-529B53E9098A}"/>
    <hyperlink ref="D3" r:id="rId9" display="https://xrspace.atlassian.net/issues/?jql=created+%3E%3D+2025-02-01+AND+created+%3C%3D+2026-12-31+AND+type+%3D+Bug+AND+project+%3D+SOVA+AND+Sprint+%3D+1466+AND+status+%3D+%22In+Progress+%2850+%7E+70%25%29%22" xr:uid="{8AE4ECE6-DB36-4CC4-A08D-CD085CE99F29}"/>
    <hyperlink ref="G3" r:id="rId10" display="https://xrspace.atlassian.net/issues/?jql=created+%3E%3D+2025-02-01+AND+created+%3C%3D+2026-12-31+AND+type+%3D+Bug+AND+project+%3D+SOVA+AND+Sprint+%3D+1466+AND+status+%3D+%22Done+%28100%25%29%22" xr:uid="{253BAAC6-EBDA-4CB5-8BC8-EC234158070B}"/>
    <hyperlink ref="E3" r:id="rId11" display="https://xrspace.atlassian.net/issues/?jql=created+%3E%3D+2025-02-01+AND+created+%3C%3D+2026-12-31+AND+type+%3D+Bug+AND+project+%3D+SOVA+AND+Sprint+%3D+1466+AND+status+%3D+%22IN+REVIEW+%2880%25%29%22" xr:uid="{E39BE8A9-56BB-4B32-81D2-D591E77B6B08}"/>
    <hyperlink ref="H3" r:id="rId12" display="https://xrspace.atlassian.net/issues/?jql=created+%3E%3D+2025-02-01+AND+created+%3C%3D+2026-12-31+AND+type+%3D+Bug+AND+project+%3D+SOVA+AND+Sprint+%3D+1466+AND+status+%3D+%22WON%27T+DO+%28100%25%29%22" xr:uid="{981CD05A-10DF-4B39-BB99-16D27CF1CD89}"/>
    <hyperlink ref="C3" r:id="rId13" display="https://xrspace.atlassian.net/issues/?jql=created+%3E%3D+2025-02-01+AND+created+%3C%3D+2026-12-31+AND+type+%3D+Bug+AND+project+%3D+SOVA+AND+Sprint+%3D+1466+AND+status+%3D+%22STARTING+%2810+%7E+40%25%29%22" xr:uid="{4A46385A-D67A-4E4A-8C5C-2B7647CFABFE}"/>
    <hyperlink ref="F3" r:id="rId14" display="https://xrspace.atlassian.net/issues/?jql=created+%3E%3D+2025-02-01+AND+created+%3C%3D+2026-12-31+AND+type+%3D+Bug+AND+project+%3D+SOVA+AND+Sprint+%3D+1466+AND+status+%3D+%22READY+FOR+TESTING+%2890%25%29%22" xr:uid="{AB82442D-3770-4C7C-93E7-44D57650B0EF}"/>
    <hyperlink ref="B4" r:id="rId15" display="https://xrspace.atlassian.net/issues/?jql=created+%3E%3D+2025-02-01+AND+created+%3C%3D+2026-12-31+AND+type+%3D+Bug+AND+project+%3D+SOVA+AND+Sprint+%3D+1496+AND+status+%3D+%22To+Do+%280%25%29%22" xr:uid="{FBACC89B-48D1-44E0-A264-5FBB9D3D5595}"/>
    <hyperlink ref="D4" r:id="rId16" display="https://xrspace.atlassian.net/issues/?jql=created+%3E%3D+2025-02-01+AND+created+%3C%3D+2026-12-31+AND+type+%3D+Bug+AND+project+%3D+SOVA+AND+Sprint+%3D+1496+AND+status+%3D+%22In+Progress+%2850+%7E+70%25%29%22" xr:uid="{18B13CD1-A875-4EED-BB2B-10CCD4CAB745}"/>
    <hyperlink ref="G4" r:id="rId17" display="https://xrspace.atlassian.net/issues/?jql=created+%3E%3D+2025-02-01+AND+created+%3C%3D+2026-12-31+AND+type+%3D+Bug+AND+project+%3D+SOVA+AND+Sprint+%3D+1496+AND+status+%3D+%22Done+%28100%25%29%22" xr:uid="{30FAAED0-FBD3-4EB1-9F2B-8E81182995CD}"/>
    <hyperlink ref="E4" r:id="rId18" display="https://xrspace.atlassian.net/issues/?jql=created+%3E%3D+2025-02-01+AND+created+%3C%3D+2026-12-31+AND+type+%3D+Bug+AND+project+%3D+SOVA+AND+Sprint+%3D+1496+AND+status+%3D+%22IN+REVIEW+%2880%25%29%22" xr:uid="{48634DF5-73A3-4949-A83F-F8E3E63A3ABA}"/>
    <hyperlink ref="H4" r:id="rId19" display="https://xrspace.atlassian.net/issues/?jql=created+%3E%3D+2025-02-01+AND+created+%3C%3D+2026-12-31+AND+type+%3D+Bug+AND+project+%3D+SOVA+AND+Sprint+%3D+1496+AND+status+%3D+%22WON%27T+DO+%28100%25%29%22" xr:uid="{9B4A2B9C-A10F-4CC2-8888-E302178212C9}"/>
    <hyperlink ref="C4" r:id="rId20" display="https://xrspace.atlassian.net/issues/?jql=created+%3E%3D+2025-02-01+AND+created+%3C%3D+2026-12-31+AND+type+%3D+Bug+AND+project+%3D+SOVA+AND+Sprint+%3D+1496+AND+status+%3D+%22STARTING+%2810+%7E+40%25%29%22" xr:uid="{20E7525D-367C-4F72-ABB1-5E50840065EC}"/>
    <hyperlink ref="F4" r:id="rId21" display="https://xrspace.atlassian.net/issues/?jql=created+%3E%3D+2025-02-01+AND+created+%3C%3D+2026-12-31+AND+type+%3D+Bug+AND+project+%3D+SOVA+AND+Sprint+%3D+1496+AND+status+%3D+%22READY+FOR+TESTING+%2890%25%29%22" xr:uid="{5AF17AA8-C235-49A2-A142-765D694F0704}"/>
    <hyperlink ref="B5" r:id="rId22" display="https://xrspace.atlassian.net/issues/?jql=created+%3E%3D+2025-02-01+AND+created+%3C%3D+2026-12-31+AND+type+%3D+Bug+AND+project+%3D+SOVA+AND+Sprint+%3D+1497+AND+status+%3D+%22To+Do+%280%25%29%22" xr:uid="{4C91A28E-F98F-4AD5-93F1-774BD74FC9D9}"/>
    <hyperlink ref="D5" r:id="rId23" display="https://xrspace.atlassian.net/issues/?jql=created+%3E%3D+2025-02-01+AND+created+%3C%3D+2026-12-31+AND+type+%3D+Bug+AND+project+%3D+SOVA+AND+Sprint+%3D+1497+AND+status+%3D+%22In+Progress+%2850+%7E+70%25%29%22" xr:uid="{CAF52135-DFAB-45F1-9246-B919A8C353FB}"/>
    <hyperlink ref="G5" r:id="rId24" display="https://xrspace.atlassian.net/issues/?jql=created+%3E%3D+2025-02-01+AND+created+%3C%3D+2026-12-31+AND+type+%3D+Bug+AND+project+%3D+SOVA+AND+Sprint+%3D+1497+AND+status+%3D+%22Done+%28100%25%29%22" xr:uid="{20571434-5D82-43CE-BA8A-D1E14E1314C9}"/>
    <hyperlink ref="E5" r:id="rId25" display="https://xrspace.atlassian.net/issues/?jql=created+%3E%3D+2025-02-01+AND+created+%3C%3D+2026-12-31+AND+type+%3D+Bug+AND+project+%3D+SOVA+AND+Sprint+%3D+1497+AND+status+%3D+%22IN+REVIEW+%2880%25%29%22" xr:uid="{131A729E-5CFF-4B0B-B0B5-2C67181D1139}"/>
    <hyperlink ref="H5" r:id="rId26" display="https://xrspace.atlassian.net/issues/?jql=created+%3E%3D+2025-02-01+AND+created+%3C%3D+2026-12-31+AND+type+%3D+Bug+AND+project+%3D+SOVA+AND+Sprint+%3D+1497+AND+status+%3D+%22WON%27T+DO+%28100%25%29%22" xr:uid="{FE808D27-9D69-43C1-A7C2-36D5CBAC7FDD}"/>
    <hyperlink ref="C5" r:id="rId27" display="https://xrspace.atlassian.net/issues/?jql=created+%3E%3D+2025-02-01+AND+created+%3C%3D+2026-12-31+AND+type+%3D+Bug+AND+project+%3D+SOVA+AND+Sprint+%3D+1497+AND+status+%3D+%22STARTING+%2810+%7E+40%25%29%22" xr:uid="{DFC29405-1A70-4ADF-916C-1627AFBC285D}"/>
    <hyperlink ref="F5" r:id="rId28" display="https://xrspace.atlassian.net/issues/?jql=created+%3E%3D+2025-02-01+AND+created+%3C%3D+2026-12-31+AND+type+%3D+Bug+AND+project+%3D+SOVA+AND+Sprint+%3D+1497+AND+status+%3D+%22READY+FOR+TESTING+%2890%25%29%22" xr:uid="{25E74457-CB14-4B58-8F0B-E2E409172C7E}"/>
    <hyperlink ref="B6" r:id="rId29" display="https://xrspace.atlassian.net/issues/?jql=created+%3E%3D+2025-02-01+AND+created+%3C%3D+2026-12-31+AND+type+%3D+Bug+AND+project+%3D+SOVA+AND+Sprint+%3D+1498+AND+status+%3D+%22To+Do+%280%25%29%22" xr:uid="{0F4756CB-53B2-408C-9C5A-DA6A61828224}"/>
    <hyperlink ref="D6" r:id="rId30" display="https://xrspace.atlassian.net/issues/?jql=created+%3E%3D+2025-02-01+AND+created+%3C%3D+2026-12-31+AND+type+%3D+Bug+AND+project+%3D+SOVA+AND+Sprint+%3D+1498+AND+status+%3D+%22In+Progress+%2850+%7E+70%25%29%22" xr:uid="{6D891244-CA2D-4C94-97CE-F9ACC3A39D79}"/>
    <hyperlink ref="G6" r:id="rId31" display="https://xrspace.atlassian.net/issues/?jql=created+%3E%3D+2025-02-01+AND+created+%3C%3D+2026-12-31+AND+type+%3D+Bug+AND+project+%3D+SOVA+AND+Sprint+%3D+1498+AND+status+%3D+%22Done+%28100%25%29%22" xr:uid="{EA3DC14F-7B91-4D99-9275-440A815033F9}"/>
    <hyperlink ref="E6" r:id="rId32" display="https://xrspace.atlassian.net/issues/?jql=created+%3E%3D+2025-02-01+AND+created+%3C%3D+2026-12-31+AND+type+%3D+Bug+AND+project+%3D+SOVA+AND+Sprint+%3D+1498+AND+status+%3D+%22IN+REVIEW+%2880%25%29%22" xr:uid="{7E13012E-A32E-4CE5-8BB0-AEC9940EECAC}"/>
    <hyperlink ref="H6" r:id="rId33" display="https://xrspace.atlassian.net/issues/?jql=created+%3E%3D+2025-02-01+AND+created+%3C%3D+2026-12-31+AND+type+%3D+Bug+AND+project+%3D+SOVA+AND+Sprint+%3D+1498+AND+status+%3D+%22WON%27T+DO+%28100%25%29%22" xr:uid="{2B081785-4E37-4B38-8FAD-FCCAB7993249}"/>
    <hyperlink ref="C6" r:id="rId34" display="https://xrspace.atlassian.net/issues/?jql=created+%3E%3D+2025-02-01+AND+created+%3C%3D+2026-12-31+AND+type+%3D+Bug+AND+project+%3D+SOVA+AND+Sprint+%3D+1498+AND+status+%3D+%22STARTING+%2810+%7E+40%25%29%22" xr:uid="{6FE3AD1D-C673-4DF7-9813-CD09272EA96F}"/>
    <hyperlink ref="F6" r:id="rId35" display="https://xrspace.atlassian.net/issues/?jql=created+%3E%3D+2025-02-01+AND+created+%3C%3D+2026-12-31+AND+type+%3D+Bug+AND+project+%3D+SOVA+AND+Sprint+%3D+1498+AND+status+%3D+%22READY+FOR+TESTING+%2890%25%29%22" xr:uid="{A3B911DF-3850-4F93-A4CD-849DAACB2BF9}"/>
    <hyperlink ref="B7" r:id="rId36" display="https://xrspace.atlassian.net/issues/?jql=created+%3E%3D+2025-02-01+AND+created+%3C%3D+2026-12-31+AND+type+%3D+Bug+AND+project+%3D+SOVA+AND+Sprint+%3D+1499+AND+status+%3D+%22To+Do+%280%25%29%22" xr:uid="{5D89CABB-4863-41A9-B509-1A35567B8906}"/>
    <hyperlink ref="D7" r:id="rId37" display="https://xrspace.atlassian.net/issues/?jql=created+%3E%3D+2025-02-01+AND+created+%3C%3D+2026-12-31+AND+type+%3D+Bug+AND+project+%3D+SOVA+AND+Sprint+%3D+1499+AND+status+%3D+%22In+Progress+%2850+%7E+70%25%29%22" xr:uid="{7914D91C-0A04-44DF-8A90-9E3BFC1F45A6}"/>
    <hyperlink ref="G7" r:id="rId38" display="https://xrspace.atlassian.net/issues/?jql=created+%3E%3D+2025-02-01+AND+created+%3C%3D+2026-12-31+AND+type+%3D+Bug+AND+project+%3D+SOVA+AND+Sprint+%3D+1499+AND+status+%3D+%22Done+%28100%25%29%22" xr:uid="{C0E8227B-DEC2-481B-A64C-8E4B5A29635D}"/>
    <hyperlink ref="E7" r:id="rId39" display="https://xrspace.atlassian.net/issues/?jql=created+%3E%3D+2025-02-01+AND+created+%3C%3D+2026-12-31+AND+type+%3D+Bug+AND+project+%3D+SOVA+AND+Sprint+%3D+1499+AND+status+%3D+%22IN+REVIEW+%2880%25%29%22" xr:uid="{52892B05-5473-4F3D-B515-7626512DA3F5}"/>
    <hyperlink ref="H7" r:id="rId40" display="https://xrspace.atlassian.net/issues/?jql=created+%3E%3D+2025-02-01+AND+created+%3C%3D+2026-12-31+AND+type+%3D+Bug+AND+project+%3D+SOVA+AND+Sprint+%3D+1499+AND+status+%3D+%22WON%27T+DO+%28100%25%29%22" xr:uid="{DFFA19C9-EA1C-4F63-8A10-7702AC452810}"/>
    <hyperlink ref="C7" r:id="rId41" display="https://xrspace.atlassian.net/issues/?jql=created+%3E%3D+2025-02-01+AND+created+%3C%3D+2026-12-31+AND+type+%3D+Bug+AND+project+%3D+SOVA+AND+Sprint+%3D+1499+AND+status+%3D+%22STARTING+%2810+%7E+40%25%29%22" xr:uid="{9F0B551A-1E3F-46D4-83F5-8305D60B4D54}"/>
    <hyperlink ref="F7" r:id="rId42" display="https://xrspace.atlassian.net/issues/?jql=created+%3E%3D+2025-02-01+AND+created+%3C%3D+2026-12-31+AND+type+%3D+Bug+AND+project+%3D+SOVA+AND+Sprint+%3D+1499+AND+status+%3D+%22READY+FOR+TESTING+%2890%25%29%22" xr:uid="{A7FBB6CB-FA02-4217-825C-AA8607AEDEDB}"/>
    <hyperlink ref="B8" r:id="rId43" display="https://xrspace.atlassian.net/issues/?jql=created+%3E%3D+2025-02-01+AND+created+%3C%3D+2026-12-31+AND+type+%3D+Bug+AND+project+%3D+SOVA+AND+Sprint+%3D+2156+AND+status+%3D+%22To+Do+%280%25%29%22" xr:uid="{99A6A8DF-77BF-4DB0-9203-E41024492E5D}"/>
    <hyperlink ref="D8" r:id="rId44" display="https://xrspace.atlassian.net/issues/?jql=created+%3E%3D+2025-02-01+AND+created+%3C%3D+2026-12-31+AND+type+%3D+Bug+AND+project+%3D+SOVA+AND+Sprint+%3D+2156+AND+status+%3D+%22In+Progress+%2850+%7E+70%25%29%22" xr:uid="{76A18879-B014-4E0A-B64B-8FEC9A4803D6}"/>
    <hyperlink ref="G8" r:id="rId45" display="https://xrspace.atlassian.net/issues/?jql=created+%3E%3D+2025-02-01+AND+created+%3C%3D+2026-12-31+AND+type+%3D+Bug+AND+project+%3D+SOVA+AND+Sprint+%3D+2156+AND+status+%3D+%22Done+%28100%25%29%22" xr:uid="{8A23118E-0D3B-42E1-8C80-8CDFEA86A0E6}"/>
    <hyperlink ref="E8" r:id="rId46" display="https://xrspace.atlassian.net/issues/?jql=created+%3E%3D+2025-02-01+AND+created+%3C%3D+2026-12-31+AND+type+%3D+Bug+AND+project+%3D+SOVA+AND+Sprint+%3D+2156+AND+status+%3D+%22IN+REVIEW+%2880%25%29%22" xr:uid="{A5DD9ECA-798C-47F0-AA87-35588DF34AC1}"/>
    <hyperlink ref="H8" r:id="rId47" display="https://xrspace.atlassian.net/issues/?jql=created+%3E%3D+2025-02-01+AND+created+%3C%3D+2026-12-31+AND+type+%3D+Bug+AND+project+%3D+SOVA+AND+Sprint+%3D+2156+AND+status+%3D+%22WON%27T+DO+%28100%25%29%22" xr:uid="{ACA47D22-A9CD-4A90-B118-8FC03AF6FDC2}"/>
    <hyperlink ref="C8" r:id="rId48" display="https://xrspace.atlassian.net/issues/?jql=created+%3E%3D+2025-02-01+AND+created+%3C%3D+2026-12-31+AND+type+%3D+Bug+AND+project+%3D+SOVA+AND+Sprint+%3D+2156+AND+status+%3D+%22STARTING+%2810+%7E+40%25%29%22" xr:uid="{AD6097F7-CF96-44B6-B68D-F76DA7086493}"/>
    <hyperlink ref="F8" r:id="rId49" display="https://xrspace.atlassian.net/issues/?jql=created+%3E%3D+2025-02-01+AND+created+%3C%3D+2026-12-31+AND+type+%3D+Bug+AND+project+%3D+SOVA+AND+Sprint+%3D+2156+AND+status+%3D+%22READY+FOR+TESTING+%2890%25%29%22" xr:uid="{2DB7FBA0-C695-43C0-A6AC-F3AD52C069F8}"/>
    <hyperlink ref="B9" r:id="rId50" display="https://xrspace.atlassian.net/issues/?jql=created+%3E%3D+2025-02-01+AND+created+%3C%3D+2026-12-31+AND+type+%3D+Bug+AND+project+%3D+SOVA+AND+Sprint+%3D+2157+AND+status+%3D+%22To+Do+%280%25%29%22" xr:uid="{406263C6-6E57-4345-9530-F13F2DB16664}"/>
    <hyperlink ref="D9" r:id="rId51" display="https://xrspace.atlassian.net/issues/?jql=created+%3E%3D+2025-02-01+AND+created+%3C%3D+2026-12-31+AND+type+%3D+Bug+AND+project+%3D+SOVA+AND+Sprint+%3D+2157+AND+status+%3D+%22In+Progress+%2850+%7E+70%25%29%22" xr:uid="{BCD3DF6F-52FE-4448-B6C9-A816E3DF8679}"/>
    <hyperlink ref="G9" r:id="rId52" display="https://xrspace.atlassian.net/issues/?jql=created+%3E%3D+2025-02-01+AND+created+%3C%3D+2026-12-31+AND+type+%3D+Bug+AND+project+%3D+SOVA+AND+Sprint+%3D+2157+AND+status+%3D+%22Done+%28100%25%29%22" xr:uid="{16362DA3-6614-480E-9C42-94F250A3ED9E}"/>
    <hyperlink ref="E9" r:id="rId53" display="https://xrspace.atlassian.net/issues/?jql=created+%3E%3D+2025-02-01+AND+created+%3C%3D+2026-12-31+AND+type+%3D+Bug+AND+project+%3D+SOVA+AND+Sprint+%3D+2157+AND+status+%3D+%22IN+REVIEW+%2880%25%29%22" xr:uid="{32C20DA0-6637-4772-9EAA-84D477AE9896}"/>
    <hyperlink ref="H9" r:id="rId54" display="https://xrspace.atlassian.net/issues/?jql=created+%3E%3D+2025-02-01+AND+created+%3C%3D+2026-12-31+AND+type+%3D+Bug+AND+project+%3D+SOVA+AND+Sprint+%3D+2157+AND+status+%3D+%22WON%27T+DO+%28100%25%29%22" xr:uid="{27B58BDF-0244-4292-8C39-B69FFC236F25}"/>
    <hyperlink ref="C9" r:id="rId55" display="https://xrspace.atlassian.net/issues/?jql=created+%3E%3D+2025-02-01+AND+created+%3C%3D+2026-12-31+AND+type+%3D+Bug+AND+project+%3D+SOVA+AND+Sprint+%3D+2157+AND+status+%3D+%22STARTING+%2810+%7E+40%25%29%22" xr:uid="{E5BDE8C8-D8D5-4E6C-92D7-99FF0F923417}"/>
    <hyperlink ref="F9" r:id="rId56" display="https://xrspace.atlassian.net/issues/?jql=created+%3E%3D+2025-02-01+AND+created+%3C%3D+2026-12-31+AND+type+%3D+Bug+AND+project+%3D+SOVA+AND+Sprint+%3D+2157+AND+status+%3D+%22READY+FOR+TESTING+%2890%25%29%22" xr:uid="{1E81BEB1-D873-4534-BC82-1D560A2441E4}"/>
    <hyperlink ref="B10" r:id="rId57" display="https://xrspace.atlassian.net/issues/?jql=created+%3E%3D+2025-02-01+AND+created+%3C%3D+2026-12-31+AND+type+%3D+Bug+AND+project+%3D+SOVA+AND+Sprint+%3D+2618+AND+status+%3D+%22To+Do+%280%25%29%22" xr:uid="{3EB24910-64E0-459A-A19B-981F5AFF00C8}"/>
    <hyperlink ref="D10" r:id="rId58" display="https://xrspace.atlassian.net/issues/?jql=created+%3E%3D+2025-02-01+AND+created+%3C%3D+2026-12-31+AND+type+%3D+Bug+AND+project+%3D+SOVA+AND+Sprint+%3D+2618+AND+status+%3D+%22In+Progress+%2850+%7E+70%25%29%22" xr:uid="{942FD5A2-08A8-49A2-B3D1-33C8F3BEA3D9}"/>
    <hyperlink ref="G10" r:id="rId59" display="https://xrspace.atlassian.net/issues/?jql=created+%3E%3D+2025-02-01+AND+created+%3C%3D+2026-12-31+AND+type+%3D+Bug+AND+project+%3D+SOVA+AND+Sprint+%3D+2618+AND+status+%3D+%22Done+%28100%25%29%22" xr:uid="{A2CEDA9B-8F8B-4265-8E0E-47E827C07DD8}"/>
    <hyperlink ref="E10" r:id="rId60" display="https://xrspace.atlassian.net/issues/?jql=created+%3E%3D+2025-02-01+AND+created+%3C%3D+2026-12-31+AND+type+%3D+Bug+AND+project+%3D+SOVA+AND+Sprint+%3D+2618+AND+status+%3D+%22IN+REVIEW+%2880%25%29%22" xr:uid="{26AB2606-4F5A-49F9-999B-1B42C2CF88FB}"/>
    <hyperlink ref="H10" r:id="rId61" display="https://xrspace.atlassian.net/issues/?jql=created+%3E%3D+2025-02-01+AND+created+%3C%3D+2026-12-31+AND+type+%3D+Bug+AND+project+%3D+SOVA+AND+Sprint+%3D+2618+AND+status+%3D+%22WON%27T+DO+%28100%25%29%22" xr:uid="{167911A9-06AB-4B17-AE91-05AD0CEAEF62}"/>
    <hyperlink ref="C10" r:id="rId62" display="https://xrspace.atlassian.net/issues/?jql=created+%3E%3D+2025-02-01+AND+created+%3C%3D+2026-12-31+AND+type+%3D+Bug+AND+project+%3D+SOVA+AND+Sprint+%3D+2618+AND+status+%3D+%22STARTING+%2810+%7E+40%25%29%22" xr:uid="{1F6984BB-0F78-43F3-B888-8005175A6F60}"/>
    <hyperlink ref="F10" r:id="rId63" display="https://xrspace.atlassian.net/issues/?jql=created+%3E%3D+2025-02-01+AND+created+%3C%3D+2026-12-31+AND+type+%3D+Bug+AND+project+%3D+SOVA+AND+Sprint+%3D+2618+AND+status+%3D+%22READY+FOR+TESTING+%2890%25%29%22" xr:uid="{0AB5DFBA-D073-4742-A276-C9237FA1C40F}"/>
    <hyperlink ref="B11" r:id="rId64" display="https://xrspace.atlassian.net/issues/?jql=created+%3E%3D+2025-02-01+AND+created+%3C%3D+2026-12-31+AND+type+%3D+Bug+AND+project+%3D+SOVA+AND+Sprint+%3D+2619+AND+status+%3D+%22To+Do+%280%25%29%22" xr:uid="{3B13E2D1-34D6-4B7B-B9A2-3E63FCEA486C}"/>
    <hyperlink ref="D11" r:id="rId65" display="https://xrspace.atlassian.net/issues/?jql=created+%3E%3D+2025-02-01+AND+created+%3C%3D+2026-12-31+AND+type+%3D+Bug+AND+project+%3D+SOVA+AND+Sprint+%3D+2619+AND+status+%3D+%22In+Progress+%2850+%7E+70%25%29%22" xr:uid="{9EC0A734-FCF9-4832-89FD-70C86CAD3765}"/>
    <hyperlink ref="G11" r:id="rId66" display="https://xrspace.atlassian.net/issues/?jql=created+%3E%3D+2025-02-01+AND+created+%3C%3D+2026-12-31+AND+type+%3D+Bug+AND+project+%3D+SOVA+AND+Sprint+%3D+2619+AND+status+%3D+%22Done+%28100%25%29%22" xr:uid="{85823554-CF1F-4C11-A7DB-6EB91D9ACB5D}"/>
    <hyperlink ref="E11" r:id="rId67" display="https://xrspace.atlassian.net/issues/?jql=created+%3E%3D+2025-02-01+AND+created+%3C%3D+2026-12-31+AND+type+%3D+Bug+AND+project+%3D+SOVA+AND+Sprint+%3D+2619+AND+status+%3D+%22IN+REVIEW+%2880%25%29%22" xr:uid="{C0665946-5272-4401-A02D-733AAEEE1CA3}"/>
    <hyperlink ref="H11" r:id="rId68" display="https://xrspace.atlassian.net/issues/?jql=created+%3E%3D+2025-02-01+AND+created+%3C%3D+2026-12-31+AND+type+%3D+Bug+AND+project+%3D+SOVA+AND+Sprint+%3D+2619+AND+status+%3D+%22WON%27T+DO+%28100%25%29%22" xr:uid="{77286AC5-064A-4367-8698-99AD08BC7364}"/>
    <hyperlink ref="C11" r:id="rId69" display="https://xrspace.atlassian.net/issues/?jql=created+%3E%3D+2025-02-01+AND+created+%3C%3D+2026-12-31+AND+type+%3D+Bug+AND+project+%3D+SOVA+AND+Sprint+%3D+2619+AND+status+%3D+%22STARTING+%2810+%7E+40%25%29%22" xr:uid="{356FA097-361B-4051-8B7E-E3027C35B229}"/>
    <hyperlink ref="F11" r:id="rId70" display="https://xrspace.atlassian.net/issues/?jql=created+%3E%3D+2025-02-01+AND+created+%3C%3D+2026-12-31+AND+type+%3D+Bug+AND+project+%3D+SOVA+AND+Sprint+%3D+2619+AND+status+%3D+%22READY+FOR+TESTING+%2890%25%29%22" xr:uid="{271A72A0-7B42-470C-895C-91903E89087F}"/>
    <hyperlink ref="B12" r:id="rId71" display="https://xrspace.atlassian.net/issues/?jql=created+%3E%3D+2025-02-01+AND+created+%3C%3D+2026-12-31+AND+type+%3D+Bug+AND+project+%3D+SOVA+AND+Sprint+%3D+2882+AND+status+%3D+%22To+Do+%280%25%29%22" xr:uid="{75C386A4-0D0C-4D40-9F17-48FE1ECEC13A}"/>
    <hyperlink ref="D12" r:id="rId72" display="https://xrspace.atlassian.net/issues/?jql=created+%3E%3D+2025-02-01+AND+created+%3C%3D+2026-12-31+AND+type+%3D+Bug+AND+project+%3D+SOVA+AND+Sprint+%3D+2882+AND+status+%3D+%22In+Progress+%2850+%7E+70%25%29%22" xr:uid="{2E629D33-6A8F-400E-B41B-F8E388125CF3}"/>
    <hyperlink ref="G12" r:id="rId73" display="https://xrspace.atlassian.net/issues/?jql=created+%3E%3D+2025-02-01+AND+created+%3C%3D+2026-12-31+AND+type+%3D+Bug+AND+project+%3D+SOVA+AND+Sprint+%3D+2882+AND+status+%3D+%22Done+%28100%25%29%22" xr:uid="{8497DEEA-C384-4114-B55E-F55E64EACA8E}"/>
    <hyperlink ref="E12" r:id="rId74" display="https://xrspace.atlassian.net/issues/?jql=created+%3E%3D+2025-02-01+AND+created+%3C%3D+2026-12-31+AND+type+%3D+Bug+AND+project+%3D+SOVA+AND+Sprint+%3D+2882+AND+status+%3D+%22IN+REVIEW+%2880%25%29%22" xr:uid="{A043BD0A-60D7-44BC-BCA6-DF420B7D1189}"/>
    <hyperlink ref="H12" r:id="rId75" display="https://xrspace.atlassian.net/issues/?jql=created+%3E%3D+2025-02-01+AND+created+%3C%3D+2026-12-31+AND+type+%3D+Bug+AND+project+%3D+SOVA+AND+Sprint+%3D+2882+AND+status+%3D+%22WON%27T+DO+%28100%25%29%22" xr:uid="{E3F0AE5F-FE09-48E0-9A9C-0D472E0C72F4}"/>
    <hyperlink ref="C12" r:id="rId76" display="https://xrspace.atlassian.net/issues/?jql=created+%3E%3D+2025-02-01+AND+created+%3C%3D+2026-12-31+AND+type+%3D+Bug+AND+project+%3D+SOVA+AND+Sprint+%3D+2882+AND+status+%3D+%22STARTING+%2810+%7E+40%25%29%22" xr:uid="{C0199207-485C-40D6-95D1-3A0D97DE543D}"/>
    <hyperlink ref="F12" r:id="rId77" display="https://xrspace.atlassian.net/issues/?jql=created+%3E%3D+2025-02-01+AND+created+%3C%3D+2026-12-31+AND+type+%3D+Bug+AND+project+%3D+SOVA+AND+Sprint+%3D+2882+AND+status+%3D+%22READY+FOR+TESTING+%2890%25%29%22" xr:uid="{CC3E0BBF-8586-41E3-AF10-18F0BCE473B6}"/>
    <hyperlink ref="B13" r:id="rId78" display="https://xrspace.atlassian.net/issues/?jql=created+%3E%3D+2025-02-01+AND+created+%3C%3D+2026-12-31+AND+type+%3D+Bug+AND+project+%3D+SOVA+AND+Sprint+%3D+3213+AND+status+%3D+%22To+Do+%280%25%29%22" xr:uid="{6D8C6695-4A70-48B8-ADDA-A7E20D07FB51}"/>
    <hyperlink ref="D13" r:id="rId79" display="https://xrspace.atlassian.net/issues/?jql=created+%3E%3D+2025-02-01+AND+created+%3C%3D+2026-12-31+AND+type+%3D+Bug+AND+project+%3D+SOVA+AND+Sprint+%3D+3213+AND+status+%3D+%22In+Progress+%2850+%7E+70%25%29%22" xr:uid="{EFD27E55-8596-44E8-8DFD-0537E3538B07}"/>
    <hyperlink ref="G13" r:id="rId80" display="https://xrspace.atlassian.net/issues/?jql=created+%3E%3D+2025-02-01+AND+created+%3C%3D+2026-12-31+AND+type+%3D+Bug+AND+project+%3D+SOVA+AND+Sprint+%3D+3213+AND+status+%3D+%22Done+%28100%25%29%22" xr:uid="{E32E264B-A771-45D8-B172-F8195DB35E29}"/>
    <hyperlink ref="E13" r:id="rId81" display="https://xrspace.atlassian.net/issues/?jql=created+%3E%3D+2025-02-01+AND+created+%3C%3D+2026-12-31+AND+type+%3D+Bug+AND+project+%3D+SOVA+AND+Sprint+%3D+3213+AND+status+%3D+%22IN+REVIEW+%2880%25%29%22" xr:uid="{80DEB7C3-6A01-425F-8187-32050A19F994}"/>
    <hyperlink ref="H13" r:id="rId82" display="https://xrspace.atlassian.net/issues/?jql=created+%3E%3D+2025-02-01+AND+created+%3C%3D+2026-12-31+AND+type+%3D+Bug+AND+project+%3D+SOVA+AND+Sprint+%3D+3213+AND+status+%3D+%22WON%27T+DO+%28100%25%29%22" xr:uid="{C415757F-C79A-4758-8FF2-416EAF45324F}"/>
    <hyperlink ref="C13" r:id="rId83" display="https://xrspace.atlassian.net/issues/?jql=created+%3E%3D+2025-02-01+AND+created+%3C%3D+2026-12-31+AND+type+%3D+Bug+AND+project+%3D+SOVA+AND+Sprint+%3D+3213+AND+status+%3D+%22STARTING+%2810+%7E+40%25%29%22" xr:uid="{6B7E4C27-9954-481E-95C8-92F085975353}"/>
    <hyperlink ref="F13" r:id="rId84" display="https://xrspace.atlassian.net/issues/?jql=created+%3E%3D+2025-02-01+AND+created+%3C%3D+2026-12-31+AND+type+%3D+Bug+AND+project+%3D+SOVA+AND+Sprint+%3D+3213+AND+status+%3D+%22READY+FOR+TESTING+%2890%25%29%22" xr:uid="{C13E5023-3BF8-41A3-83D5-2B4EB00D756B}"/>
    <hyperlink ref="B14" r:id="rId85" display="https://xrspace.atlassian.net/issues/?jql=created+%3E%3D+2025-02-01+AND+created+%3C%3D+2026-12-31+AND+type+%3D+Bug+AND+project+%3D+SOVA+AND+Sprint+%3D+3245+AND+status+%3D+%22To+Do+%280%25%29%22" xr:uid="{43092FF4-2A51-4449-B872-4860EB085B0C}"/>
    <hyperlink ref="D14" r:id="rId86" display="https://xrspace.atlassian.net/issues/?jql=created+%3E%3D+2025-02-01+AND+created+%3C%3D+2026-12-31+AND+type+%3D+Bug+AND+project+%3D+SOVA+AND+Sprint+%3D+3245+AND+status+%3D+%22In+Progress+%2850+%7E+70%25%29%22" xr:uid="{3680EFBA-3E7D-4DF7-B637-1234E8A48990}"/>
    <hyperlink ref="G14" r:id="rId87" display="https://xrspace.atlassian.net/issues/?jql=created+%3E%3D+2025-02-01+AND+created+%3C%3D+2026-12-31+AND+type+%3D+Bug+AND+project+%3D+SOVA+AND+Sprint+%3D+3245+AND+status+%3D+%22Done+%28100%25%29%22" xr:uid="{92914A62-C74E-444C-B729-FB8401FC6BE4}"/>
    <hyperlink ref="E14" r:id="rId88" display="https://xrspace.atlassian.net/issues/?jql=created+%3E%3D+2025-02-01+AND+created+%3C%3D+2026-12-31+AND+type+%3D+Bug+AND+project+%3D+SOVA+AND+Sprint+%3D+3245+AND+status+%3D+%22IN+REVIEW+%2880%25%29%22" xr:uid="{74002EF2-3BFA-4D4A-AB82-72A5F01AF88C}"/>
    <hyperlink ref="H14" r:id="rId89" display="https://xrspace.atlassian.net/issues/?jql=created+%3E%3D+2025-02-01+AND+created+%3C%3D+2026-12-31+AND+type+%3D+Bug+AND+project+%3D+SOVA+AND+Sprint+%3D+3245+AND+status+%3D+%22WON%27T+DO+%28100%25%29%22" xr:uid="{5FD7BDEB-845C-4FBD-B194-5FDA82FE8442}"/>
    <hyperlink ref="C14" r:id="rId90" display="https://xrspace.atlassian.net/issues/?jql=created+%3E%3D+2025-02-01+AND+created+%3C%3D+2026-12-31+AND+type+%3D+Bug+AND+project+%3D+SOVA+AND+Sprint+%3D+3245+AND+status+%3D+%22STARTING+%2810+%7E+40%25%29%22" xr:uid="{3D3025F8-2B17-4FFD-9FAB-F5B26A377D7F}"/>
    <hyperlink ref="F14" r:id="rId91" display="https://xrspace.atlassian.net/issues/?jql=created+%3E%3D+2025-02-01+AND+created+%3C%3D+2026-12-31+AND+type+%3D+Bug+AND+project+%3D+SOVA+AND+Sprint+%3D+3245+AND+status+%3D+%22READY+FOR+TESTING+%2890%25%29%22" xr:uid="{231B1386-6E38-45C9-A253-570FD08748B5}"/>
    <hyperlink ref="B15" r:id="rId92" display="https://xrspace.atlassian.net/issues/?jql=created+%3E%3D+2025-02-01+AND+created+%3C%3D+2026-12-31+AND+type+%3D+Bug+AND+project+%3D+SOVA+AND+Sprint+%3D+3246+AND+status+%3D+%22To+Do+%280%25%29%22" xr:uid="{99DDCB57-33DD-4A39-BBC3-4C288F8F4C1A}"/>
    <hyperlink ref="D15" r:id="rId93" display="https://xrspace.atlassian.net/issues/?jql=created+%3E%3D+2025-02-01+AND+created+%3C%3D+2026-12-31+AND+type+%3D+Bug+AND+project+%3D+SOVA+AND+Sprint+%3D+3246+AND+status+%3D+%22In+Progress+%2850+%7E+70%25%29%22" xr:uid="{58AA7CD1-04EA-4101-9C89-65F053A5333C}"/>
    <hyperlink ref="G15" r:id="rId94" display="https://xrspace.atlassian.net/issues/?jql=created+%3E%3D+2025-02-01+AND+created+%3C%3D+2026-12-31+AND+type+%3D+Bug+AND+project+%3D+SOVA+AND+Sprint+%3D+3246+AND+status+%3D+%22Done+%28100%25%29%22" xr:uid="{07F1B0D5-3827-47FC-B3FD-C56F3E00F331}"/>
    <hyperlink ref="E15" r:id="rId95" display="https://xrspace.atlassian.net/issues/?jql=created+%3E%3D+2025-02-01+AND+created+%3C%3D+2026-12-31+AND+type+%3D+Bug+AND+project+%3D+SOVA+AND+Sprint+%3D+3246+AND+status+%3D+%22IN+REVIEW+%2880%25%29%22" xr:uid="{EB8EADBC-CB24-475E-B6CC-0858767B2880}"/>
    <hyperlink ref="H15" r:id="rId96" display="https://xrspace.atlassian.net/issues/?jql=created+%3E%3D+2025-02-01+AND+created+%3C%3D+2026-12-31+AND+type+%3D+Bug+AND+project+%3D+SOVA+AND+Sprint+%3D+3246+AND+status+%3D+%22WON%27T+DO+%28100%25%29%22" xr:uid="{CB0B2500-AC6F-4D1A-8724-CE57503BDDDB}"/>
    <hyperlink ref="C15" r:id="rId97" display="https://xrspace.atlassian.net/issues/?jql=created+%3E%3D+2025-02-01+AND+created+%3C%3D+2026-12-31+AND+type+%3D+Bug+AND+project+%3D+SOVA+AND+Sprint+%3D+3246+AND+status+%3D+%22STARTING+%2810+%7E+40%25%29%22" xr:uid="{036EC432-68BB-40F6-A8E0-4350E26E1257}"/>
    <hyperlink ref="F15" r:id="rId98" display="https://xrspace.atlassian.net/issues/?jql=created+%3E%3D+2025-02-01+AND+created+%3C%3D+2026-12-31+AND+type+%3D+Bug+AND+project+%3D+SOVA+AND+Sprint+%3D+3246+AND+status+%3D+%22READY+FOR+TESTING+%2890%25%29%22" xr:uid="{827D3DDA-A7C2-43AC-9BAA-0E7F2F297A3D}"/>
    <hyperlink ref="B16" r:id="rId99" display="https://xrspace.atlassian.net/issues/?jql=created+%3E%3D+2025-02-01+AND+created+%3C%3D+2026-12-31+AND+type+%3D+Bug+AND+project+%3D+SOVA+AND+Sprint+%3D+3575+AND+status+%3D+%22To+Do+%280%25%29%22" xr:uid="{839BAEBC-67D5-4751-844B-D54A8D374D16}"/>
    <hyperlink ref="D16" r:id="rId100" display="https://xrspace.atlassian.net/issues/?jql=created+%3E%3D+2025-02-01+AND+created+%3C%3D+2026-12-31+AND+type+%3D+Bug+AND+project+%3D+SOVA+AND+Sprint+%3D+3575+AND+status+%3D+%22In+Progress+%2850+%7E+70%25%29%22" xr:uid="{B8DF175F-60D9-443A-A328-F55342CEC18D}"/>
    <hyperlink ref="G16" r:id="rId101" display="https://xrspace.atlassian.net/issues/?jql=created+%3E%3D+2025-02-01+AND+created+%3C%3D+2026-12-31+AND+type+%3D+Bug+AND+project+%3D+SOVA+AND+Sprint+%3D+3575+AND+status+%3D+%22Done+%28100%25%29%22" xr:uid="{4B190D32-2959-4024-9499-1F6A5E33E784}"/>
    <hyperlink ref="E16" r:id="rId102" display="https://xrspace.atlassian.net/issues/?jql=created+%3E%3D+2025-02-01+AND+created+%3C%3D+2026-12-31+AND+type+%3D+Bug+AND+project+%3D+SOVA+AND+Sprint+%3D+3575+AND+status+%3D+%22IN+REVIEW+%2880%25%29%22" xr:uid="{23E6D094-762D-41D5-A2F6-6C4D85E85B70}"/>
    <hyperlink ref="H16" r:id="rId103" display="https://xrspace.atlassian.net/issues/?jql=created+%3E%3D+2025-02-01+AND+created+%3C%3D+2026-12-31+AND+type+%3D+Bug+AND+project+%3D+SOVA+AND+Sprint+%3D+3575+AND+status+%3D+%22WON%27T+DO+%28100%25%29%22" xr:uid="{E0A76DC5-4935-4117-B8EC-053FF8DB84DD}"/>
    <hyperlink ref="C16" r:id="rId104" display="https://xrspace.atlassian.net/issues/?jql=created+%3E%3D+2025-02-01+AND+created+%3C%3D+2026-12-31+AND+type+%3D+Bug+AND+project+%3D+SOVA+AND+Sprint+%3D+3575+AND+status+%3D+%22STARTING+%2810+%7E+40%25%29%22" xr:uid="{86119B1F-A623-43A6-BA45-85286C0C6557}"/>
    <hyperlink ref="F16" r:id="rId105" display="https://xrspace.atlassian.net/issues/?jql=created+%3E%3D+2025-02-01+AND+created+%3C%3D+2026-12-31+AND+type+%3D+Bug+AND+project+%3D+SOVA+AND+Sprint+%3D+3575+AND+status+%3D+%22READY+FOR+TESTING+%2890%25%29%22" xr:uid="{61759D11-2180-4933-A40F-6D67E0099347}"/>
    <hyperlink ref="B17" r:id="rId106" display="https://xrspace.atlassian.net/issues/?jql=created+%3E%3D+2025-02-01+AND+created+%3C%3D+2026-12-31+AND+type+%3D+Bug+AND+project+%3D+SOVA+AND+Sprint+%3D+3608+AND+status+%3D+%22To+Do+%280%25%29%22" xr:uid="{29DB7EBC-9B18-442F-A210-51BF52B4B98C}"/>
    <hyperlink ref="D17" r:id="rId107" display="https://xrspace.atlassian.net/issues/?jql=created+%3E%3D+2025-02-01+AND+created+%3C%3D+2026-12-31+AND+type+%3D+Bug+AND+project+%3D+SOVA+AND+Sprint+%3D+3608+AND+status+%3D+%22In+Progress+%2850+%7E+70%25%29%22" xr:uid="{C634B6B5-A2A8-4751-ABCB-1E81A73E117B}"/>
    <hyperlink ref="G17" r:id="rId108" display="https://xrspace.atlassian.net/issues/?jql=created+%3E%3D+2025-02-01+AND+created+%3C%3D+2026-12-31+AND+type+%3D+Bug+AND+project+%3D+SOVA+AND+Sprint+%3D+3608+AND+status+%3D+%22Done+%28100%25%29%22" xr:uid="{2AC08DBE-D818-4069-B2F4-7E39441E39E7}"/>
    <hyperlink ref="E17" r:id="rId109" display="https://xrspace.atlassian.net/issues/?jql=created+%3E%3D+2025-02-01+AND+created+%3C%3D+2026-12-31+AND+type+%3D+Bug+AND+project+%3D+SOVA+AND+Sprint+%3D+3608+AND+status+%3D+%22IN+REVIEW+%2880%25%29%22" xr:uid="{34CAA070-82F0-4EDF-B53B-4DB067A5D740}"/>
    <hyperlink ref="H17" r:id="rId110" display="https://xrspace.atlassian.net/issues/?jql=created+%3E%3D+2025-02-01+AND+created+%3C%3D+2026-12-31+AND+type+%3D+Bug+AND+project+%3D+SOVA+AND+Sprint+%3D+3608+AND+status+%3D+%22WON%27T+DO+%28100%25%29%22" xr:uid="{9867754F-2D79-4B6E-B113-929E3D35349E}"/>
    <hyperlink ref="C17" r:id="rId111" display="https://xrspace.atlassian.net/issues/?jql=created+%3E%3D+2025-02-01+AND+created+%3C%3D+2026-12-31+AND+type+%3D+Bug+AND+project+%3D+SOVA+AND+Sprint+%3D+3608+AND+status+%3D+%22STARTING+%2810+%7E+40%25%29%22" xr:uid="{0B03FB06-FE1C-4AB5-BCB4-89D43DA1640B}"/>
    <hyperlink ref="F17" r:id="rId112" display="https://xrspace.atlassian.net/issues/?jql=created+%3E%3D+2025-02-01+AND+created+%3C%3D+2026-12-31+AND+type+%3D+Bug+AND+project+%3D+SOVA+AND+Sprint+%3D+3608+AND+status+%3D+%22READY+FOR+TESTING+%2890%25%29%22" xr:uid="{0C126E09-D552-4032-BE69-75C48FC9233C}"/>
    <hyperlink ref="B18" r:id="rId113" display="https://xrspace.atlassian.net/issues/?jql=created+%3E%3D+2025-02-01+AND+created+%3C%3D+2026-12-31+AND+type+%3D+Bug+AND+project+%3D+SOVA+AND+Sprint+%3D+3872+AND+status+%3D+%22To+Do+%280%25%29%22" xr:uid="{2302E9BD-9237-4726-AB94-397011915475}"/>
    <hyperlink ref="D18" r:id="rId114" display="https://xrspace.atlassian.net/issues/?jql=created+%3E%3D+2025-02-01+AND+created+%3C%3D+2026-12-31+AND+type+%3D+Bug+AND+project+%3D+SOVA+AND+Sprint+%3D+3872+AND+status+%3D+%22In+Progress+%2850+%7E+70%25%29%22" xr:uid="{B7D09EA2-3452-4E69-8713-ED46F122A1DD}"/>
    <hyperlink ref="G18" r:id="rId115" display="https://xrspace.atlassian.net/issues/?jql=created+%3E%3D+2025-02-01+AND+created+%3C%3D+2026-12-31+AND+type+%3D+Bug+AND+project+%3D+SOVA+AND+Sprint+%3D+3872+AND+status+%3D+%22Done+%28100%25%29%22" xr:uid="{E9510FD6-F53D-427C-90D2-17B5D991E35D}"/>
    <hyperlink ref="E18" r:id="rId116" display="https://xrspace.atlassian.net/issues/?jql=created+%3E%3D+2025-02-01+AND+created+%3C%3D+2026-12-31+AND+type+%3D+Bug+AND+project+%3D+SOVA+AND+Sprint+%3D+3872+AND+status+%3D+%22IN+REVIEW+%2880%25%29%22" xr:uid="{1B32A363-7EEC-4C48-8541-0F3F939DB737}"/>
    <hyperlink ref="H18" r:id="rId117" display="https://xrspace.atlassian.net/issues/?jql=created+%3E%3D+2025-02-01+AND+created+%3C%3D+2026-12-31+AND+type+%3D+Bug+AND+project+%3D+SOVA+AND+Sprint+%3D+3872+AND+status+%3D+%22WON%27T+DO+%28100%25%29%22" xr:uid="{47D4E30C-F987-413A-9535-1926C381EDA4}"/>
    <hyperlink ref="C18" r:id="rId118" display="https://xrspace.atlassian.net/issues/?jql=created+%3E%3D+2025-02-01+AND+created+%3C%3D+2026-12-31+AND+type+%3D+Bug+AND+project+%3D+SOVA+AND+Sprint+%3D+3872+AND+status+%3D+%22STARTING+%2810+%7E+40%25%29%22" xr:uid="{44704CC2-4487-4A58-8E60-12B7A9501730}"/>
    <hyperlink ref="F18" r:id="rId119" display="https://xrspace.atlassian.net/issues/?jql=created+%3E%3D+2025-02-01+AND+created+%3C%3D+2026-12-31+AND+type+%3D+Bug+AND+project+%3D+SOVA+AND+Sprint+%3D+3872+AND+status+%3D+%22READY+FOR+TESTING+%2890%25%29%22" xr:uid="{FF6D255A-1C69-4EA7-8408-2A3C136E207F}"/>
    <hyperlink ref="B19" r:id="rId120" display="https://xrspace.atlassian.net/issues/?jql=created+%3E%3D+2025-02-01+AND+created+%3C%3D+2026-12-31+AND+type+%3D+Bug+AND+project+%3D+SOVA+AND+Sprint+%3D+3873+AND+status+%3D+%22To+Do+%280%25%29%22" xr:uid="{07D4A73C-B828-45C8-9D49-01A5BF2F2B0B}"/>
    <hyperlink ref="D19" r:id="rId121" display="https://xrspace.atlassian.net/issues/?jql=created+%3E%3D+2025-02-01+AND+created+%3C%3D+2026-12-31+AND+type+%3D+Bug+AND+project+%3D+SOVA+AND+Sprint+%3D+3873+AND+status+%3D+%22In+Progress+%2850+%7E+70%25%29%22" xr:uid="{7D47EA5B-D314-4453-96AB-5347EA247026}"/>
    <hyperlink ref="G19" r:id="rId122" display="https://xrspace.atlassian.net/issues/?jql=created+%3E%3D+2025-02-01+AND+created+%3C%3D+2026-12-31+AND+type+%3D+Bug+AND+project+%3D+SOVA+AND+Sprint+%3D+3873+AND+status+%3D+%22Done+%28100%25%29%22" xr:uid="{5C4563F0-60DF-4635-86CF-980A6CE7456C}"/>
    <hyperlink ref="E19" r:id="rId123" display="https://xrspace.atlassian.net/issues/?jql=created+%3E%3D+2025-02-01+AND+created+%3C%3D+2026-12-31+AND+type+%3D+Bug+AND+project+%3D+SOVA+AND+Sprint+%3D+3873+AND+status+%3D+%22IN+REVIEW+%2880%25%29%22" xr:uid="{3FEC3DE3-7C27-412C-B0DF-54CB686C9AF4}"/>
    <hyperlink ref="H19" r:id="rId124" display="https://xrspace.atlassian.net/issues/?jql=created+%3E%3D+2025-02-01+AND+created+%3C%3D+2026-12-31+AND+type+%3D+Bug+AND+project+%3D+SOVA+AND+Sprint+%3D+3873+AND+status+%3D+%22WON%27T+DO+%28100%25%29%22" xr:uid="{79790316-05ED-4F18-935A-331F0B6A4450}"/>
    <hyperlink ref="C19" r:id="rId125" display="https://xrspace.atlassian.net/issues/?jql=created+%3E%3D+2025-02-01+AND+created+%3C%3D+2026-12-31+AND+type+%3D+Bug+AND+project+%3D+SOVA+AND+Sprint+%3D+3873+AND+status+%3D+%22STARTING+%2810+%7E+40%25%29%22" xr:uid="{5377E7DD-23DA-4EA4-9440-D5AE7443F6E9}"/>
    <hyperlink ref="F19" r:id="rId126" display="https://xrspace.atlassian.net/issues/?jql=created+%3E%3D+2025-02-01+AND+created+%3C%3D+2026-12-31+AND+type+%3D+Bug+AND+project+%3D+SOVA+AND+Sprint+%3D+3873+AND+status+%3D+%22READY+FOR+TESTING+%2890%25%29%22" xr:uid="{BFD9869F-1336-4965-B9C8-A4E7E2A6F30D}"/>
    <hyperlink ref="B20" r:id="rId127" display="https://xrspace.atlassian.net/issues/?jql=created+%3E%3D+2025-02-01+AND+created+%3C%3D+2026-12-31+AND+type+%3D+Bug+AND+project+%3D+SOVA+AND+Sprint+%3D+4140+AND+status+%3D+%22To+Do+%280%25%29%22" xr:uid="{F05E03D0-46C0-40CC-BF09-EFE84562CA14}"/>
    <hyperlink ref="D20" r:id="rId128" display="https://xrspace.atlassian.net/issues/?jql=created+%3E%3D+2025-02-01+AND+created+%3C%3D+2026-12-31+AND+type+%3D+Bug+AND+project+%3D+SOVA+AND+Sprint+%3D+4140+AND+status+%3D+%22In+Progress+%2850+%7E+70%25%29%22" xr:uid="{2C28D87D-5144-4CB1-9A29-C4C71D817A00}"/>
    <hyperlink ref="G20" r:id="rId129" display="https://xrspace.atlassian.net/issues/?jql=created+%3E%3D+2025-02-01+AND+created+%3C%3D+2026-12-31+AND+type+%3D+Bug+AND+project+%3D+SOVA+AND+Sprint+%3D+4140+AND+status+%3D+%22Done+%28100%25%29%22" xr:uid="{9D985911-2B48-4C2A-8904-303E1D38E2AF}"/>
    <hyperlink ref="E20" r:id="rId130" display="https://xrspace.atlassian.net/issues/?jql=created+%3E%3D+2025-02-01+AND+created+%3C%3D+2026-12-31+AND+type+%3D+Bug+AND+project+%3D+SOVA+AND+Sprint+%3D+4140+AND+status+%3D+%22IN+REVIEW+%2880%25%29%22" xr:uid="{F637C0A4-CCD5-4E2C-AF94-F952FD395FD0}"/>
    <hyperlink ref="H20" r:id="rId131" display="https://xrspace.atlassian.net/issues/?jql=created+%3E%3D+2025-02-01+AND+created+%3C%3D+2026-12-31+AND+type+%3D+Bug+AND+project+%3D+SOVA+AND+Sprint+%3D+4140+AND+status+%3D+%22WON%27T+DO+%28100%25%29%22" xr:uid="{9A421D34-AC46-4EED-B160-042DB12215FA}"/>
    <hyperlink ref="C20" r:id="rId132" display="https://xrspace.atlassian.net/issues/?jql=created+%3E%3D+2025-02-01+AND+created+%3C%3D+2026-12-31+AND+type+%3D+Bug+AND+project+%3D+SOVA+AND+Sprint+%3D+4140+AND+status+%3D+%22STARTING+%2810+%7E+40%25%29%22" xr:uid="{ECD4FC8F-E79E-4EB0-AAF7-8DBD661CF26D}"/>
    <hyperlink ref="F20" r:id="rId133" display="https://xrspace.atlassian.net/issues/?jql=created+%3E%3D+2025-02-01+AND+created+%3C%3D+2026-12-31+AND+type+%3D+Bug+AND+project+%3D+SOVA+AND+Sprint+%3D+4140+AND+status+%3D+%22READY+FOR+TESTING+%2890%25%29%22" xr:uid="{231579D5-D8CF-477B-86E3-1CE4734AC1F2}"/>
    <hyperlink ref="B21" r:id="rId134" display="https://xrspace.atlassian.net/issues/?jql=created+%3E%3D+2025-02-01+AND+created+%3C%3D+2026-12-31+AND+type+%3D+Bug+AND+project+%3D+SOVA+AND+Sprint+%3D+4206+AND+status+%3D+%22To+Do+%280%25%29%22" xr:uid="{08A211D5-A3A3-4CF5-97F5-A6A341607A82}"/>
    <hyperlink ref="D21" r:id="rId135" display="https://xrspace.atlassian.net/issues/?jql=created+%3E%3D+2025-02-01+AND+created+%3C%3D+2026-12-31+AND+type+%3D+Bug+AND+project+%3D+SOVA+AND+Sprint+%3D+4206+AND+status+%3D+%22In+Progress+%2850+%7E+70%25%29%22" xr:uid="{5A39F37F-213D-437C-A6B6-CA24F04A85A1}"/>
    <hyperlink ref="G21" r:id="rId136" display="https://xrspace.atlassian.net/issues/?jql=created+%3E%3D+2025-02-01+AND+created+%3C%3D+2026-12-31+AND+type+%3D+Bug+AND+project+%3D+SOVA+AND+Sprint+%3D+4206+AND+status+%3D+%22Done+%28100%25%29%22" xr:uid="{306AC57C-84EB-4E5B-8EE3-D3F4EA4C7831}"/>
    <hyperlink ref="E21" r:id="rId137" display="https://xrspace.atlassian.net/issues/?jql=created+%3E%3D+2025-02-01+AND+created+%3C%3D+2026-12-31+AND+type+%3D+Bug+AND+project+%3D+SOVA+AND+Sprint+%3D+4206+AND+status+%3D+%22IN+REVIEW+%2880%25%29%22" xr:uid="{5E1B04DA-E4D4-4295-9D7E-26E0FCAB300A}"/>
    <hyperlink ref="H21" r:id="rId138" display="https://xrspace.atlassian.net/issues/?jql=created+%3E%3D+2025-02-01+AND+created+%3C%3D+2026-12-31+AND+type+%3D+Bug+AND+project+%3D+SOVA+AND+Sprint+%3D+4206+AND+status+%3D+%22WON%27T+DO+%28100%25%29%22" xr:uid="{B7AE31B4-EAF2-42E6-8C51-28F4B22490D8}"/>
    <hyperlink ref="C21" r:id="rId139" display="https://xrspace.atlassian.net/issues/?jql=created+%3E%3D+2025-02-01+AND+created+%3C%3D+2026-12-31+AND+type+%3D+Bug+AND+project+%3D+SOVA+AND+Sprint+%3D+4206+AND+status+%3D+%22STARTING+%2810+%7E+40%25%29%22" xr:uid="{CF463E85-4C07-411C-B295-1570A437441B}"/>
    <hyperlink ref="F21" r:id="rId140" display="https://xrspace.atlassian.net/issues/?jql=created+%3E%3D+2025-02-01+AND+created+%3C%3D+2026-12-31+AND+type+%3D+Bug+AND+project+%3D+SOVA+AND+Sprint+%3D+4206+AND+status+%3D+%22READY+FOR+TESTING+%2890%25%29%22" xr:uid="{F1A873B6-620B-40B6-9799-5598290060EA}"/>
    <hyperlink ref="B22" r:id="rId141" display="https://xrspace.atlassian.net/issues/?jql=created+%3E%3D+2025-02-01+AND+created+%3C%3D+2026-12-31+AND+type+%3D+Bug+AND+project+%3D+SOVA+AND+Sprint+%3D+4477+AND+status+%3D+%22To+Do+%280%25%29%22" xr:uid="{606932E4-4537-4A93-AB39-709A59BEB9C4}"/>
    <hyperlink ref="D22" r:id="rId142" display="https://xrspace.atlassian.net/issues/?jql=created+%3E%3D+2025-02-01+AND+created+%3C%3D+2026-12-31+AND+type+%3D+Bug+AND+project+%3D+SOVA+AND+Sprint+%3D+4477+AND+status+%3D+%22In+Progress+%2850+%7E+70%25%29%22" xr:uid="{BFA88E40-10F9-466D-84D2-2B44149B2EB5}"/>
    <hyperlink ref="G22" r:id="rId143" display="https://xrspace.atlassian.net/issues/?jql=created+%3E%3D+2025-02-01+AND+created+%3C%3D+2026-12-31+AND+type+%3D+Bug+AND+project+%3D+SOVA+AND+Sprint+%3D+4477+AND+status+%3D+%22Done+%28100%25%29%22" xr:uid="{80B80F46-F536-4057-96B3-B049C29D4D60}"/>
    <hyperlink ref="E22" r:id="rId144" display="https://xrspace.atlassian.net/issues/?jql=created+%3E%3D+2025-02-01+AND+created+%3C%3D+2026-12-31+AND+type+%3D+Bug+AND+project+%3D+SOVA+AND+Sprint+%3D+4477+AND+status+%3D+%22IN+REVIEW+%2880%25%29%22" xr:uid="{5A3DFAE9-29DC-44FB-B101-039463DFACAE}"/>
    <hyperlink ref="H22" r:id="rId145" display="https://xrspace.atlassian.net/issues/?jql=created+%3E%3D+2025-02-01+AND+created+%3C%3D+2026-12-31+AND+type+%3D+Bug+AND+project+%3D+SOVA+AND+Sprint+%3D+4477+AND+status+%3D+%22WON%27T+DO+%28100%25%29%22" xr:uid="{06413ADC-FEFA-41E9-A7BA-AC94E161238A}"/>
    <hyperlink ref="C22" r:id="rId146" display="https://xrspace.atlassian.net/issues/?jql=created+%3E%3D+2025-02-01+AND+created+%3C%3D+2026-12-31+AND+type+%3D+Bug+AND+project+%3D+SOVA+AND+Sprint+%3D+4477+AND+status+%3D+%22STARTING+%2810+%7E+40%25%29%22" xr:uid="{B5353D1D-6466-48E0-8AA9-751A9D6BD25E}"/>
    <hyperlink ref="F22" r:id="rId147" display="https://xrspace.atlassian.net/issues/?jql=created+%3E%3D+2025-02-01+AND+created+%3C%3D+2026-12-31+AND+type+%3D+Bug+AND+project+%3D+SOVA+AND+Sprint+%3D+4477+AND+status+%3D+%22READY+FOR+TESTING+%2890%25%29%22" xr:uid="{CDCB117C-683F-4BE6-8EA4-13602622E325}"/>
    <hyperlink ref="B23" r:id="rId148" display="https://xrspace.atlassian.net/issues/?jql=created+%3E%3D+2025-02-01+AND+created+%3C%3D+2026-12-31+AND+type+%3D+Bug+AND+project+%3D+SOVA+AND+Sprint+%3D+4478+AND+status+%3D+%22To+Do+%280%25%29%22" xr:uid="{5F828C49-E409-4963-921B-14DFBA5BFE8D}"/>
    <hyperlink ref="D23" r:id="rId149" display="https://xrspace.atlassian.net/issues/?jql=created+%3E%3D+2025-02-01+AND+created+%3C%3D+2026-12-31+AND+type+%3D+Bug+AND+project+%3D+SOVA+AND+Sprint+%3D+4478+AND+status+%3D+%22In+Progress+%2850+%7E+70%25%29%22" xr:uid="{A1E0C001-8DD5-4F67-B136-36C37449C78E}"/>
    <hyperlink ref="G23" r:id="rId150" display="https://xrspace.atlassian.net/issues/?jql=created+%3E%3D+2025-02-01+AND+created+%3C%3D+2026-12-31+AND+type+%3D+Bug+AND+project+%3D+SOVA+AND+Sprint+%3D+4478+AND+status+%3D+%22Done+%28100%25%29%22" xr:uid="{8F545625-57EA-4C6A-933B-921294EDEC7E}"/>
    <hyperlink ref="E23" r:id="rId151" display="https://xrspace.atlassian.net/issues/?jql=created+%3E%3D+2025-02-01+AND+created+%3C%3D+2026-12-31+AND+type+%3D+Bug+AND+project+%3D+SOVA+AND+Sprint+%3D+4478+AND+status+%3D+%22IN+REVIEW+%2880%25%29%22" xr:uid="{37C37C27-F186-4E51-923A-894169447E8A}"/>
    <hyperlink ref="H23" r:id="rId152" display="https://xrspace.atlassian.net/issues/?jql=created+%3E%3D+2025-02-01+AND+created+%3C%3D+2026-12-31+AND+type+%3D+Bug+AND+project+%3D+SOVA+AND+Sprint+%3D+4478+AND+status+%3D+%22WON%27T+DO+%28100%25%29%22" xr:uid="{B56DBD5F-C88F-4429-A5B0-5AD5B8A736AC}"/>
    <hyperlink ref="C23" r:id="rId153" display="https://xrspace.atlassian.net/issues/?jql=created+%3E%3D+2025-02-01+AND+created+%3C%3D+2026-12-31+AND+type+%3D+Bug+AND+project+%3D+SOVA+AND+Sprint+%3D+4478+AND+status+%3D+%22STARTING+%2810+%7E+40%25%29%22" xr:uid="{7E0BD1F4-E72F-473E-A5FC-B0E573DE740B}"/>
    <hyperlink ref="F23" r:id="rId154" display="https://xrspace.atlassian.net/issues/?jql=created+%3E%3D+2025-02-01+AND+created+%3C%3D+2026-12-31+AND+type+%3D+Bug+AND+project+%3D+SOVA+AND+Sprint+%3D+4478+AND+status+%3D+%22READY+FOR+TESTING+%2890%25%29%22" xr:uid="{00C8F116-F663-450A-BEC2-852BE2D14546}"/>
  </hyperlinks>
  <pageMargins left="0.7" right="0.7" top="0.75" bottom="0.75" header="0.3" footer="0.3"/>
  <pageSetup orientation="portrait" r:id="rId155"/>
  <drawing r:id="rId156"/>
  <tableParts count="1">
    <tablePart r:id="rId15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17"/>
  <sheetViews>
    <sheetView workbookViewId="0">
      <selection activeCell="G12" sqref="G12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48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69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70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71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72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73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74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75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76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77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78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79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80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68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81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98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  <row r="17" spans="1:5" ht="20.100000000000001" customHeight="1">
      <c r="A17" s="3" t="s">
        <v>99</v>
      </c>
      <c r="B17" s="14">
        <v>68</v>
      </c>
      <c r="C17" s="14">
        <v>0</v>
      </c>
      <c r="D17" s="14">
        <v>38</v>
      </c>
      <c r="E17" s="14">
        <f>SUM(Table25[[#This Row],[Done]:[TODO (P1)]])</f>
        <v>106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2026-01-23T07:14:40Z</dcterms:modified>
</cp:coreProperties>
</file>