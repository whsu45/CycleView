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3D21A7C8-CAD7-4ADE-9616-853B98F47517}" xr6:coauthVersionLast="47" xr6:coauthVersionMax="47" xr10:uidLastSave="{00000000-0000-0000-0000-000000000000}"/>
  <bookViews>
    <workbookView xWindow="-120" yWindow="-120" windowWidth="29040" windowHeight="15720" activeTab="5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0" i="5" l="1"/>
  <c r="H21" i="3"/>
  <c r="H22" i="3"/>
  <c r="H23" i="3"/>
  <c r="H25" i="2"/>
  <c r="E21" i="1"/>
  <c r="E12" i="6"/>
  <c r="E20" i="1"/>
  <c r="H11" i="4"/>
  <c r="H12" i="4"/>
  <c r="H13" i="4"/>
  <c r="H14" i="4"/>
  <c r="H15" i="4"/>
  <c r="E19" i="1"/>
  <c r="H24" i="2"/>
  <c r="E13" i="6"/>
  <c r="I19" i="5"/>
  <c r="H23" i="2"/>
  <c r="E18" i="1"/>
  <c r="E10" i="6"/>
  <c r="E17" i="1"/>
  <c r="H26" i="2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E9" i="6"/>
  <c r="H22" i="2"/>
  <c r="H21" i="2"/>
  <c r="E8" i="6"/>
  <c r="H19" i="2"/>
  <c r="E6" i="6"/>
  <c r="E15" i="1"/>
  <c r="E5" i="6"/>
  <c r="E16" i="1"/>
  <c r="H18" i="2"/>
  <c r="E7" i="6"/>
  <c r="E14" i="1"/>
  <c r="H20" i="2"/>
  <c r="E13" i="1"/>
  <c r="E12" i="1"/>
  <c r="E3" i="6"/>
  <c r="E2" i="6"/>
  <c r="E4" i="6"/>
  <c r="H16" i="2"/>
  <c r="H20" i="3"/>
  <c r="E2" i="1"/>
  <c r="E3" i="1"/>
  <c r="E4" i="1"/>
  <c r="E5" i="1"/>
  <c r="E6" i="1"/>
  <c r="E7" i="1"/>
  <c r="E8" i="1"/>
  <c r="E9" i="1"/>
  <c r="E10" i="1"/>
  <c r="E11" i="1"/>
  <c r="H10" i="4"/>
  <c r="H19" i="3"/>
  <c r="H14" i="2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6" i="2"/>
  <c r="H2" i="2"/>
  <c r="H4" i="2"/>
  <c r="H8" i="2"/>
  <c r="H10" i="2"/>
  <c r="H12" i="2"/>
  <c r="H9" i="4"/>
  <c r="H3" i="4"/>
  <c r="H4" i="4"/>
  <c r="H5" i="4"/>
  <c r="H6" i="4"/>
  <c r="H7" i="4"/>
  <c r="H8" i="4"/>
  <c r="H2" i="4"/>
</calcChain>
</file>

<file path=xl/sharedStrings.xml><?xml version="1.0" encoding="utf-8"?>
<sst xmlns="http://schemas.openxmlformats.org/spreadsheetml/2006/main" count="155" uniqueCount="92">
  <si>
    <t>TODO (P1)</t>
  </si>
  <si>
    <t>W32</t>
  </si>
  <si>
    <t>W33</t>
  </si>
  <si>
    <t>W34</t>
  </si>
  <si>
    <t>W35</t>
  </si>
  <si>
    <t>Done</t>
  </si>
  <si>
    <t>In Review/Progress</t>
  </si>
  <si>
    <t>Total</t>
  </si>
  <si>
    <t>W36</t>
  </si>
  <si>
    <t>W37</t>
  </si>
  <si>
    <t>W38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</si>
  <si>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</si>
  <si>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</si>
  <si>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</si>
  <si>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</si>
  <si>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</si>
  <si>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</si>
  <si>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</si>
  <si>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</si>
  <si>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</si>
  <si>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</si>
  <si>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</si>
  <si>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</si>
  <si>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W28</t>
  </si>
  <si>
    <t>W29</t>
  </si>
  <si>
    <t>W30</t>
  </si>
  <si>
    <t>W31</t>
  </si>
  <si>
    <t>Blocked</t>
  </si>
  <si>
    <t>In Review</t>
  </si>
  <si>
    <t>To Do</t>
  </si>
  <si>
    <t>v1.15</t>
  </si>
  <si>
    <t>v1.16</t>
  </si>
  <si>
    <t>v1.17</t>
  </si>
  <si>
    <t>v1.18</t>
  </si>
  <si>
    <t>v1.19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</si>
  <si>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</si>
  <si>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</si>
  <si>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</si>
  <si>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</si>
  <si>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</si>
  <si>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</si>
  <si>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</si>
  <si>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</si>
  <si>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</si>
  <si>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y25w28</t>
  </si>
  <si>
    <t>y25w30</t>
  </si>
  <si>
    <t>y25w32</t>
  </si>
  <si>
    <t>y25w34</t>
  </si>
  <si>
    <t>y25w36</t>
  </si>
  <si>
    <t>Versions</t>
  </si>
  <si>
    <t>y25w38</t>
  </si>
  <si>
    <t>y25w40</t>
  </si>
  <si>
    <t>y25w16</t>
  </si>
  <si>
    <t>y25w18</t>
  </si>
  <si>
    <t>y25w20</t>
  </si>
  <si>
    <t>y25w22</t>
  </si>
  <si>
    <t>y25w24</t>
  </si>
  <si>
    <t>y25w26</t>
  </si>
  <si>
    <t>In Progress</t>
  </si>
  <si>
    <t>Week</t>
  </si>
  <si>
    <t>v1.29</t>
  </si>
  <si>
    <t>W39</t>
  </si>
  <si>
    <t>In QA</t>
  </si>
  <si>
    <t>Internal Test</t>
  </si>
  <si>
    <t>In Progress (50 ~ 70%)</t>
  </si>
  <si>
    <t>y25w42</t>
  </si>
  <si>
    <t>W40</t>
  </si>
  <si>
    <t>v1.30</t>
  </si>
  <si>
    <t>W41</t>
  </si>
  <si>
    <t>W42</t>
  </si>
  <si>
    <t>v1.31</t>
  </si>
  <si>
    <t>y25w44</t>
  </si>
  <si>
    <t>W43</t>
  </si>
  <si>
    <t>y25w46</t>
  </si>
  <si>
    <t>W44</t>
  </si>
  <si>
    <t>v1.32</t>
  </si>
  <si>
    <t>v1.33</t>
  </si>
  <si>
    <t>W45</t>
  </si>
  <si>
    <t>y25w48</t>
  </si>
  <si>
    <t>W46</t>
  </si>
  <si>
    <t>v1.34</t>
  </si>
  <si>
    <t>W47</t>
  </si>
  <si>
    <t>y25w50</t>
  </si>
  <si>
    <t>W48</t>
  </si>
  <si>
    <t>W49</t>
  </si>
  <si>
    <t>W50</t>
  </si>
  <si>
    <t>y25w52</t>
  </si>
  <si>
    <t>v1.35</t>
  </si>
  <si>
    <t>W51</t>
  </si>
  <si>
    <t>W52</t>
  </si>
  <si>
    <t>v1.36</t>
  </si>
  <si>
    <t>READY FOR TESTING (90%)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</si>
</sst>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</cellXfs>
  <cellStyles count="2">
    <cellStyle name="Hyperlink" xfId="1" builtinId="8"/>
    <cellStyle name="Normal" xfId="0" builtinId="0"/>
  </cellStyles>
  <dxfs count="35"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1" formatCode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TestAutomationProgress!$A$2:$A$21</c:f>
              <c:strCache>
                <c:ptCount val="20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  <c:pt idx="16">
                  <c:v>W49</c:v>
                </c:pt>
                <c:pt idx="17">
                  <c:v>W50</c:v>
                </c:pt>
                <c:pt idx="18">
                  <c:v>W51</c:v>
                </c:pt>
                <c:pt idx="19">
                  <c:v>W52</c:v>
                </c:pt>
              </c:strCache>
            </c:strRef>
          </c:cat>
          <c:val>
            <c:numRef>
              <c:f>TestAutomationProgress!$B$2:$B$21</c:f>
              <c:numCache>
                <c:formatCode>General</c:formatCode>
                <c:ptCount val="20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15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28</c:v>
                </c:pt>
                <c:pt idx="17">
                  <c:v>30</c:v>
                </c:pt>
                <c:pt idx="18">
                  <c:v>32</c:v>
                </c:pt>
                <c:pt idx="19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TestAutomationProgress!$A$2:$A$21</c:f>
              <c:strCache>
                <c:ptCount val="20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  <c:pt idx="16">
                  <c:v>W49</c:v>
                </c:pt>
                <c:pt idx="17">
                  <c:v>W50</c:v>
                </c:pt>
                <c:pt idx="18">
                  <c:v>W51</c:v>
                </c:pt>
                <c:pt idx="19">
                  <c:v>W52</c:v>
                </c:pt>
              </c:strCache>
            </c:strRef>
          </c:cat>
          <c:val>
            <c:numRef>
              <c:f>TestAutomationProgress!$C$2:$C$21</c:f>
              <c:numCache>
                <c:formatCode>General</c:formatCode>
                <c:ptCount val="20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  <c:pt idx="16">
                  <c:v>8</c:v>
                </c:pt>
                <c:pt idx="17">
                  <c:v>6</c:v>
                </c:pt>
                <c:pt idx="18">
                  <c:v>5</c:v>
                </c:pt>
                <c:pt idx="1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TestAutomationProgress!$A$2:$A$21</c:f>
              <c:strCache>
                <c:ptCount val="20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  <c:pt idx="16">
                  <c:v>W49</c:v>
                </c:pt>
                <c:pt idx="17">
                  <c:v>W50</c:v>
                </c:pt>
                <c:pt idx="18">
                  <c:v>W51</c:v>
                </c:pt>
                <c:pt idx="19">
                  <c:v>W52</c:v>
                </c:pt>
              </c:strCache>
            </c:strRef>
          </c:cat>
          <c:val>
            <c:numRef>
              <c:f>TestAutomationProgress!$D$2:$D$21</c:f>
              <c:numCache>
                <c:formatCode>General</c:formatCode>
                <c:ptCount val="20"/>
                <c:pt idx="0">
                  <c:v>115</c:v>
                </c:pt>
                <c:pt idx="1">
                  <c:v>114</c:v>
                </c:pt>
                <c:pt idx="2">
                  <c:v>109</c:v>
                </c:pt>
                <c:pt idx="3">
                  <c:v>108</c:v>
                </c:pt>
                <c:pt idx="4">
                  <c:v>104</c:v>
                </c:pt>
                <c:pt idx="5">
                  <c:v>228</c:v>
                </c:pt>
                <c:pt idx="6">
                  <c:v>224</c:v>
                </c:pt>
                <c:pt idx="7">
                  <c:v>220</c:v>
                </c:pt>
                <c:pt idx="8">
                  <c:v>219</c:v>
                </c:pt>
                <c:pt idx="9">
                  <c:v>173</c:v>
                </c:pt>
                <c:pt idx="10">
                  <c:v>172</c:v>
                </c:pt>
                <c:pt idx="11">
                  <c:v>168</c:v>
                </c:pt>
                <c:pt idx="12">
                  <c:v>166</c:v>
                </c:pt>
                <c:pt idx="13">
                  <c:v>160</c:v>
                </c:pt>
                <c:pt idx="14">
                  <c:v>160</c:v>
                </c:pt>
                <c:pt idx="15">
                  <c:v>161</c:v>
                </c:pt>
                <c:pt idx="16">
                  <c:v>160</c:v>
                </c:pt>
                <c:pt idx="17">
                  <c:v>160</c:v>
                </c:pt>
                <c:pt idx="18">
                  <c:v>160</c:v>
                </c:pt>
                <c:pt idx="19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'Humi-TestResult'!$B$2:$B$15</c:f>
              <c:numCache>
                <c:formatCode>General</c:formatCode>
                <c:ptCount val="14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1651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'Humi-TestResult'!$C$2:$C$15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'Humi-TestResult'!$D$2:$D$15</c:f>
              <c:numCache>
                <c:formatCode>General</c:formatCode>
                <c:ptCount val="14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'Humi-TestResult'!$E$2:$E$15</c:f>
              <c:numCache>
                <c:formatCode>General</c:formatCode>
                <c:ptCount val="14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'Humi-TestResult'!$F$2:$F$15</c:f>
              <c:numCache>
                <c:formatCode>General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'Humi-TestResult'!$G$2:$G$15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'Humi-TestResult'!$H$2:$H$15</c:f>
              <c:numCache>
                <c:formatCode>General</c:formatCode>
                <c:ptCount val="14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1910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'SOVA-TestResult'!$A$2:$A$26</c:f>
              <c:strCache>
                <c:ptCount val="25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  <c:pt idx="23">
                  <c:v>W51</c:v>
                </c:pt>
                <c:pt idx="24">
                  <c:v>W52</c:v>
                </c:pt>
              </c:strCache>
            </c:strRef>
          </c:cat>
          <c:val>
            <c:numRef>
              <c:f>'SOVA-TestResult'!$B$2:$B$26</c:f>
              <c:numCache>
                <c:formatCode>General</c:formatCode>
                <c:ptCount val="25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351</c:v>
                </c:pt>
                <c:pt idx="24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'SOVA-TestResult'!$A$2:$A$26</c:f>
              <c:strCache>
                <c:ptCount val="25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  <c:pt idx="23">
                  <c:v>W51</c:v>
                </c:pt>
                <c:pt idx="24">
                  <c:v>W52</c:v>
                </c:pt>
              </c:strCache>
            </c:strRef>
          </c:cat>
          <c:val>
            <c:numRef>
              <c:f>'SOVA-TestResult'!$C$2:$C$26</c:f>
              <c:numCache>
                <c:formatCode>General</c:formatCode>
                <c:ptCount val="25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'SOVA-TestResult'!$A$2:$A$26</c:f>
              <c:strCache>
                <c:ptCount val="25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  <c:pt idx="23">
                  <c:v>W51</c:v>
                </c:pt>
                <c:pt idx="24">
                  <c:v>W52</c:v>
                </c:pt>
              </c:strCache>
            </c:strRef>
          </c:cat>
          <c:val>
            <c:numRef>
              <c:f>'SOVA-TestResult'!$D$2:$D$26</c:f>
              <c:numCache>
                <c:formatCode>General</c:formatCode>
                <c:ptCount val="25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'SOVA-TestResult'!$A$2:$A$26</c:f>
              <c:strCache>
                <c:ptCount val="25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  <c:pt idx="23">
                  <c:v>W51</c:v>
                </c:pt>
                <c:pt idx="24">
                  <c:v>W52</c:v>
                </c:pt>
              </c:strCache>
            </c:strRef>
          </c:cat>
          <c:val>
            <c:numRef>
              <c:f>'SOVA-TestResult'!$E$2:$E$26</c:f>
              <c:numCache>
                <c:formatCode>General</c:formatCode>
                <c:ptCount val="25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'SOVA-TestResult'!$A$2:$A$26</c:f>
              <c:strCache>
                <c:ptCount val="25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  <c:pt idx="23">
                  <c:v>W51</c:v>
                </c:pt>
                <c:pt idx="24">
                  <c:v>W52</c:v>
                </c:pt>
              </c:strCache>
            </c:strRef>
          </c:cat>
          <c:val>
            <c:numRef>
              <c:f>'SOVA-TestResult'!$F$2:$F$26</c:f>
              <c:numCache>
                <c:formatCode>General</c:formatCode>
                <c:ptCount val="25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'SOVA-TestResult'!$A$2:$A$26</c:f>
              <c:strCache>
                <c:ptCount val="25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  <c:pt idx="23">
                  <c:v>W51</c:v>
                </c:pt>
                <c:pt idx="24">
                  <c:v>W52</c:v>
                </c:pt>
              </c:strCache>
            </c:strRef>
          </c:cat>
          <c:val>
            <c:numRef>
              <c:f>'SOVA-TestResult'!$G$2:$G$26</c:f>
              <c:numCache>
                <c:formatCode>General</c:formatCode>
                <c:ptCount val="25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'SOVA-TestResult'!$A$2:$A$26</c:f>
              <c:strCache>
                <c:ptCount val="25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  <c:pt idx="23">
                  <c:v>W51</c:v>
                </c:pt>
                <c:pt idx="24">
                  <c:v>W52</c:v>
                </c:pt>
              </c:strCache>
            </c:strRef>
          </c:cat>
          <c:val>
            <c:numRef>
              <c:f>'SOVA-TestResult'!$H$2:$H$26</c:f>
              <c:numCache>
                <c:formatCode>General</c:formatCode>
                <c:ptCount val="25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378</c:v>
                </c:pt>
                <c:pt idx="24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'Humi-BugTrend'!$A$2:$A$23</c:f>
              <c:strCache>
                <c:ptCount val="22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</c:strCache>
            </c:strRef>
          </c:cat>
          <c:val>
            <c:numRef>
              <c:f>'Humi-BugTrend'!$B$2:$B$23</c:f>
              <c:numCache>
                <c:formatCode>General</c:formatCode>
                <c:ptCount val="22"/>
                <c:pt idx="0">
                  <c:v>9</c:v>
                </c:pt>
                <c:pt idx="1">
                  <c:v>7</c:v>
                </c:pt>
                <c:pt idx="2">
                  <c:v>25</c:v>
                </c:pt>
                <c:pt idx="3">
                  <c:v>31</c:v>
                </c:pt>
                <c:pt idx="4">
                  <c:v>15</c:v>
                </c:pt>
                <c:pt idx="5">
                  <c:v>15</c:v>
                </c:pt>
                <c:pt idx="6">
                  <c:v>7</c:v>
                </c:pt>
                <c:pt idx="7">
                  <c:v>18</c:v>
                </c:pt>
                <c:pt idx="8">
                  <c:v>17</c:v>
                </c:pt>
                <c:pt idx="9">
                  <c:v>26</c:v>
                </c:pt>
                <c:pt idx="10">
                  <c:v>15</c:v>
                </c:pt>
                <c:pt idx="11">
                  <c:v>9</c:v>
                </c:pt>
                <c:pt idx="12">
                  <c:v>6</c:v>
                </c:pt>
                <c:pt idx="13">
                  <c:v>11</c:v>
                </c:pt>
                <c:pt idx="14">
                  <c:v>2</c:v>
                </c:pt>
                <c:pt idx="15">
                  <c:v>14</c:v>
                </c:pt>
                <c:pt idx="16">
                  <c:v>2</c:v>
                </c:pt>
                <c:pt idx="17">
                  <c:v>5</c:v>
                </c:pt>
                <c:pt idx="18">
                  <c:v>17</c:v>
                </c:pt>
                <c:pt idx="19">
                  <c:v>8</c:v>
                </c:pt>
                <c:pt idx="20">
                  <c:v>8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</c:strCache>
            </c:strRef>
          </c:cat>
          <c:val>
            <c:numRef>
              <c:f>'Humi-BugTrend'!$C$2:$C$23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</c:strCache>
            </c:strRef>
          </c:cat>
          <c:val>
            <c:numRef>
              <c:f>'Humi-BugTrend'!$D$2:$D$23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</c:strCache>
            </c:strRef>
          </c:cat>
          <c:val>
            <c:numRef>
              <c:f>'Humi-BugTrend'!$E$2:$E$23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</c:strCache>
            </c:strRef>
          </c:cat>
          <c:val>
            <c:numRef>
              <c:f>'Humi-BugTrend'!$F$2:$F$23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</c:strCache>
            </c:strRef>
          </c:cat>
          <c:val>
            <c:numRef>
              <c:f>'Humi-BugTrend'!$G$2:$G$23</c:f>
              <c:numCache>
                <c:formatCode>General</c:formatCode>
                <c:ptCount val="22"/>
                <c:pt idx="0">
                  <c:v>92</c:v>
                </c:pt>
                <c:pt idx="1">
                  <c:v>59</c:v>
                </c:pt>
                <c:pt idx="2">
                  <c:v>168</c:v>
                </c:pt>
                <c:pt idx="3">
                  <c:v>156</c:v>
                </c:pt>
                <c:pt idx="4">
                  <c:v>76</c:v>
                </c:pt>
                <c:pt idx="5">
                  <c:v>61</c:v>
                </c:pt>
                <c:pt idx="6">
                  <c:v>46</c:v>
                </c:pt>
                <c:pt idx="7">
                  <c:v>42</c:v>
                </c:pt>
                <c:pt idx="8">
                  <c:v>33</c:v>
                </c:pt>
                <c:pt idx="9">
                  <c:v>25</c:v>
                </c:pt>
                <c:pt idx="10">
                  <c:v>55</c:v>
                </c:pt>
                <c:pt idx="11">
                  <c:v>39</c:v>
                </c:pt>
                <c:pt idx="12">
                  <c:v>33</c:v>
                </c:pt>
                <c:pt idx="13">
                  <c:v>28</c:v>
                </c:pt>
                <c:pt idx="14">
                  <c:v>1</c:v>
                </c:pt>
                <c:pt idx="15">
                  <c:v>7</c:v>
                </c:pt>
                <c:pt idx="16">
                  <c:v>11</c:v>
                </c:pt>
                <c:pt idx="17">
                  <c:v>8</c:v>
                </c:pt>
                <c:pt idx="18">
                  <c:v>34</c:v>
                </c:pt>
                <c:pt idx="19">
                  <c:v>35</c:v>
                </c:pt>
                <c:pt idx="20">
                  <c:v>18</c:v>
                </c:pt>
                <c:pt idx="2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'Humi-BugTrend'!$A$2:$A$23</c:f>
              <c:strCache>
                <c:ptCount val="22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  <c:pt idx="21">
                  <c:v>v1.36</c:v>
                </c:pt>
              </c:strCache>
            </c:strRef>
          </c:cat>
          <c:val>
            <c:numRef>
              <c:f>'Humi-BugTrend'!$H$2:$H$23</c:f>
              <c:numCache>
                <c:formatCode>General</c:formatCode>
                <c:ptCount val="22"/>
                <c:pt idx="0">
                  <c:v>101</c:v>
                </c:pt>
                <c:pt idx="1">
                  <c:v>66</c:v>
                </c:pt>
                <c:pt idx="2">
                  <c:v>193</c:v>
                </c:pt>
                <c:pt idx="3">
                  <c:v>187</c:v>
                </c:pt>
                <c:pt idx="4">
                  <c:v>91</c:v>
                </c:pt>
                <c:pt idx="5">
                  <c:v>77</c:v>
                </c:pt>
                <c:pt idx="6">
                  <c:v>53</c:v>
                </c:pt>
                <c:pt idx="7">
                  <c:v>62</c:v>
                </c:pt>
                <c:pt idx="8">
                  <c:v>51</c:v>
                </c:pt>
                <c:pt idx="9">
                  <c:v>51</c:v>
                </c:pt>
                <c:pt idx="10">
                  <c:v>70</c:v>
                </c:pt>
                <c:pt idx="11">
                  <c:v>49</c:v>
                </c:pt>
                <c:pt idx="12">
                  <c:v>39</c:v>
                </c:pt>
                <c:pt idx="13">
                  <c:v>40</c:v>
                </c:pt>
                <c:pt idx="14">
                  <c:v>3</c:v>
                </c:pt>
                <c:pt idx="15">
                  <c:v>22</c:v>
                </c:pt>
                <c:pt idx="16">
                  <c:v>13</c:v>
                </c:pt>
                <c:pt idx="17" formatCode="0">
                  <c:v>13</c:v>
                </c:pt>
                <c:pt idx="18" formatCode="0">
                  <c:v>53</c:v>
                </c:pt>
                <c:pt idx="19" formatCode="0">
                  <c:v>43</c:v>
                </c:pt>
                <c:pt idx="20" formatCode="0">
                  <c:v>30</c:v>
                </c:pt>
                <c:pt idx="21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'SOVA-BugTrend'!$B$2:$B$20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9</c:v>
                </c:pt>
                <c:pt idx="17">
                  <c:v>8</c:v>
                </c:pt>
                <c:pt idx="1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'SOVA-BugTrend'!$C$2:$C$20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'SOVA-BugTrend'!$D$2:$D$20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'SOVA-BugTrend'!$E$2:$E$20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READY FOR TESTING (90%)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'SOVA-BugTrend'!$F$2:$F$20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'SOVA-BugTrend'!$G$2:$G$20</c:f>
              <c:numCache>
                <c:formatCode>General</c:formatCode>
                <c:ptCount val="19"/>
                <c:pt idx="0">
                  <c:v>20</c:v>
                </c:pt>
                <c:pt idx="1">
                  <c:v>20</c:v>
                </c:pt>
                <c:pt idx="2">
                  <c:v>16</c:v>
                </c:pt>
                <c:pt idx="3">
                  <c:v>16</c:v>
                </c:pt>
                <c:pt idx="4">
                  <c:v>55</c:v>
                </c:pt>
                <c:pt idx="5">
                  <c:v>35</c:v>
                </c:pt>
                <c:pt idx="6">
                  <c:v>39</c:v>
                </c:pt>
                <c:pt idx="7">
                  <c:v>39</c:v>
                </c:pt>
                <c:pt idx="8">
                  <c:v>45</c:v>
                </c:pt>
                <c:pt idx="9">
                  <c:v>18</c:v>
                </c:pt>
                <c:pt idx="10">
                  <c:v>25</c:v>
                </c:pt>
                <c:pt idx="11">
                  <c:v>45</c:v>
                </c:pt>
                <c:pt idx="12">
                  <c:v>24</c:v>
                </c:pt>
                <c:pt idx="13">
                  <c:v>43</c:v>
                </c:pt>
                <c:pt idx="14">
                  <c:v>35</c:v>
                </c:pt>
                <c:pt idx="15">
                  <c:v>28</c:v>
                </c:pt>
                <c:pt idx="16">
                  <c:v>34</c:v>
                </c:pt>
                <c:pt idx="17">
                  <c:v>22</c:v>
                </c:pt>
                <c:pt idx="18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'SOVA-BugTrend'!$H$2:$H$20</c:f>
              <c:numCache>
                <c:formatCode>General</c:formatCode>
                <c:ptCount val="19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ser>
          <c:idx val="7"/>
          <c:order val="7"/>
          <c:tx>
            <c:strRef>
              <c:f>'SOVA-BugTrend'!$I$1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'SOVA-BugTrend'!$I$2:$I$20</c:f>
              <c:numCache>
                <c:formatCode>General</c:formatCode>
                <c:ptCount val="19"/>
                <c:pt idx="0">
                  <c:v>23</c:v>
                </c:pt>
                <c:pt idx="1">
                  <c:v>22</c:v>
                </c:pt>
                <c:pt idx="2">
                  <c:v>18</c:v>
                </c:pt>
                <c:pt idx="3">
                  <c:v>18</c:v>
                </c:pt>
                <c:pt idx="4">
                  <c:v>59</c:v>
                </c:pt>
                <c:pt idx="5">
                  <c:v>39</c:v>
                </c:pt>
                <c:pt idx="6">
                  <c:v>42</c:v>
                </c:pt>
                <c:pt idx="7">
                  <c:v>46</c:v>
                </c:pt>
                <c:pt idx="8">
                  <c:v>53</c:v>
                </c:pt>
                <c:pt idx="9">
                  <c:v>20</c:v>
                </c:pt>
                <c:pt idx="10">
                  <c:v>32</c:v>
                </c:pt>
                <c:pt idx="11">
                  <c:v>53</c:v>
                </c:pt>
                <c:pt idx="12">
                  <c:v>25</c:v>
                </c:pt>
                <c:pt idx="13">
                  <c:v>43</c:v>
                </c:pt>
                <c:pt idx="14">
                  <c:v>35</c:v>
                </c:pt>
                <c:pt idx="15">
                  <c:v>29</c:v>
                </c:pt>
                <c:pt idx="16">
                  <c:v>44</c:v>
                </c:pt>
                <c:pt idx="17">
                  <c:v>36</c:v>
                </c:pt>
                <c:pt idx="18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9-4D09-84BF-8AEC42909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24</xdr:row>
      <xdr:rowOff>171448</xdr:rowOff>
    </xdr:from>
    <xdr:to>
      <xdr:col>8</xdr:col>
      <xdr:colOff>95250</xdr:colOff>
      <xdr:row>53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114300</xdr:rowOff>
    </xdr:from>
    <xdr:to>
      <xdr:col>6</xdr:col>
      <xdr:colOff>1028700</xdr:colOff>
      <xdr:row>46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30</xdr:row>
      <xdr:rowOff>69662</xdr:rowOff>
    </xdr:from>
    <xdr:to>
      <xdr:col>6</xdr:col>
      <xdr:colOff>1057275</xdr:colOff>
      <xdr:row>59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25</xdr:row>
      <xdr:rowOff>142875</xdr:rowOff>
    </xdr:from>
    <xdr:to>
      <xdr:col>8</xdr:col>
      <xdr:colOff>428625</xdr:colOff>
      <xdr:row>54</xdr:row>
      <xdr:rowOff>88899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24</xdr:row>
      <xdr:rowOff>12700</xdr:rowOff>
    </xdr:from>
    <xdr:to>
      <xdr:col>8</xdr:col>
      <xdr:colOff>219075</xdr:colOff>
      <xdr:row>53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1" totalsRowShown="0" headerRowDxfId="34">
  <autoFilter ref="A1:E21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3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5" totalsRowShown="0" headerRowDxfId="32">
  <autoFilter ref="A1:H15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>
      <calculatedColumnFormula>SUM(B2:G2)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26" totalsRowShown="0" headerRowDxfId="31">
  <autoFilter ref="A1:H26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0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3" totalsRowShown="0" headerRowDxfId="29">
  <autoFilter ref="A1:H23" xr:uid="{E4AD0B7A-EC5B-4838-AC2B-8475A3B6644B}"/>
  <tableColumns count="8">
    <tableColumn id="1" xr3:uid="{58F8A895-CEBE-41D2-B7BB-1681C0697C85}" name="Version"/>
    <tableColumn id="2" xr3:uid="{CE08A48D-2419-484B-993C-54A546869B61}" name="To Do" dataDxfId="28"/>
    <tableColumn id="3" xr3:uid="{FC519478-6B36-4D96-93F3-3AF4B1D70F3E}" name="In Progress" dataDxfId="27"/>
    <tableColumn id="5" xr3:uid="{52258D92-71B9-4E63-A3AA-5ABE6B4F3D23}" name="In Review" dataDxfId="26"/>
    <tableColumn id="4" xr3:uid="{C5EE39F3-E9DF-4F2E-9576-6DDB97E21DB3}" name="In QA" dataDxfId="25"/>
    <tableColumn id="6" xr3:uid="{CC106112-C63E-4AA5-9AAA-D0A99983E0DD}" name="Internal Test" dataDxfId="24"/>
    <tableColumn id="7" xr3:uid="{C69EECCF-E5E5-4372-B171-2B35FE10B60D}" name="Done" dataDxfId="23"/>
    <tableColumn id="8" xr3:uid="{C7A900BC-8967-4049-AE22-7F9EDE21E913}" name="Total" dataDxfId="22" totalsRowDxfId="21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I20" totalsRowShown="0" headerRowDxfId="20" dataDxfId="18" headerRowBorderDxfId="19" tableBorderDxfId="17" totalsRowBorderDxfId="16" dataCellStyle="Hyperlink">
  <autoFilter ref="A1:I20" xr:uid="{108F5145-A108-41DB-B2C3-516BE7C86923}"/>
  <tableColumns count="9">
    <tableColumn id="1" xr3:uid="{5BE08AE0-E0B5-4B46-9423-456B88C2D9BC}" name="Sprint" dataDxfId="15"/>
    <tableColumn id="2" xr3:uid="{030F9647-4FC0-4C7E-9B3A-AB099CC59EBA}" name="To Do (0%)" dataDxfId="14" dataCellStyle="Hyperlink"/>
    <tableColumn id="3" xr3:uid="{7D2923F3-E2CF-4FD9-A7A5-68C36BB95591}" name="STARTING (10 ~ 40%)" dataDxfId="13" dataCellStyle="Hyperlink"/>
    <tableColumn id="4" xr3:uid="{48FB5317-7F3B-4F74-B244-5A49C7749EBD}" name="In Progress (50 ~ 70%)" dataDxfId="12" dataCellStyle="Hyperlink"/>
    <tableColumn id="5" xr3:uid="{86F5CCB5-C4C2-4C36-935A-657F085500B1}" name="IN REVIEW (80%)" dataDxfId="11" dataCellStyle="Hyperlink"/>
    <tableColumn id="9" xr3:uid="{51D22AE3-424C-4604-9869-D672DED4301F}" name="READY FOR TESTING (90%)" dataDxfId="0" dataCellStyle="Hyperlink"/>
    <tableColumn id="6" xr3:uid="{33C9BCE6-D9EB-4032-9B0A-DDD9A4051A2D}" name="Done (100%)" dataDxfId="10" dataCellStyle="Hyperlink"/>
    <tableColumn id="8" xr3:uid="{D624FC89-A88E-45AC-9D22-66D66702B8C5}" name="WON'T DO (100%)" dataDxfId="9" dataCellStyle="Hyperlink"/>
    <tableColumn id="7" xr3:uid="{EFEEB7EC-E2D1-40EA-B265-A558311E5D30}" name="Total" dataDxfId="8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13" totalsRowShown="0" headerRowDxfId="7" dataDxfId="6">
  <autoFilter ref="A1:E13" xr:uid="{2C55E946-0086-4A42-AEAE-DA5ED4E8BB10}"/>
  <tableColumns count="5">
    <tableColumn id="1" xr3:uid="{7070D9F2-0ED1-4F39-8D72-28B37C8E98F2}" name="Week" dataDxfId="5"/>
    <tableColumn id="2" xr3:uid="{1173F443-CC27-4C6E-A432-BF66DB2A740E}" name="Done" dataDxfId="4"/>
    <tableColumn id="3" xr3:uid="{2EE10CB5-1AF1-4B50-9456-B3A666DD5338}" name="In Review/Progress" dataDxfId="3"/>
    <tableColumn id="4" xr3:uid="{328D0A00-85F0-4BFF-81FE-C023998A3701}" name="TODO (P1)" dataDxfId="2"/>
    <tableColumn id="5" xr3:uid="{E385808E-1FCD-451C-9807-DAF18A42B704}" name="Total" dataDxfId="1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1-01+AND+created+%3C%3D+2025-12-31+AND+type+%3D+Bug+AND+project+%3D+SOVA+AND+Sprint+%3D+3872+AND+status+%3D+%22WON%27T+DO+%28100%25%29%22" TargetMode="External"/><Relationship Id="rId21" Type="http://schemas.openxmlformats.org/officeDocument/2006/relationships/hyperlink" Target="https://xrspace.atlassian.net/issues/?jql=created+%3E%3D+2025-01-01+AND+created+%3C%3D+2025-12-31+AND+type+%3D+Bug+AND+project+%3D+SOVA+AND+Sprint+%3D+1496+AND+status+%3D+%22READY+FOR+TESTING+%2890%25%29%22" TargetMode="External"/><Relationship Id="rId42" Type="http://schemas.openxmlformats.org/officeDocument/2006/relationships/hyperlink" Target="https://xrspace.atlassian.net/issues/?jql=created+%3E%3D+2025-01-01+AND+created+%3C%3D+2025-12-31+AND+type+%3D+Bug+AND+project+%3D+SOVA+AND+Sprint+%3D+1499+AND+status+%3D+%22READY+FOR+TESTING+%2890%25%29%22" TargetMode="External"/><Relationship Id="rId63" Type="http://schemas.openxmlformats.org/officeDocument/2006/relationships/hyperlink" Target="https://xrspace.atlassian.net/issues/?jql=created+%3E%3D+2025-01-01+AND+created+%3C%3D+2025-12-31+AND+type+%3D+Bug+AND+project+%3D+SOVA+AND+Sprint+%3D+2618+AND+status+%3D+%22READY+FOR+TESTING+%2890%25%29%22" TargetMode="External"/><Relationship Id="rId84" Type="http://schemas.openxmlformats.org/officeDocument/2006/relationships/hyperlink" Target="https://xrspace.atlassian.net/issues/?jql=created+%3E%3D+2025-01-01+AND+created+%3C%3D+2025-12-31+AND+type+%3D+Bug+AND+project+%3D+SOVA+AND+Sprint+%3D+3213+AND+status+%3D+%22READY+FOR+TESTING+%2890%25%29%22" TargetMode="External"/><Relationship Id="rId16" Type="http://schemas.openxmlformats.org/officeDocument/2006/relationships/hyperlink" Target="https://xrspace.atlassian.net/issues/?jql=created+%3E%3D+2025-01-01+AND+created+%3C%3D+2025-12-31+AND+type+%3D+Bug+AND+project+%3D+SOVA+AND+Sprint+%3D+1496+AND+status+%3D+%22In+Progress+%2850+%7E+70%25%29%22" TargetMode="External"/><Relationship Id="rId107" Type="http://schemas.openxmlformats.org/officeDocument/2006/relationships/hyperlink" Target="https://xrspace.atlassian.net/issues/?jql=created+%3E%3D+2025-01-01+AND+created+%3C%3D+2025-12-31+AND+type+%3D+Bug+AND+project+%3D+SOVA+AND+Sprint+%3D+3608+AND+status+%3D+%22In+Progress+%2850+%7E+70%25%29%22" TargetMode="External"/><Relationship Id="rId11" Type="http://schemas.openxmlformats.org/officeDocument/2006/relationships/hyperlink" Target="https://xrspace.atlassian.net/issues/?jql=created+%3E%3D+2025-01-01+AND+created+%3C%3D+2025-12-31+AND+type+%3D+Bug+AND+project+%3D+SOVA+AND+Sprint+%3D+1466+AND+status+%3D+%22IN+REVIEW+%2880%25%29%22" TargetMode="External"/><Relationship Id="rId32" Type="http://schemas.openxmlformats.org/officeDocument/2006/relationships/hyperlink" Target="https://xrspace.atlassian.net/issues/?jql=created+%3E%3D+2025-01-01+AND+created+%3C%3D+2025-12-31+AND+type+%3D+Bug+AND+project+%3D+SOVA+AND+Sprint+%3D+1498+AND+status+%3D+%22IN+REVIEW+%2880%25%29%22" TargetMode="External"/><Relationship Id="rId37" Type="http://schemas.openxmlformats.org/officeDocument/2006/relationships/hyperlink" Target="https://xrspace.atlassian.net/issues/?jql=created+%3E%3D+2025-01-01+AND+created+%3C%3D+2025-12-31+AND+type+%3D+Bug+AND+project+%3D+SOVA+AND+Sprint+%3D+1499+AND+status+%3D+%22In+Progress+%2850+%7E+70%25%29%22" TargetMode="External"/><Relationship Id="rId53" Type="http://schemas.openxmlformats.org/officeDocument/2006/relationships/hyperlink" Target="https://xrspace.atlassian.net/issues/?jql=created+%3E%3D+2025-01-01+AND+created+%3C%3D+2025-12-31+AND+type+%3D+Bug+AND+project+%3D+SOVA+AND+Sprint+%3D+2157+AND+status+%3D+%22IN+REVIEW+%2880%25%29%22" TargetMode="External"/><Relationship Id="rId58" Type="http://schemas.openxmlformats.org/officeDocument/2006/relationships/hyperlink" Target="https://xrspace.atlassian.net/issues/?jql=created+%3E%3D+2025-01-01+AND+created+%3C%3D+2025-12-31+AND+type+%3D+Bug+AND+project+%3D+SOVA+AND+Sprint+%3D+2618+AND+status+%3D+%22In+Progress+%2850+%7E+70%25%29%22" TargetMode="External"/><Relationship Id="rId74" Type="http://schemas.openxmlformats.org/officeDocument/2006/relationships/hyperlink" Target="https://xrspace.atlassian.net/issues/?jql=created+%3E%3D+2025-01-01+AND+created+%3C%3D+2025-12-31+AND+type+%3D+Bug+AND+project+%3D+SOVA+AND+Sprint+%3D+2882+AND+status+%3D+%22IN+REVIEW+%2880%25%29%22" TargetMode="External"/><Relationship Id="rId79" Type="http://schemas.openxmlformats.org/officeDocument/2006/relationships/hyperlink" Target="https://xrspace.atlassian.net/issues/?jql=created+%3E%3D+2025-01-01+AND+created+%3C%3D+2025-12-31+AND+type+%3D+Bug+AND+project+%3D+SOVA+AND+Sprint+%3D+3213+AND+status+%3D+%22In+Progress+%2850+%7E+70%25%29%22" TargetMode="External"/><Relationship Id="rId102" Type="http://schemas.openxmlformats.org/officeDocument/2006/relationships/hyperlink" Target="https://xrspace.atlassian.net/issues/?jql=created+%3E%3D+2025-01-01+AND+created+%3C%3D+2025-12-31+AND+type+%3D+Bug+AND+project+%3D+SOVA+AND+Sprint+%3D+3575+AND+status+%3D+%22IN+REVIEW+%2880%25%29%22" TargetMode="External"/><Relationship Id="rId123" Type="http://schemas.openxmlformats.org/officeDocument/2006/relationships/hyperlink" Target="https://xrspace.atlassian.net/issues/?jql=created+%3E%3D+2025-01-01+AND+created+%3C%3D+2025-12-31+AND+type+%3D+Bug+AND+project+%3D+SOVA+AND+Sprint+%3D+3873+AND+status+%3D+%22IN+REVIEW+%2880%25%29%22" TargetMode="External"/><Relationship Id="rId128" Type="http://schemas.openxmlformats.org/officeDocument/2006/relationships/hyperlink" Target="https://xrspace.atlassian.net/issues/?jql=created+%3E%3D+2025-01-01+AND+created+%3C%3D+2025-12-31+AND+type+%3D+Bug+AND+project+%3D+SOVA+AND+Sprint+%3D+4140+AND+status+%3D+%22In+Progress+%2850+%7E+70%25%29%22" TargetMode="External"/><Relationship Id="rId5" Type="http://schemas.openxmlformats.org/officeDocument/2006/relationships/hyperlink" Target="https://xrspace.atlassian.net/issues/?jql=created+%3E%3D+2025-01-01+AND+created+%3C%3D+2025-12-31+AND+type+%3D+Bug+AND+project+%3D+SOVA+AND+Sprint+%3D+1463+AND+status+%3D+%22WON%27T+DO+%28100%25%29%22" TargetMode="External"/><Relationship Id="rId90" Type="http://schemas.openxmlformats.org/officeDocument/2006/relationships/hyperlink" Target="https://xrspace.atlassian.net/issues/?jql=created+%3E%3D+2025-01-01+AND+created+%3C%3D+2025-12-31+AND+type+%3D+Bug+AND+project+%3D+SOVA+AND+Sprint+%3D+3245+AND+status+%3D+%22STARTING+%2810+%7E+40%25%29%22" TargetMode="External"/><Relationship Id="rId95" Type="http://schemas.openxmlformats.org/officeDocument/2006/relationships/hyperlink" Target="https://xrspace.atlassian.net/issues/?jql=created+%3E%3D+2025-01-01+AND+created+%3C%3D+2025-12-31+AND+type+%3D+Bug+AND+project+%3D+SOVA+AND+Sprint+%3D+3246+AND+status+%3D+%22IN+REVIEW+%2880%25%29%22" TargetMode="External"/><Relationship Id="rId22" Type="http://schemas.openxmlformats.org/officeDocument/2006/relationships/hyperlink" Target="https://xrspace.atlassian.net/issues/?jql=created+%3E%3D+2025-01-01+AND+created+%3C%3D+2025-12-31+AND+type+%3D+Bug+AND+project+%3D+SOVA+AND+Sprint+%3D+1497+AND+status+%3D+%22To+Do+%280%25%29%22" TargetMode="External"/><Relationship Id="rId27" Type="http://schemas.openxmlformats.org/officeDocument/2006/relationships/hyperlink" Target="https://xrspace.atlassian.net/issues/?jql=created+%3E%3D+2025-01-01+AND+created+%3C%3D+2025-12-31+AND+type+%3D+Bug+AND+project+%3D+SOVA+AND+Sprint+%3D+1497+AND+status+%3D+%22STARTING+%2810+%7E+40%25%29%22" TargetMode="External"/><Relationship Id="rId43" Type="http://schemas.openxmlformats.org/officeDocument/2006/relationships/hyperlink" Target="https://xrspace.atlassian.net/issues/?jql=created+%3E%3D+2025-01-01+AND+created+%3C%3D+2025-12-31+AND+type+%3D+Bug+AND+project+%3D+SOVA+AND+Sprint+%3D+2156+AND+status+%3D+%22To+Do+%280%25%29%22" TargetMode="External"/><Relationship Id="rId48" Type="http://schemas.openxmlformats.org/officeDocument/2006/relationships/hyperlink" Target="https://xrspace.atlassian.net/issues/?jql=created+%3E%3D+2025-01-01+AND+created+%3C%3D+2025-12-31+AND+type+%3D+Bug+AND+project+%3D+SOVA+AND+Sprint+%3D+2156+AND+status+%3D+%22STARTING+%2810+%7E+40%25%29%22" TargetMode="External"/><Relationship Id="rId64" Type="http://schemas.openxmlformats.org/officeDocument/2006/relationships/hyperlink" Target="https://xrspace.atlassian.net/issues/?jql=created+%3E%3D+2025-01-01+AND+created+%3C%3D+2025-12-31+AND+type+%3D+Bug+AND+project+%3D+SOVA+AND+Sprint+%3D+2619+AND+status+%3D+%22To+Do+%280%25%29%22" TargetMode="External"/><Relationship Id="rId69" Type="http://schemas.openxmlformats.org/officeDocument/2006/relationships/hyperlink" Target="https://xrspace.atlassian.net/issues/?jql=created+%3E%3D+2025-01-01+AND+created+%3C%3D+2025-12-31+AND+type+%3D+Bug+AND+project+%3D+SOVA+AND+Sprint+%3D+2619+AND+status+%3D+%22STARTING+%2810+%7E+40%25%29%22" TargetMode="External"/><Relationship Id="rId113" Type="http://schemas.openxmlformats.org/officeDocument/2006/relationships/hyperlink" Target="https://xrspace.atlassian.net/issues/?jql=created+%3E%3D+2025-01-01+AND+created+%3C%3D+2025-12-31+AND+type+%3D+Bug+AND+project+%3D+SOVA+AND+Sprint+%3D+3872+AND+status+%3D+%22To+Do+%280%25%29%22" TargetMode="External"/><Relationship Id="rId118" Type="http://schemas.openxmlformats.org/officeDocument/2006/relationships/hyperlink" Target="https://xrspace.atlassian.net/issues/?jql=created+%3E%3D+2025-01-01+AND+created+%3C%3D+2025-12-31+AND+type+%3D+Bug+AND+project+%3D+SOVA+AND+Sprint+%3D+3872+AND+status+%3D+%22STARTING+%2810+%7E+40%25%29%22" TargetMode="External"/><Relationship Id="rId134" Type="http://schemas.openxmlformats.org/officeDocument/2006/relationships/printerSettings" Target="../printerSettings/printerSettings3.bin"/><Relationship Id="rId80" Type="http://schemas.openxmlformats.org/officeDocument/2006/relationships/hyperlink" Target="https://xrspace.atlassian.net/issues/?jql=created+%3E%3D+2025-01-01+AND+created+%3C%3D+2025-12-31+AND+type+%3D+Bug+AND+project+%3D+SOVA+AND+Sprint+%3D+3213+AND+status+%3D+%22Done+%28100%25%29%22" TargetMode="External"/><Relationship Id="rId85" Type="http://schemas.openxmlformats.org/officeDocument/2006/relationships/hyperlink" Target="https://xrspace.atlassian.net/issues/?jql=created+%3E%3D+2025-01-01+AND+created+%3C%3D+2025-12-31+AND+type+%3D+Bug+AND+project+%3D+SOVA+AND+Sprint+%3D+3245+AND+status+%3D+%22To+Do+%280%25%29%22" TargetMode="External"/><Relationship Id="rId12" Type="http://schemas.openxmlformats.org/officeDocument/2006/relationships/hyperlink" Target="https://xrspace.atlassian.net/issues/?jql=created+%3E%3D+2025-01-01+AND+created+%3C%3D+2025-12-31+AND+type+%3D+Bug+AND+project+%3D+SOVA+AND+Sprint+%3D+1466+AND+status+%3D+%22WON%27T+DO+%28100%25%29%22" TargetMode="External"/><Relationship Id="rId17" Type="http://schemas.openxmlformats.org/officeDocument/2006/relationships/hyperlink" Target="https://xrspace.atlassian.net/issues/?jql=created+%3E%3D+2025-01-01+AND+created+%3C%3D+2025-12-31+AND+type+%3D+Bug+AND+project+%3D+SOVA+AND+Sprint+%3D+1496+AND+status+%3D+%22Done+%28100%25%29%22" TargetMode="External"/><Relationship Id="rId33" Type="http://schemas.openxmlformats.org/officeDocument/2006/relationships/hyperlink" Target="https://xrspace.atlassian.net/issues/?jql=created+%3E%3D+2025-01-01+AND+created+%3C%3D+2025-12-31+AND+type+%3D+Bug+AND+project+%3D+SOVA+AND+Sprint+%3D+1498+AND+status+%3D+%22WON%27T+DO+%28100%25%29%22" TargetMode="External"/><Relationship Id="rId38" Type="http://schemas.openxmlformats.org/officeDocument/2006/relationships/hyperlink" Target="https://xrspace.atlassian.net/issues/?jql=created+%3E%3D+2025-01-01+AND+created+%3C%3D+2025-12-31+AND+type+%3D+Bug+AND+project+%3D+SOVA+AND+Sprint+%3D+1499+AND+status+%3D+%22Done+%28100%25%29%22" TargetMode="External"/><Relationship Id="rId59" Type="http://schemas.openxmlformats.org/officeDocument/2006/relationships/hyperlink" Target="https://xrspace.atlassian.net/issues/?jql=created+%3E%3D+2025-01-01+AND+created+%3C%3D+2025-12-31+AND+type+%3D+Bug+AND+project+%3D+SOVA+AND+Sprint+%3D+2618+AND+status+%3D+%22Done+%28100%25%29%22" TargetMode="External"/><Relationship Id="rId103" Type="http://schemas.openxmlformats.org/officeDocument/2006/relationships/hyperlink" Target="https://xrspace.atlassian.net/issues/?jql=created+%3E%3D+2025-01-01+AND+created+%3C%3D+2025-12-31+AND+type+%3D+Bug+AND+project+%3D+SOVA+AND+Sprint+%3D+3575+AND+status+%3D+%22WON%27T+DO+%28100%25%29%22" TargetMode="External"/><Relationship Id="rId108" Type="http://schemas.openxmlformats.org/officeDocument/2006/relationships/hyperlink" Target="https://xrspace.atlassian.net/issues/?jql=created+%3E%3D+2025-01-01+AND+created+%3C%3D+2025-12-31+AND+type+%3D+Bug+AND+project+%3D+SOVA+AND+Sprint+%3D+3608+AND+status+%3D+%22Done+%28100%25%29%22" TargetMode="External"/><Relationship Id="rId124" Type="http://schemas.openxmlformats.org/officeDocument/2006/relationships/hyperlink" Target="https://xrspace.atlassian.net/issues/?jql=created+%3E%3D+2025-01-01+AND+created+%3C%3D+2025-12-31+AND+type+%3D+Bug+AND+project+%3D+SOVA+AND+Sprint+%3D+3873+AND+status+%3D+%22WON%27T+DO+%28100%25%29%22" TargetMode="External"/><Relationship Id="rId129" Type="http://schemas.openxmlformats.org/officeDocument/2006/relationships/hyperlink" Target="https://xrspace.atlassian.net/issues/?jql=created+%3E%3D+2025-01-01+AND+created+%3C%3D+2025-12-31+AND+type+%3D+Bug+AND+project+%3D+SOVA+AND+Sprint+%3D+4140+AND+status+%3D+%22Done+%28100%25%29%22" TargetMode="External"/><Relationship Id="rId54" Type="http://schemas.openxmlformats.org/officeDocument/2006/relationships/hyperlink" Target="https://xrspace.atlassian.net/issues/?jql=created+%3E%3D+2025-01-01+AND+created+%3C%3D+2025-12-31+AND+type+%3D+Bug+AND+project+%3D+SOVA+AND+Sprint+%3D+2157+AND+status+%3D+%22WON%27T+DO+%28100%25%29%22" TargetMode="External"/><Relationship Id="rId70" Type="http://schemas.openxmlformats.org/officeDocument/2006/relationships/hyperlink" Target="https://xrspace.atlassian.net/issues/?jql=created+%3E%3D+2025-01-01+AND+created+%3C%3D+2025-12-31+AND+type+%3D+Bug+AND+project+%3D+SOVA+AND+Sprint+%3D+2619+AND+status+%3D+%22READY+FOR+TESTING+%2890%25%29%22" TargetMode="External"/><Relationship Id="rId75" Type="http://schemas.openxmlformats.org/officeDocument/2006/relationships/hyperlink" Target="https://xrspace.atlassian.net/issues/?jql=created+%3E%3D+2025-01-01+AND+created+%3C%3D+2025-12-31+AND+type+%3D+Bug+AND+project+%3D+SOVA+AND+Sprint+%3D+2882+AND+status+%3D+%22WON%27T+DO+%28100%25%29%22" TargetMode="External"/><Relationship Id="rId91" Type="http://schemas.openxmlformats.org/officeDocument/2006/relationships/hyperlink" Target="https://xrspace.atlassian.net/issues/?jql=created+%3E%3D+2025-01-01+AND+created+%3C%3D+2025-12-31+AND+type+%3D+Bug+AND+project+%3D+SOVA+AND+Sprint+%3D+3245+AND+status+%3D+%22READY+FOR+TESTING+%2890%25%29%22" TargetMode="External"/><Relationship Id="rId96" Type="http://schemas.openxmlformats.org/officeDocument/2006/relationships/hyperlink" Target="https://xrspace.atlassian.net/issues/?jql=created+%3E%3D+2025-01-01+AND+created+%3C%3D+2025-12-31+AND+type+%3D+Bug+AND+project+%3D+SOVA+AND+Sprint+%3D+3246+AND+status+%3D+%22WON%27T+DO+%28100%25%29%22" TargetMode="External"/><Relationship Id="rId1" Type="http://schemas.openxmlformats.org/officeDocument/2006/relationships/hyperlink" Target="https://xrspace.atlassian.net/issues/?jql=created+%3E%3D+2025-01-01+AND+created+%3C%3D+2025-12-31+AND+type+%3D+Bug+AND+project+%3D+SOVA+AND+Sprint+%3D+1463+AND+status+%3D+%22To+Do+%280%25%29%22" TargetMode="External"/><Relationship Id="rId6" Type="http://schemas.openxmlformats.org/officeDocument/2006/relationships/hyperlink" Target="https://xrspace.atlassian.net/issues/?jql=created+%3E%3D+2025-01-01+AND+created+%3C%3D+2025-12-31+AND+type+%3D+Bug+AND+project+%3D+SOVA+AND+Sprint+%3D+1463+AND+status+%3D+%22STARTING+%2810+%7E+40%25%29%22" TargetMode="External"/><Relationship Id="rId23" Type="http://schemas.openxmlformats.org/officeDocument/2006/relationships/hyperlink" Target="https://xrspace.atlassian.net/issues/?jql=created+%3E%3D+2025-01-01+AND+created+%3C%3D+2025-12-31+AND+type+%3D+Bug+AND+project+%3D+SOVA+AND+Sprint+%3D+1497+AND+status+%3D+%22In+Progress+%2850+%7E+70%25%29%22" TargetMode="External"/><Relationship Id="rId28" Type="http://schemas.openxmlformats.org/officeDocument/2006/relationships/hyperlink" Target="https://xrspace.atlassian.net/issues/?jql=created+%3E%3D+2025-01-01+AND+created+%3C%3D+2025-12-31+AND+type+%3D+Bug+AND+project+%3D+SOVA+AND+Sprint+%3D+1497+AND+status+%3D+%22READY+FOR+TESTING+%2890%25%29%22" TargetMode="External"/><Relationship Id="rId49" Type="http://schemas.openxmlformats.org/officeDocument/2006/relationships/hyperlink" Target="https://xrspace.atlassian.net/issues/?jql=created+%3E%3D+2025-01-01+AND+created+%3C%3D+2025-12-31+AND+type+%3D+Bug+AND+project+%3D+SOVA+AND+Sprint+%3D+2156+AND+status+%3D+%22READY+FOR+TESTING+%2890%25%29%22" TargetMode="External"/><Relationship Id="rId114" Type="http://schemas.openxmlformats.org/officeDocument/2006/relationships/hyperlink" Target="https://xrspace.atlassian.net/issues/?jql=created+%3E%3D+2025-01-01+AND+created+%3C%3D+2025-12-31+AND+type+%3D+Bug+AND+project+%3D+SOVA+AND+Sprint+%3D+3872+AND+status+%3D+%22In+Progress+%2850+%7E+70%25%29%22" TargetMode="External"/><Relationship Id="rId119" Type="http://schemas.openxmlformats.org/officeDocument/2006/relationships/hyperlink" Target="https://xrspace.atlassian.net/issues/?jql=created+%3E%3D+2025-01-01+AND+created+%3C%3D+2025-12-31+AND+type+%3D+Bug+AND+project+%3D+SOVA+AND+Sprint+%3D+3872+AND+status+%3D+%22READY+FOR+TESTING+%2890%25%29%22" TargetMode="External"/><Relationship Id="rId44" Type="http://schemas.openxmlformats.org/officeDocument/2006/relationships/hyperlink" Target="https://xrspace.atlassian.net/issues/?jql=created+%3E%3D+2025-01-01+AND+created+%3C%3D+2025-12-31+AND+type+%3D+Bug+AND+project+%3D+SOVA+AND+Sprint+%3D+2156+AND+status+%3D+%22In+Progress+%2850+%7E+70%25%29%22" TargetMode="External"/><Relationship Id="rId60" Type="http://schemas.openxmlformats.org/officeDocument/2006/relationships/hyperlink" Target="https://xrspace.atlassian.net/issues/?jql=created+%3E%3D+2025-01-01+AND+created+%3C%3D+2025-12-31+AND+type+%3D+Bug+AND+project+%3D+SOVA+AND+Sprint+%3D+2618+AND+status+%3D+%22IN+REVIEW+%2880%25%29%22" TargetMode="External"/><Relationship Id="rId65" Type="http://schemas.openxmlformats.org/officeDocument/2006/relationships/hyperlink" Target="https://xrspace.atlassian.net/issues/?jql=created+%3E%3D+2025-01-01+AND+created+%3C%3D+2025-12-31+AND+type+%3D+Bug+AND+project+%3D+SOVA+AND+Sprint+%3D+2619+AND+status+%3D+%22In+Progress+%2850+%7E+70%25%29%22" TargetMode="External"/><Relationship Id="rId81" Type="http://schemas.openxmlformats.org/officeDocument/2006/relationships/hyperlink" Target="https://xrspace.atlassian.net/issues/?jql=created+%3E%3D+2025-01-01+AND+created+%3C%3D+2025-12-31+AND+type+%3D+Bug+AND+project+%3D+SOVA+AND+Sprint+%3D+3213+AND+status+%3D+%22IN+REVIEW+%2880%25%29%22" TargetMode="External"/><Relationship Id="rId86" Type="http://schemas.openxmlformats.org/officeDocument/2006/relationships/hyperlink" Target="https://xrspace.atlassian.net/issues/?jql=created+%3E%3D+2025-01-01+AND+created+%3C%3D+2025-12-31+AND+type+%3D+Bug+AND+project+%3D+SOVA+AND+Sprint+%3D+3245+AND+status+%3D+%22In+Progress+%2850+%7E+70%25%29%22" TargetMode="External"/><Relationship Id="rId130" Type="http://schemas.openxmlformats.org/officeDocument/2006/relationships/hyperlink" Target="https://xrspace.atlassian.net/issues/?jql=created+%3E%3D+2025-01-01+AND+created+%3C%3D+2025-12-31+AND+type+%3D+Bug+AND+project+%3D+SOVA+AND+Sprint+%3D+4140+AND+status+%3D+%22IN+REVIEW+%2880%25%29%22" TargetMode="External"/><Relationship Id="rId135" Type="http://schemas.openxmlformats.org/officeDocument/2006/relationships/drawing" Target="../drawings/drawing5.xml"/><Relationship Id="rId13" Type="http://schemas.openxmlformats.org/officeDocument/2006/relationships/hyperlink" Target="https://xrspace.atlassian.net/issues/?jql=created+%3E%3D+2025-01-01+AND+created+%3C%3D+2025-12-31+AND+type+%3D+Bug+AND+project+%3D+SOVA+AND+Sprint+%3D+1466+AND+status+%3D+%22STARTING+%2810+%7E+40%25%29%22" TargetMode="External"/><Relationship Id="rId18" Type="http://schemas.openxmlformats.org/officeDocument/2006/relationships/hyperlink" Target="https://xrspace.atlassian.net/issues/?jql=created+%3E%3D+2025-01-01+AND+created+%3C%3D+2025-12-31+AND+type+%3D+Bug+AND+project+%3D+SOVA+AND+Sprint+%3D+1496+AND+status+%3D+%22IN+REVIEW+%2880%25%29%22" TargetMode="External"/><Relationship Id="rId39" Type="http://schemas.openxmlformats.org/officeDocument/2006/relationships/hyperlink" Target="https://xrspace.atlassian.net/issues/?jql=created+%3E%3D+2025-01-01+AND+created+%3C%3D+2025-12-31+AND+type+%3D+Bug+AND+project+%3D+SOVA+AND+Sprint+%3D+1499+AND+status+%3D+%22IN+REVIEW+%2880%25%29%22" TargetMode="External"/><Relationship Id="rId109" Type="http://schemas.openxmlformats.org/officeDocument/2006/relationships/hyperlink" Target="https://xrspace.atlassian.net/issues/?jql=created+%3E%3D+2025-01-01+AND+created+%3C%3D+2025-12-31+AND+type+%3D+Bug+AND+project+%3D+SOVA+AND+Sprint+%3D+3608+AND+status+%3D+%22IN+REVIEW+%2880%25%29%22" TargetMode="External"/><Relationship Id="rId34" Type="http://schemas.openxmlformats.org/officeDocument/2006/relationships/hyperlink" Target="https://xrspace.atlassian.net/issues/?jql=created+%3E%3D+2025-01-01+AND+created+%3C%3D+2025-12-31+AND+type+%3D+Bug+AND+project+%3D+SOVA+AND+Sprint+%3D+1498+AND+status+%3D+%22STARTING+%2810+%7E+40%25%29%22" TargetMode="External"/><Relationship Id="rId50" Type="http://schemas.openxmlformats.org/officeDocument/2006/relationships/hyperlink" Target="https://xrspace.atlassian.net/issues/?jql=created+%3E%3D+2025-01-01+AND+created+%3C%3D+2025-12-31+AND+type+%3D+Bug+AND+project+%3D+SOVA+AND+Sprint+%3D+2157+AND+status+%3D+%22To+Do+%280%25%29%22" TargetMode="External"/><Relationship Id="rId55" Type="http://schemas.openxmlformats.org/officeDocument/2006/relationships/hyperlink" Target="https://xrspace.atlassian.net/issues/?jql=created+%3E%3D+2025-01-01+AND+created+%3C%3D+2025-12-31+AND+type+%3D+Bug+AND+project+%3D+SOVA+AND+Sprint+%3D+2157+AND+status+%3D+%22STARTING+%2810+%7E+40%25%29%22" TargetMode="External"/><Relationship Id="rId76" Type="http://schemas.openxmlformats.org/officeDocument/2006/relationships/hyperlink" Target="https://xrspace.atlassian.net/issues/?jql=created+%3E%3D+2025-01-01+AND+created+%3C%3D+2025-12-31+AND+type+%3D+Bug+AND+project+%3D+SOVA+AND+Sprint+%3D+2882+AND+status+%3D+%22STARTING+%2810+%7E+40%25%29%22" TargetMode="External"/><Relationship Id="rId97" Type="http://schemas.openxmlformats.org/officeDocument/2006/relationships/hyperlink" Target="https://xrspace.atlassian.net/issues/?jql=created+%3E%3D+2025-01-01+AND+created+%3C%3D+2025-12-31+AND+type+%3D+Bug+AND+project+%3D+SOVA+AND+Sprint+%3D+3246+AND+status+%3D+%22STARTING+%2810+%7E+40%25%29%22" TargetMode="External"/><Relationship Id="rId104" Type="http://schemas.openxmlformats.org/officeDocument/2006/relationships/hyperlink" Target="https://xrspace.atlassian.net/issues/?jql=created+%3E%3D+2025-01-01+AND+created+%3C%3D+2025-12-31+AND+type+%3D+Bug+AND+project+%3D+SOVA+AND+Sprint+%3D+3575+AND+status+%3D+%22STARTING+%2810+%7E+40%25%29%22" TargetMode="External"/><Relationship Id="rId120" Type="http://schemas.openxmlformats.org/officeDocument/2006/relationships/hyperlink" Target="https://xrspace.atlassian.net/issues/?jql=created+%3E%3D+2025-01-01+AND+created+%3C%3D+2025-12-31+AND+type+%3D+Bug+AND+project+%3D+SOVA+AND+Sprint+%3D+3873+AND+status+%3D+%22To+Do+%280%25%29%22" TargetMode="External"/><Relationship Id="rId125" Type="http://schemas.openxmlformats.org/officeDocument/2006/relationships/hyperlink" Target="https://xrspace.atlassian.net/issues/?jql=created+%3E%3D+2025-01-01+AND+created+%3C%3D+2025-12-31+AND+type+%3D+Bug+AND+project+%3D+SOVA+AND+Sprint+%3D+3873+AND+status+%3D+%22STARTING+%2810+%7E+40%25%29%22" TargetMode="External"/><Relationship Id="rId7" Type="http://schemas.openxmlformats.org/officeDocument/2006/relationships/hyperlink" Target="https://xrspace.atlassian.net/issues/?jql=created+%3E%3D+2025-01-01+AND+created+%3C%3D+2025-12-31+AND+type+%3D+Bug+AND+project+%3D+SOVA+AND+Sprint+%3D+1463+AND+status+%3D+%22READY+FOR+TESTING+%2890%25%29%22" TargetMode="External"/><Relationship Id="rId71" Type="http://schemas.openxmlformats.org/officeDocument/2006/relationships/hyperlink" Target="https://xrspace.atlassian.net/issues/?jql=created+%3E%3D+2025-01-01+AND+created+%3C%3D+2025-12-31+AND+type+%3D+Bug+AND+project+%3D+SOVA+AND+Sprint+%3D+2882+AND+status+%3D+%22To+Do+%280%25%29%22" TargetMode="External"/><Relationship Id="rId92" Type="http://schemas.openxmlformats.org/officeDocument/2006/relationships/hyperlink" Target="https://xrspace.atlassian.net/issues/?jql=created+%3E%3D+2025-01-01+AND+created+%3C%3D+2025-12-31+AND+type+%3D+Bug+AND+project+%3D+SOVA+AND+Sprint+%3D+3246+AND+status+%3D+%22To+Do+%280%25%29%22" TargetMode="External"/><Relationship Id="rId2" Type="http://schemas.openxmlformats.org/officeDocument/2006/relationships/hyperlink" Target="https://xrspace.atlassian.net/issues/?jql=created+%3E%3D+2025-01-01+AND+created+%3C%3D+2025-12-31+AND+type+%3D+Bug+AND+project+%3D+SOVA+AND+Sprint+%3D+1463+AND+status+%3D+%22In+Progress+%2850+%7E+70%25%29%22" TargetMode="External"/><Relationship Id="rId29" Type="http://schemas.openxmlformats.org/officeDocument/2006/relationships/hyperlink" Target="https://xrspace.atlassian.net/issues/?jql=created+%3E%3D+2025-01-01+AND+created+%3C%3D+2025-12-31+AND+type+%3D+Bug+AND+project+%3D+SOVA+AND+Sprint+%3D+1498+AND+status+%3D+%22To+Do+%280%25%29%22" TargetMode="External"/><Relationship Id="rId24" Type="http://schemas.openxmlformats.org/officeDocument/2006/relationships/hyperlink" Target="https://xrspace.atlassian.net/issues/?jql=created+%3E%3D+2025-01-01+AND+created+%3C%3D+2025-12-31+AND+type+%3D+Bug+AND+project+%3D+SOVA+AND+Sprint+%3D+1497+AND+status+%3D+%22Done+%28100%25%29%22" TargetMode="External"/><Relationship Id="rId40" Type="http://schemas.openxmlformats.org/officeDocument/2006/relationships/hyperlink" Target="https://xrspace.atlassian.net/issues/?jql=created+%3E%3D+2025-01-01+AND+created+%3C%3D+2025-12-31+AND+type+%3D+Bug+AND+project+%3D+SOVA+AND+Sprint+%3D+1499+AND+status+%3D+%22WON%27T+DO+%28100%25%29%22" TargetMode="External"/><Relationship Id="rId45" Type="http://schemas.openxmlformats.org/officeDocument/2006/relationships/hyperlink" Target="https://xrspace.atlassian.net/issues/?jql=created+%3E%3D+2025-01-01+AND+created+%3C%3D+2025-12-31+AND+type+%3D+Bug+AND+project+%3D+SOVA+AND+Sprint+%3D+2156+AND+status+%3D+%22Done+%28100%25%29%22" TargetMode="External"/><Relationship Id="rId66" Type="http://schemas.openxmlformats.org/officeDocument/2006/relationships/hyperlink" Target="https://xrspace.atlassian.net/issues/?jql=created+%3E%3D+2025-01-01+AND+created+%3C%3D+2025-12-31+AND+type+%3D+Bug+AND+project+%3D+SOVA+AND+Sprint+%3D+2619+AND+status+%3D+%22Done+%28100%25%29%22" TargetMode="External"/><Relationship Id="rId87" Type="http://schemas.openxmlformats.org/officeDocument/2006/relationships/hyperlink" Target="https://xrspace.atlassian.net/issues/?jql=created+%3E%3D+2025-01-01+AND+created+%3C%3D+2025-12-31+AND+type+%3D+Bug+AND+project+%3D+SOVA+AND+Sprint+%3D+3245+AND+status+%3D+%22Done+%28100%25%29%22" TargetMode="External"/><Relationship Id="rId110" Type="http://schemas.openxmlformats.org/officeDocument/2006/relationships/hyperlink" Target="https://xrspace.atlassian.net/issues/?jql=created+%3E%3D+2025-01-01+AND+created+%3C%3D+2025-12-31+AND+type+%3D+Bug+AND+project+%3D+SOVA+AND+Sprint+%3D+3608+AND+status+%3D+%22WON%27T+DO+%28100%25%29%22" TargetMode="External"/><Relationship Id="rId115" Type="http://schemas.openxmlformats.org/officeDocument/2006/relationships/hyperlink" Target="https://xrspace.atlassian.net/issues/?jql=created+%3E%3D+2025-01-01+AND+created+%3C%3D+2025-12-31+AND+type+%3D+Bug+AND+project+%3D+SOVA+AND+Sprint+%3D+3872+AND+status+%3D+%22Done+%28100%25%29%22" TargetMode="External"/><Relationship Id="rId131" Type="http://schemas.openxmlformats.org/officeDocument/2006/relationships/hyperlink" Target="https://xrspace.atlassian.net/issues/?jql=created+%3E%3D+2025-01-01+AND+created+%3C%3D+2025-12-31+AND+type+%3D+Bug+AND+project+%3D+SOVA+AND+Sprint+%3D+4140+AND+status+%3D+%22WON%27T+DO+%28100%25%29%22" TargetMode="External"/><Relationship Id="rId136" Type="http://schemas.openxmlformats.org/officeDocument/2006/relationships/table" Target="../tables/table5.xml"/><Relationship Id="rId61" Type="http://schemas.openxmlformats.org/officeDocument/2006/relationships/hyperlink" Target="https://xrspace.atlassian.net/issues/?jql=created+%3E%3D+2025-01-01+AND+created+%3C%3D+2025-12-31+AND+type+%3D+Bug+AND+project+%3D+SOVA+AND+Sprint+%3D+2618+AND+status+%3D+%22WON%27T+DO+%28100%25%29%22" TargetMode="External"/><Relationship Id="rId82" Type="http://schemas.openxmlformats.org/officeDocument/2006/relationships/hyperlink" Target="https://xrspace.atlassian.net/issues/?jql=created+%3E%3D+2025-01-01+AND+created+%3C%3D+2025-12-31+AND+type+%3D+Bug+AND+project+%3D+SOVA+AND+Sprint+%3D+3213+AND+status+%3D+%22WON%27T+DO+%28100%25%29%22" TargetMode="External"/><Relationship Id="rId19" Type="http://schemas.openxmlformats.org/officeDocument/2006/relationships/hyperlink" Target="https://xrspace.atlassian.net/issues/?jql=created+%3E%3D+2025-01-01+AND+created+%3C%3D+2025-12-31+AND+type+%3D+Bug+AND+project+%3D+SOVA+AND+Sprint+%3D+1496+AND+status+%3D+%22WON%27T+DO+%28100%25%29%22" TargetMode="External"/><Relationship Id="rId14" Type="http://schemas.openxmlformats.org/officeDocument/2006/relationships/hyperlink" Target="https://xrspace.atlassian.net/issues/?jql=created+%3E%3D+2025-01-01+AND+created+%3C%3D+2025-12-31+AND+type+%3D+Bug+AND+project+%3D+SOVA+AND+Sprint+%3D+1466+AND+status+%3D+%22READY+FOR+TESTING+%2890%25%29%22" TargetMode="External"/><Relationship Id="rId30" Type="http://schemas.openxmlformats.org/officeDocument/2006/relationships/hyperlink" Target="https://xrspace.atlassian.net/issues/?jql=created+%3E%3D+2025-01-01+AND+created+%3C%3D+2025-12-31+AND+type+%3D+Bug+AND+project+%3D+SOVA+AND+Sprint+%3D+1498+AND+status+%3D+%22In+Progress+%2850+%7E+70%25%29%22" TargetMode="External"/><Relationship Id="rId35" Type="http://schemas.openxmlformats.org/officeDocument/2006/relationships/hyperlink" Target="https://xrspace.atlassian.net/issues/?jql=created+%3E%3D+2025-01-01+AND+created+%3C%3D+2025-12-31+AND+type+%3D+Bug+AND+project+%3D+SOVA+AND+Sprint+%3D+1498+AND+status+%3D+%22READY+FOR+TESTING+%2890%25%29%22" TargetMode="External"/><Relationship Id="rId56" Type="http://schemas.openxmlformats.org/officeDocument/2006/relationships/hyperlink" Target="https://xrspace.atlassian.net/issues/?jql=created+%3E%3D+2025-01-01+AND+created+%3C%3D+2025-12-31+AND+type+%3D+Bug+AND+project+%3D+SOVA+AND+Sprint+%3D+2157+AND+status+%3D+%22READY+FOR+TESTING+%2890%25%29%22" TargetMode="External"/><Relationship Id="rId77" Type="http://schemas.openxmlformats.org/officeDocument/2006/relationships/hyperlink" Target="https://xrspace.atlassian.net/issues/?jql=created+%3E%3D+2025-01-01+AND+created+%3C%3D+2025-12-31+AND+type+%3D+Bug+AND+project+%3D+SOVA+AND+Sprint+%3D+2882+AND+status+%3D+%22READY+FOR+TESTING+%2890%25%29%22" TargetMode="External"/><Relationship Id="rId100" Type="http://schemas.openxmlformats.org/officeDocument/2006/relationships/hyperlink" Target="https://xrspace.atlassian.net/issues/?jql=created+%3E%3D+2025-01-01+AND+created+%3C%3D+2025-12-31+AND+type+%3D+Bug+AND+project+%3D+SOVA+AND+Sprint+%3D+3575+AND+status+%3D+%22In+Progress+%2850+%7E+70%25%29%22" TargetMode="External"/><Relationship Id="rId105" Type="http://schemas.openxmlformats.org/officeDocument/2006/relationships/hyperlink" Target="https://xrspace.atlassian.net/issues/?jql=created+%3E%3D+2025-01-01+AND+created+%3C%3D+2025-12-31+AND+type+%3D+Bug+AND+project+%3D+SOVA+AND+Sprint+%3D+3575+AND+status+%3D+%22READY+FOR+TESTING+%2890%25%29%22" TargetMode="External"/><Relationship Id="rId126" Type="http://schemas.openxmlformats.org/officeDocument/2006/relationships/hyperlink" Target="https://xrspace.atlassian.net/issues/?jql=created+%3E%3D+2025-01-01+AND+created+%3C%3D+2025-12-31+AND+type+%3D+Bug+AND+project+%3D+SOVA+AND+Sprint+%3D+3873+AND+status+%3D+%22READY+FOR+TESTING+%2890%25%29%22" TargetMode="External"/><Relationship Id="rId8" Type="http://schemas.openxmlformats.org/officeDocument/2006/relationships/hyperlink" Target="https://xrspace.atlassian.net/issues/?jql=created+%3E%3D+2025-01-01+AND+created+%3C%3D+2025-12-31+AND+type+%3D+Bug+AND+project+%3D+SOVA+AND+Sprint+%3D+1466+AND+status+%3D+%22To+Do+%280%25%29%22" TargetMode="External"/><Relationship Id="rId51" Type="http://schemas.openxmlformats.org/officeDocument/2006/relationships/hyperlink" Target="https://xrspace.atlassian.net/issues/?jql=created+%3E%3D+2025-01-01+AND+created+%3C%3D+2025-12-31+AND+type+%3D+Bug+AND+project+%3D+SOVA+AND+Sprint+%3D+2157+AND+status+%3D+%22In+Progress+%2850+%7E+70%25%29%22" TargetMode="External"/><Relationship Id="rId72" Type="http://schemas.openxmlformats.org/officeDocument/2006/relationships/hyperlink" Target="https://xrspace.atlassian.net/issues/?jql=created+%3E%3D+2025-01-01+AND+created+%3C%3D+2025-12-31+AND+type+%3D+Bug+AND+project+%3D+SOVA+AND+Sprint+%3D+2882+AND+status+%3D+%22In+Progress+%2850+%7E+70%25%29%22" TargetMode="External"/><Relationship Id="rId93" Type="http://schemas.openxmlformats.org/officeDocument/2006/relationships/hyperlink" Target="https://xrspace.atlassian.net/issues/?jql=created+%3E%3D+2025-01-01+AND+created+%3C%3D+2025-12-31+AND+type+%3D+Bug+AND+project+%3D+SOVA+AND+Sprint+%3D+3246+AND+status+%3D+%22In+Progress+%2850+%7E+70%25%29%22" TargetMode="External"/><Relationship Id="rId98" Type="http://schemas.openxmlformats.org/officeDocument/2006/relationships/hyperlink" Target="https://xrspace.atlassian.net/issues/?jql=created+%3E%3D+2025-01-01+AND+created+%3C%3D+2025-12-31+AND+type+%3D+Bug+AND+project+%3D+SOVA+AND+Sprint+%3D+3246+AND+status+%3D+%22READY+FOR+TESTING+%2890%25%29%22" TargetMode="External"/><Relationship Id="rId121" Type="http://schemas.openxmlformats.org/officeDocument/2006/relationships/hyperlink" Target="https://xrspace.atlassian.net/issues/?jql=created+%3E%3D+2025-01-01+AND+created+%3C%3D+2025-12-31+AND+type+%3D+Bug+AND+project+%3D+SOVA+AND+Sprint+%3D+3873+AND+status+%3D+%22In+Progress+%2850+%7E+70%25%29%22" TargetMode="External"/><Relationship Id="rId3" Type="http://schemas.openxmlformats.org/officeDocument/2006/relationships/hyperlink" Target="https://xrspace.atlassian.net/issues/?jql=created+%3E%3D+2025-01-01+AND+created+%3C%3D+2025-12-31+AND+type+%3D+Bug+AND+project+%3D+SOVA+AND+Sprint+%3D+1463+AND+status+%3D+%22Done+%28100%25%29%22" TargetMode="External"/><Relationship Id="rId25" Type="http://schemas.openxmlformats.org/officeDocument/2006/relationships/hyperlink" Target="https://xrspace.atlassian.net/issues/?jql=created+%3E%3D+2025-01-01+AND+created+%3C%3D+2025-12-31+AND+type+%3D+Bug+AND+project+%3D+SOVA+AND+Sprint+%3D+1497+AND+status+%3D+%22IN+REVIEW+%2880%25%29%22" TargetMode="External"/><Relationship Id="rId46" Type="http://schemas.openxmlformats.org/officeDocument/2006/relationships/hyperlink" Target="https://xrspace.atlassian.net/issues/?jql=created+%3E%3D+2025-01-01+AND+created+%3C%3D+2025-12-31+AND+type+%3D+Bug+AND+project+%3D+SOVA+AND+Sprint+%3D+2156+AND+status+%3D+%22IN+REVIEW+%2880%25%29%22" TargetMode="External"/><Relationship Id="rId67" Type="http://schemas.openxmlformats.org/officeDocument/2006/relationships/hyperlink" Target="https://xrspace.atlassian.net/issues/?jql=created+%3E%3D+2025-01-01+AND+created+%3C%3D+2025-12-31+AND+type+%3D+Bug+AND+project+%3D+SOVA+AND+Sprint+%3D+2619+AND+status+%3D+%22IN+REVIEW+%2880%25%29%22" TargetMode="External"/><Relationship Id="rId116" Type="http://schemas.openxmlformats.org/officeDocument/2006/relationships/hyperlink" Target="https://xrspace.atlassian.net/issues/?jql=created+%3E%3D+2025-01-01+AND+created+%3C%3D+2025-12-31+AND+type+%3D+Bug+AND+project+%3D+SOVA+AND+Sprint+%3D+3872+AND+status+%3D+%22IN+REVIEW+%2880%25%29%22" TargetMode="External"/><Relationship Id="rId20" Type="http://schemas.openxmlformats.org/officeDocument/2006/relationships/hyperlink" Target="https://xrspace.atlassian.net/issues/?jql=created+%3E%3D+2025-01-01+AND+created+%3C%3D+2025-12-31+AND+type+%3D+Bug+AND+project+%3D+SOVA+AND+Sprint+%3D+1496+AND+status+%3D+%22STARTING+%2810+%7E+40%25%29%22" TargetMode="External"/><Relationship Id="rId41" Type="http://schemas.openxmlformats.org/officeDocument/2006/relationships/hyperlink" Target="https://xrspace.atlassian.net/issues/?jql=created+%3E%3D+2025-01-01+AND+created+%3C%3D+2025-12-31+AND+type+%3D+Bug+AND+project+%3D+SOVA+AND+Sprint+%3D+1499+AND+status+%3D+%22STARTING+%2810+%7E+40%25%29%22" TargetMode="External"/><Relationship Id="rId62" Type="http://schemas.openxmlformats.org/officeDocument/2006/relationships/hyperlink" Target="https://xrspace.atlassian.net/issues/?jql=created+%3E%3D+2025-01-01+AND+created+%3C%3D+2025-12-31+AND+type+%3D+Bug+AND+project+%3D+SOVA+AND+Sprint+%3D+2618+AND+status+%3D+%22STARTING+%2810+%7E+40%25%29%22" TargetMode="External"/><Relationship Id="rId83" Type="http://schemas.openxmlformats.org/officeDocument/2006/relationships/hyperlink" Target="https://xrspace.atlassian.net/issues/?jql=created+%3E%3D+2025-01-01+AND+created+%3C%3D+2025-12-31+AND+type+%3D+Bug+AND+project+%3D+SOVA+AND+Sprint+%3D+3213+AND+status+%3D+%22STARTING+%2810+%7E+40%25%29%22" TargetMode="External"/><Relationship Id="rId88" Type="http://schemas.openxmlformats.org/officeDocument/2006/relationships/hyperlink" Target="https://xrspace.atlassian.net/issues/?jql=created+%3E%3D+2025-01-01+AND+created+%3C%3D+2025-12-31+AND+type+%3D+Bug+AND+project+%3D+SOVA+AND+Sprint+%3D+3245+AND+status+%3D+%22IN+REVIEW+%2880%25%29%22" TargetMode="External"/><Relationship Id="rId111" Type="http://schemas.openxmlformats.org/officeDocument/2006/relationships/hyperlink" Target="https://xrspace.atlassian.net/issues/?jql=created+%3E%3D+2025-01-01+AND+created+%3C%3D+2025-12-31+AND+type+%3D+Bug+AND+project+%3D+SOVA+AND+Sprint+%3D+3608+AND+status+%3D+%22STARTING+%2810+%7E+40%25%29%22" TargetMode="External"/><Relationship Id="rId132" Type="http://schemas.openxmlformats.org/officeDocument/2006/relationships/hyperlink" Target="https://xrspace.atlassian.net/issues/?jql=created+%3E%3D+2025-01-01+AND+created+%3C%3D+2025-12-31+AND+type+%3D+Bug+AND+project+%3D+SOVA+AND+Sprint+%3D+4140+AND+status+%3D+%22STARTING+%2810+%7E+40%25%29%22" TargetMode="External"/><Relationship Id="rId15" Type="http://schemas.openxmlformats.org/officeDocument/2006/relationships/hyperlink" Target="https://xrspace.atlassian.net/issues/?jql=created+%3E%3D+2025-01-01+AND+created+%3C%3D+2025-12-31+AND+type+%3D+Bug+AND+project+%3D+SOVA+AND+Sprint+%3D+1496+AND+status+%3D+%22To+Do+%280%25%29%22" TargetMode="External"/><Relationship Id="rId36" Type="http://schemas.openxmlformats.org/officeDocument/2006/relationships/hyperlink" Target="https://xrspace.atlassian.net/issues/?jql=created+%3E%3D+2025-01-01+AND+created+%3C%3D+2025-12-31+AND+type+%3D+Bug+AND+project+%3D+SOVA+AND+Sprint+%3D+1499+AND+status+%3D+%22To+Do+%280%25%29%22" TargetMode="External"/><Relationship Id="rId57" Type="http://schemas.openxmlformats.org/officeDocument/2006/relationships/hyperlink" Target="https://xrspace.atlassian.net/issues/?jql=created+%3E%3D+2025-01-01+AND+created+%3C%3D+2025-12-31+AND+type+%3D+Bug+AND+project+%3D+SOVA+AND+Sprint+%3D+2618+AND+status+%3D+%22To+Do+%280%25%29%22" TargetMode="External"/><Relationship Id="rId106" Type="http://schemas.openxmlformats.org/officeDocument/2006/relationships/hyperlink" Target="https://xrspace.atlassian.net/issues/?jql=created+%3E%3D+2025-01-01+AND+created+%3C%3D+2025-12-31+AND+type+%3D+Bug+AND+project+%3D+SOVA+AND+Sprint+%3D+3608+AND+status+%3D+%22To+Do+%280%25%29%22" TargetMode="External"/><Relationship Id="rId127" Type="http://schemas.openxmlformats.org/officeDocument/2006/relationships/hyperlink" Target="https://xrspace.atlassian.net/issues/?jql=created+%3E%3D+2025-01-01+AND+created+%3C%3D+2025-12-31+AND+type+%3D+Bug+AND+project+%3D+SOVA+AND+Sprint+%3D+4140+AND+status+%3D+%22To+Do+%280%25%29%22" TargetMode="External"/><Relationship Id="rId10" Type="http://schemas.openxmlformats.org/officeDocument/2006/relationships/hyperlink" Target="https://xrspace.atlassian.net/issues/?jql=created+%3E%3D+2025-01-01+AND+created+%3C%3D+2025-12-31+AND+type+%3D+Bug+AND+project+%3D+SOVA+AND+Sprint+%3D+1466+AND+status+%3D+%22Done+%28100%25%29%22" TargetMode="External"/><Relationship Id="rId31" Type="http://schemas.openxmlformats.org/officeDocument/2006/relationships/hyperlink" Target="https://xrspace.atlassian.net/issues/?jql=created+%3E%3D+2025-01-01+AND+created+%3C%3D+2025-12-31+AND+type+%3D+Bug+AND+project+%3D+SOVA+AND+Sprint+%3D+1498+AND+status+%3D+%22Done+%28100%25%29%22" TargetMode="External"/><Relationship Id="rId52" Type="http://schemas.openxmlformats.org/officeDocument/2006/relationships/hyperlink" Target="https://xrspace.atlassian.net/issues/?jql=created+%3E%3D+2025-01-01+AND+created+%3C%3D+2025-12-31+AND+type+%3D+Bug+AND+project+%3D+SOVA+AND+Sprint+%3D+2157+AND+status+%3D+%22Done+%28100%25%29%22" TargetMode="External"/><Relationship Id="rId73" Type="http://schemas.openxmlformats.org/officeDocument/2006/relationships/hyperlink" Target="https://xrspace.atlassian.net/issues/?jql=created+%3E%3D+2025-01-01+AND+created+%3C%3D+2025-12-31+AND+type+%3D+Bug+AND+project+%3D+SOVA+AND+Sprint+%3D+2882+AND+status+%3D+%22Done+%28100%25%29%22" TargetMode="External"/><Relationship Id="rId78" Type="http://schemas.openxmlformats.org/officeDocument/2006/relationships/hyperlink" Target="https://xrspace.atlassian.net/issues/?jql=created+%3E%3D+2025-01-01+AND+created+%3C%3D+2025-12-31+AND+type+%3D+Bug+AND+project+%3D+SOVA+AND+Sprint+%3D+3213+AND+status+%3D+%22To+Do+%280%25%29%22" TargetMode="External"/><Relationship Id="rId94" Type="http://schemas.openxmlformats.org/officeDocument/2006/relationships/hyperlink" Target="https://xrspace.atlassian.net/issues/?jql=created+%3E%3D+2025-01-01+AND+created+%3C%3D+2025-12-31+AND+type+%3D+Bug+AND+project+%3D+SOVA+AND+Sprint+%3D+3246+AND+status+%3D+%22Done+%28100%25%29%22" TargetMode="External"/><Relationship Id="rId99" Type="http://schemas.openxmlformats.org/officeDocument/2006/relationships/hyperlink" Target="https://xrspace.atlassian.net/issues/?jql=created+%3E%3D+2025-01-01+AND+created+%3C%3D+2025-12-31+AND+type+%3D+Bug+AND+project+%3D+SOVA+AND+Sprint+%3D+3575+AND+status+%3D+%22To+Do+%280%25%29%22" TargetMode="External"/><Relationship Id="rId101" Type="http://schemas.openxmlformats.org/officeDocument/2006/relationships/hyperlink" Target="https://xrspace.atlassian.net/issues/?jql=created+%3E%3D+2025-01-01+AND+created+%3C%3D+2025-12-31+AND+type+%3D+Bug+AND+project+%3D+SOVA+AND+Sprint+%3D+3575+AND+status+%3D+%22Done+%28100%25%29%22" TargetMode="External"/><Relationship Id="rId122" Type="http://schemas.openxmlformats.org/officeDocument/2006/relationships/hyperlink" Target="https://xrspace.atlassian.net/issues/?jql=created+%3E%3D+2025-01-01+AND+created+%3C%3D+2025-12-31+AND+type+%3D+Bug+AND+project+%3D+SOVA+AND+Sprint+%3D+3873+AND+status+%3D+%22Done+%28100%25%29%22" TargetMode="External"/><Relationship Id="rId4" Type="http://schemas.openxmlformats.org/officeDocument/2006/relationships/hyperlink" Target="https://xrspace.atlassian.net/issues/?jql=created+%3E%3D+2025-01-01+AND+created+%3C%3D+2025-12-31+AND+type+%3D+Bug+AND+project+%3D+SOVA+AND+Sprint+%3D+1463+AND+status+%3D+%22IN+REVIEW+%2880%25%29%22" TargetMode="External"/><Relationship Id="rId9" Type="http://schemas.openxmlformats.org/officeDocument/2006/relationships/hyperlink" Target="https://xrspace.atlassian.net/issues/?jql=created+%3E%3D+2025-01-01+AND+created+%3C%3D+2025-12-31+AND+type+%3D+Bug+AND+project+%3D+SOVA+AND+Sprint+%3D+1466+AND+status+%3D+%22In+Progress+%2850+%7E+70%25%29%22" TargetMode="External"/><Relationship Id="rId26" Type="http://schemas.openxmlformats.org/officeDocument/2006/relationships/hyperlink" Target="https://xrspace.atlassian.net/issues/?jql=created+%3E%3D+2025-01-01+AND+created+%3C%3D+2025-12-31+AND+type+%3D+Bug+AND+project+%3D+SOVA+AND+Sprint+%3D+1497+AND+status+%3D+%22WON%27T+DO+%28100%25%29%22" TargetMode="External"/><Relationship Id="rId47" Type="http://schemas.openxmlformats.org/officeDocument/2006/relationships/hyperlink" Target="https://xrspace.atlassian.net/issues/?jql=created+%3E%3D+2025-01-01+AND+created+%3C%3D+2025-12-31+AND+type+%3D+Bug+AND+project+%3D+SOVA+AND+Sprint+%3D+2156+AND+status+%3D+%22WON%27T+DO+%28100%25%29%22" TargetMode="External"/><Relationship Id="rId68" Type="http://schemas.openxmlformats.org/officeDocument/2006/relationships/hyperlink" Target="https://xrspace.atlassian.net/issues/?jql=created+%3E%3D+2025-01-01+AND+created+%3C%3D+2025-12-31+AND+type+%3D+Bug+AND+project+%3D+SOVA+AND+Sprint+%3D+2619+AND+status+%3D+%22WON%27T+DO+%28100%25%29%22" TargetMode="External"/><Relationship Id="rId89" Type="http://schemas.openxmlformats.org/officeDocument/2006/relationships/hyperlink" Target="https://xrspace.atlassian.net/issues/?jql=created+%3E%3D+2025-01-01+AND+created+%3C%3D+2025-12-31+AND+type+%3D+Bug+AND+project+%3D+SOVA+AND+Sprint+%3D+3245+AND+status+%3D+%22WON%27T+DO+%28100%25%29%22" TargetMode="External"/><Relationship Id="rId112" Type="http://schemas.openxmlformats.org/officeDocument/2006/relationships/hyperlink" Target="https://xrspace.atlassian.net/issues/?jql=created+%3E%3D+2025-01-01+AND+created+%3C%3D+2025-12-31+AND+type+%3D+Bug+AND+project+%3D+SOVA+AND+Sprint+%3D+3608+AND+status+%3D+%22READY+FOR+TESTING+%2890%25%29%22" TargetMode="External"/><Relationship Id="rId133" Type="http://schemas.openxmlformats.org/officeDocument/2006/relationships/hyperlink" Target="https://xrspace.atlassian.net/issues/?jql=created+%3E%3D+2025-01-01+AND+created+%3C%3D+2025-12-31+AND+type+%3D+Bug+AND+project+%3D+SOVA+AND+Sprint+%3D+4140+AND+status+%3D+%22READY+FOR+TESTING+%289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1"/>
  <sheetViews>
    <sheetView zoomScaleNormal="100" workbookViewId="0">
      <selection activeCell="H21" sqref="H21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59</v>
      </c>
      <c r="B1" s="2" t="s">
        <v>5</v>
      </c>
      <c r="C1" s="2" t="s">
        <v>6</v>
      </c>
      <c r="D1" s="2" t="s">
        <v>0</v>
      </c>
      <c r="E1" s="2" t="s">
        <v>7</v>
      </c>
    </row>
    <row r="2" spans="1:5" ht="20.100000000000001" customHeight="1">
      <c r="A2" t="s">
        <v>1</v>
      </c>
      <c r="B2">
        <v>2</v>
      </c>
      <c r="C2">
        <v>1</v>
      </c>
      <c r="D2">
        <v>115</v>
      </c>
      <c r="E2">
        <f>SUM(Table2[[#This Row],[Done]:[TODO (P1)]])</f>
        <v>118</v>
      </c>
    </row>
    <row r="3" spans="1:5" ht="20.100000000000001" customHeight="1">
      <c r="A3" t="s">
        <v>2</v>
      </c>
      <c r="B3">
        <v>3</v>
      </c>
      <c r="C3">
        <v>1</v>
      </c>
      <c r="D3">
        <v>114</v>
      </c>
      <c r="E3">
        <f>SUM(Table2[[#This Row],[Done]:[TODO (P1)]])</f>
        <v>118</v>
      </c>
    </row>
    <row r="4" spans="1:5" ht="20.100000000000001" customHeight="1">
      <c r="A4" t="s">
        <v>3</v>
      </c>
      <c r="B4">
        <v>3</v>
      </c>
      <c r="C4">
        <v>6</v>
      </c>
      <c r="D4">
        <v>109</v>
      </c>
      <c r="E4">
        <f>SUM(Table2[[#This Row],[Done]:[TODO (P1)]])</f>
        <v>118</v>
      </c>
    </row>
    <row r="5" spans="1:5" ht="20.100000000000001" customHeight="1">
      <c r="A5" t="s">
        <v>4</v>
      </c>
      <c r="B5">
        <v>4</v>
      </c>
      <c r="C5">
        <v>6</v>
      </c>
      <c r="D5">
        <v>108</v>
      </c>
      <c r="E5">
        <f>SUM(Table2[[#This Row],[Done]:[TODO (P1)]])</f>
        <v>118</v>
      </c>
    </row>
    <row r="6" spans="1:5" ht="20.100000000000001" customHeight="1">
      <c r="A6" t="s">
        <v>8</v>
      </c>
      <c r="B6">
        <v>8</v>
      </c>
      <c r="C6">
        <v>6</v>
      </c>
      <c r="D6">
        <v>104</v>
      </c>
      <c r="E6">
        <f>SUM(Table2[[#This Row],[Done]:[TODO (P1)]])</f>
        <v>118</v>
      </c>
    </row>
    <row r="7" spans="1:5" ht="20.100000000000001" customHeight="1">
      <c r="A7" t="s">
        <v>9</v>
      </c>
      <c r="B7">
        <v>10</v>
      </c>
      <c r="C7">
        <v>10</v>
      </c>
      <c r="D7">
        <v>228</v>
      </c>
      <c r="E7">
        <f>SUM(Table2[[#This Row],[Done]:[TODO (P1)]])</f>
        <v>248</v>
      </c>
    </row>
    <row r="8" spans="1:5" ht="20.100000000000001" customHeight="1">
      <c r="A8" t="s">
        <v>10</v>
      </c>
      <c r="B8">
        <v>12</v>
      </c>
      <c r="C8">
        <v>12</v>
      </c>
      <c r="D8">
        <v>224</v>
      </c>
      <c r="E8">
        <f>SUM(Table2[[#This Row],[Done]:[TODO (P1)]])</f>
        <v>248</v>
      </c>
    </row>
    <row r="9" spans="1:5" ht="20.100000000000001" customHeight="1">
      <c r="A9" t="s">
        <v>61</v>
      </c>
      <c r="B9">
        <v>15</v>
      </c>
      <c r="C9">
        <v>13</v>
      </c>
      <c r="D9">
        <v>220</v>
      </c>
      <c r="E9">
        <f>SUM(Table2[[#This Row],[Done]:[TODO (P1)]])</f>
        <v>248</v>
      </c>
    </row>
    <row r="10" spans="1:5" ht="20.100000000000001" customHeight="1">
      <c r="A10" t="s">
        <v>66</v>
      </c>
      <c r="B10">
        <v>15</v>
      </c>
      <c r="C10">
        <v>14</v>
      </c>
      <c r="D10">
        <v>219</v>
      </c>
      <c r="E10">
        <f>SUM(Table2[[#This Row],[Done]:[TODO (P1)]])</f>
        <v>248</v>
      </c>
    </row>
    <row r="11" spans="1:5" ht="20.100000000000001" customHeight="1">
      <c r="A11" t="s">
        <v>68</v>
      </c>
      <c r="B11">
        <v>12</v>
      </c>
      <c r="C11">
        <v>11</v>
      </c>
      <c r="D11">
        <v>173</v>
      </c>
      <c r="E11">
        <f>SUM(Table2[[#This Row],[Done]:[TODO (P1)]])</f>
        <v>196</v>
      </c>
    </row>
    <row r="12" spans="1:5" ht="20.100000000000001" customHeight="1">
      <c r="A12" t="s">
        <v>69</v>
      </c>
      <c r="B12">
        <v>13</v>
      </c>
      <c r="C12">
        <v>11</v>
      </c>
      <c r="D12">
        <v>172</v>
      </c>
      <c r="E12" s="13">
        <f>SUM(Table2[[#This Row],[Done]:[TODO (P1)]])</f>
        <v>196</v>
      </c>
    </row>
    <row r="13" spans="1:5" ht="20.100000000000001" customHeight="1">
      <c r="A13" t="s">
        <v>72</v>
      </c>
      <c r="B13">
        <v>15</v>
      </c>
      <c r="C13">
        <v>12</v>
      </c>
      <c r="D13">
        <v>168</v>
      </c>
      <c r="E13" s="13">
        <f>SUM(Table2[[#This Row],[Done]:[TODO (P1)]])</f>
        <v>195</v>
      </c>
    </row>
    <row r="14" spans="1:5" ht="20.100000000000001" customHeight="1">
      <c r="A14" t="s">
        <v>74</v>
      </c>
      <c r="B14">
        <v>18</v>
      </c>
      <c r="C14">
        <v>11</v>
      </c>
      <c r="D14">
        <v>166</v>
      </c>
      <c r="E14" s="13">
        <f>SUM(Table2[[#This Row],[Done]:[TODO (P1)]])</f>
        <v>195</v>
      </c>
    </row>
    <row r="15" spans="1:5" ht="20.100000000000001" customHeight="1">
      <c r="A15" t="s">
        <v>77</v>
      </c>
      <c r="B15">
        <v>21</v>
      </c>
      <c r="C15">
        <v>14</v>
      </c>
      <c r="D15">
        <v>160</v>
      </c>
      <c r="E15" s="13">
        <f>SUM(Table2[[#This Row],[Done]:[TODO (P1)]])</f>
        <v>195</v>
      </c>
    </row>
    <row r="16" spans="1:5" ht="20.100000000000001" customHeight="1">
      <c r="A16" t="s">
        <v>79</v>
      </c>
      <c r="B16">
        <v>22</v>
      </c>
      <c r="C16">
        <v>14</v>
      </c>
      <c r="D16">
        <v>160</v>
      </c>
      <c r="E16" s="13">
        <f>SUM(Table2[[#This Row],[Done]:[TODO (P1)]])</f>
        <v>196</v>
      </c>
    </row>
    <row r="17" spans="1:5" ht="20.100000000000001" customHeight="1">
      <c r="A17" t="s">
        <v>81</v>
      </c>
      <c r="B17">
        <v>25</v>
      </c>
      <c r="C17">
        <v>10</v>
      </c>
      <c r="D17">
        <v>161</v>
      </c>
      <c r="E17" s="13">
        <f>SUM(Table2[[#This Row],[Done]:[TODO (P1)]])</f>
        <v>196</v>
      </c>
    </row>
    <row r="18" spans="1:5" ht="20.100000000000001" customHeight="1">
      <c r="A18" t="s">
        <v>84</v>
      </c>
      <c r="B18">
        <v>28</v>
      </c>
      <c r="C18">
        <v>8</v>
      </c>
      <c r="D18">
        <v>160</v>
      </c>
      <c r="E18" s="13">
        <f>SUM(Table2[[#This Row],[Done]:[TODO (P1)]])</f>
        <v>196</v>
      </c>
    </row>
    <row r="19" spans="1:5" ht="20.100000000000001" customHeight="1">
      <c r="A19" t="s">
        <v>85</v>
      </c>
      <c r="B19">
        <v>30</v>
      </c>
      <c r="C19">
        <v>6</v>
      </c>
      <c r="D19">
        <v>160</v>
      </c>
      <c r="E19" s="13">
        <f>SUM(Table2[[#This Row],[Done]:[TODO (P1)]])</f>
        <v>196</v>
      </c>
    </row>
    <row r="20" spans="1:5" ht="20.100000000000001" customHeight="1">
      <c r="A20" t="s">
        <v>88</v>
      </c>
      <c r="B20">
        <v>32</v>
      </c>
      <c r="C20">
        <v>5</v>
      </c>
      <c r="D20">
        <v>160</v>
      </c>
      <c r="E20" s="13">
        <f>SUM(Table2[[#This Row],[Done]:[TODO (P1)]])</f>
        <v>197</v>
      </c>
    </row>
    <row r="21" spans="1:5" ht="20.100000000000001" customHeight="1">
      <c r="A21" t="s">
        <v>89</v>
      </c>
      <c r="B21">
        <v>32</v>
      </c>
      <c r="C21">
        <v>5</v>
      </c>
      <c r="D21">
        <v>160</v>
      </c>
      <c r="E21" s="13">
        <f>SUM(Table2[[#This Row],[Done]:[TODO (P1)]])</f>
        <v>197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6"/>
  <sheetViews>
    <sheetView zoomScaleNormal="100" workbookViewId="0">
      <selection activeCell="J20" sqref="J20"/>
    </sheetView>
  </sheetViews>
  <sheetFormatPr defaultColWidth="11.5546875" defaultRowHeight="15"/>
  <cols>
    <col min="1" max="1" width="15.77734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49</v>
      </c>
      <c r="B1" s="2" t="s">
        <v>18</v>
      </c>
      <c r="C1" s="2" t="s">
        <v>27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7</v>
      </c>
    </row>
    <row r="2" spans="1:8" ht="21.95" customHeight="1">
      <c r="A2" t="s">
        <v>11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SUM(B2:G2)</f>
        <v>442</v>
      </c>
    </row>
    <row r="3" spans="1:8" ht="21.95" customHeight="1">
      <c r="A3" t="s">
        <v>12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 t="shared" ref="H3:H8" si="0">SUM(B3:G3)</f>
        <v>414</v>
      </c>
    </row>
    <row r="4" spans="1:8" ht="21.95" customHeight="1">
      <c r="A4" t="s">
        <v>13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 t="shared" si="0"/>
        <v>1211</v>
      </c>
    </row>
    <row r="5" spans="1:8" ht="21.95" customHeight="1">
      <c r="A5" t="s">
        <v>14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 t="shared" si="0"/>
        <v>2596</v>
      </c>
    </row>
    <row r="6" spans="1:8" ht="21.95" customHeight="1">
      <c r="A6" t="s">
        <v>15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 t="shared" si="0"/>
        <v>2266</v>
      </c>
    </row>
    <row r="7" spans="1:8" ht="21.95" customHeight="1">
      <c r="A7" t="s">
        <v>16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 t="shared" si="0"/>
        <v>2723</v>
      </c>
    </row>
    <row r="8" spans="1:8" ht="21.95" customHeight="1">
      <c r="A8" t="s">
        <v>17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 t="shared" si="0"/>
        <v>2531</v>
      </c>
    </row>
    <row r="9" spans="1:8" ht="21.95" customHeight="1">
      <c r="A9" t="s">
        <v>60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SUM(B9:G9)</f>
        <v>1401</v>
      </c>
    </row>
    <row r="10" spans="1:8" ht="21.95" customHeight="1">
      <c r="A10" t="s">
        <v>67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SUM(B10:G10)</f>
        <v>1273</v>
      </c>
    </row>
    <row r="11" spans="1:8" ht="21.95" customHeight="1">
      <c r="A11" t="s">
        <v>70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 t="shared" ref="H11:H15" si="1">SUM(B11:G11)</f>
        <v>1341</v>
      </c>
    </row>
    <row r="12" spans="1:8" ht="21.95" customHeight="1">
      <c r="A12" t="s">
        <v>75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 t="shared" si="1"/>
        <v>1485</v>
      </c>
    </row>
    <row r="13" spans="1:8" ht="21.95" customHeight="1">
      <c r="A13" t="s">
        <v>76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 t="shared" si="1"/>
        <v>2037</v>
      </c>
    </row>
    <row r="14" spans="1:8" ht="21.95" customHeight="1">
      <c r="A14" t="s">
        <v>80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 t="shared" si="1"/>
        <v>1761</v>
      </c>
    </row>
    <row r="15" spans="1:8" ht="21.95" customHeight="1">
      <c r="A15" t="s">
        <v>87</v>
      </c>
      <c r="B15">
        <v>1651</v>
      </c>
      <c r="C15">
        <v>4</v>
      </c>
      <c r="D15">
        <v>0</v>
      </c>
      <c r="E15">
        <v>3</v>
      </c>
      <c r="F15">
        <v>6</v>
      </c>
      <c r="G15">
        <v>246</v>
      </c>
      <c r="H15">
        <f t="shared" si="1"/>
        <v>1910</v>
      </c>
    </row>
    <row r="16" spans="1:8" ht="21.95" customHeight="1"/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26"/>
  <sheetViews>
    <sheetView topLeftCell="A4" zoomScaleNormal="100" workbookViewId="0">
      <selection activeCell="K20" sqref="K20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49</v>
      </c>
      <c r="B1" s="2" t="s">
        <v>18</v>
      </c>
      <c r="C1" s="2" t="s">
        <v>27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7</v>
      </c>
    </row>
    <row r="2" spans="1:8" ht="20.100000000000001" customHeight="1">
      <c r="A2" s="3" t="s">
        <v>23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24</v>
      </c>
    </row>
    <row r="4" spans="1:8" ht="20.100000000000001" customHeight="1">
      <c r="A4" s="3" t="s">
        <v>25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26</v>
      </c>
    </row>
    <row r="6" spans="1:8" ht="20.100000000000001" customHeight="1">
      <c r="A6" s="3" t="s">
        <v>1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2</v>
      </c>
    </row>
    <row r="8" spans="1:8" ht="20.100000000000001" customHeight="1">
      <c r="A8" s="3" t="s">
        <v>3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4</v>
      </c>
    </row>
    <row r="10" spans="1:8" ht="20.100000000000001" customHeight="1">
      <c r="A10" s="3" t="s">
        <v>8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9</v>
      </c>
    </row>
    <row r="12" spans="1:8" ht="20.100000000000001" customHeight="1">
      <c r="A12" s="3" t="s">
        <v>10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61</v>
      </c>
    </row>
    <row r="14" spans="1:8" ht="20.100000000000001" customHeight="1">
      <c r="A14" s="3" t="s">
        <v>66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68</v>
      </c>
      <c r="H15" s="13"/>
    </row>
    <row r="16" spans="1:8" ht="20.100000000000001" customHeight="1">
      <c r="A16" s="3" t="s">
        <v>69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3">
        <f>SUM(Table3[[#This Row],[Passed]:[Untested]])</f>
        <v>259</v>
      </c>
    </row>
    <row r="17" spans="1:8" ht="20.100000000000001" customHeight="1">
      <c r="A17" s="3" t="s">
        <v>72</v>
      </c>
      <c r="H17" s="13"/>
    </row>
    <row r="18" spans="1:8" ht="20.100000000000001" customHeight="1">
      <c r="A18" s="3" t="s">
        <v>74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3">
        <f>SUM(Table3[[#This Row],[Passed]:[Untested]])</f>
        <v>285</v>
      </c>
    </row>
    <row r="19" spans="1:8" ht="20.100000000000001" customHeight="1">
      <c r="A19" s="3" t="s">
        <v>77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3">
        <f>SUM(Table3[[#This Row],[Passed]:[Untested]])</f>
        <v>162</v>
      </c>
    </row>
    <row r="20" spans="1:8" ht="20.100000000000001" customHeight="1">
      <c r="A20" s="3" t="s">
        <v>79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3">
        <f>SUM(Table3[[#This Row],[Passed]:[Untested]])</f>
        <v>246</v>
      </c>
    </row>
    <row r="21" spans="1:8" ht="20.100000000000001" customHeight="1">
      <c r="A21" s="3" t="s">
        <v>81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3">
        <f>SUM(Table3[[#This Row],[Passed]:[Untested]])</f>
        <v>303</v>
      </c>
    </row>
    <row r="22" spans="1:8" ht="20.100000000000001" customHeight="1">
      <c r="A22" s="3" t="s">
        <v>83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3">
        <f>SUM(Table3[[#This Row],[Passed]:[Untested]])</f>
        <v>331</v>
      </c>
    </row>
    <row r="23" spans="1:8" ht="20.100000000000001" customHeight="1">
      <c r="A23" s="3" t="s">
        <v>84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3">
        <f>SUM(Table3[[#This Row],[Passed]:[Untested]])</f>
        <v>279</v>
      </c>
    </row>
    <row r="24" spans="1:8" ht="20.100000000000001" customHeight="1">
      <c r="A24" s="3" t="s">
        <v>85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3">
        <f>SUM(Table3[[#This Row],[Passed]:[Untested]])</f>
        <v>362</v>
      </c>
    </row>
    <row r="25" spans="1:8" ht="20.100000000000001" customHeight="1">
      <c r="A25" s="3" t="s">
        <v>88</v>
      </c>
      <c r="B25">
        <v>351</v>
      </c>
      <c r="C25">
        <v>3</v>
      </c>
      <c r="D25">
        <v>8</v>
      </c>
      <c r="E25">
        <v>1</v>
      </c>
      <c r="F25">
        <v>15</v>
      </c>
      <c r="G25">
        <v>0</v>
      </c>
      <c r="H25" s="13">
        <f>SUM(Table3[[#This Row],[Passed]:[Untested]])</f>
        <v>378</v>
      </c>
    </row>
    <row r="26" spans="1:8" ht="20.100000000000001" customHeight="1">
      <c r="A26" s="3" t="s">
        <v>89</v>
      </c>
      <c r="B26">
        <v>142</v>
      </c>
      <c r="C26">
        <v>0</v>
      </c>
      <c r="D26">
        <v>0</v>
      </c>
      <c r="E26">
        <v>0</v>
      </c>
      <c r="F26">
        <v>6</v>
      </c>
      <c r="G26">
        <v>0</v>
      </c>
      <c r="H26" s="13">
        <f>SUM(Table3[[#This Row],[Passed]:[Untested]])</f>
        <v>148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3"/>
  <sheetViews>
    <sheetView zoomScaleNormal="100" workbookViewId="0">
      <selection activeCell="K10" sqref="K10"/>
    </sheetView>
  </sheetViews>
  <sheetFormatPr defaultColWidth="11.5546875" defaultRowHeight="15"/>
  <cols>
    <col min="1" max="1" width="15.332031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37</v>
      </c>
      <c r="B1" s="3" t="s">
        <v>29</v>
      </c>
      <c r="C1" s="3" t="s">
        <v>58</v>
      </c>
      <c r="D1" s="3" t="s">
        <v>28</v>
      </c>
      <c r="E1" s="3" t="s">
        <v>62</v>
      </c>
      <c r="F1" s="3" t="s">
        <v>63</v>
      </c>
      <c r="G1" s="3" t="s">
        <v>5</v>
      </c>
      <c r="H1" s="3" t="s">
        <v>7</v>
      </c>
    </row>
    <row r="2" spans="1:8">
      <c r="A2" t="s">
        <v>30</v>
      </c>
      <c r="B2">
        <v>9</v>
      </c>
      <c r="C2">
        <v>0</v>
      </c>
      <c r="D2">
        <v>0</v>
      </c>
      <c r="E2">
        <v>0</v>
      </c>
      <c r="F2">
        <v>0</v>
      </c>
      <c r="G2">
        <v>92</v>
      </c>
      <c r="H2">
        <f>SUM(Table7[[#This Row],[To Do]:[Done]])</f>
        <v>101</v>
      </c>
    </row>
    <row r="3" spans="1:8">
      <c r="A3" t="s">
        <v>31</v>
      </c>
      <c r="B3">
        <v>7</v>
      </c>
      <c r="C3">
        <v>0</v>
      </c>
      <c r="D3">
        <v>0</v>
      </c>
      <c r="E3">
        <v>0</v>
      </c>
      <c r="F3">
        <v>0</v>
      </c>
      <c r="G3">
        <v>59</v>
      </c>
      <c r="H3">
        <f>SUM(Table7[[#This Row],[To Do]:[Done]])</f>
        <v>66</v>
      </c>
    </row>
    <row r="4" spans="1:8">
      <c r="A4" t="s">
        <v>32</v>
      </c>
      <c r="B4">
        <v>25</v>
      </c>
      <c r="C4">
        <v>0</v>
      </c>
      <c r="D4">
        <v>0</v>
      </c>
      <c r="E4">
        <v>0</v>
      </c>
      <c r="F4">
        <v>0</v>
      </c>
      <c r="G4">
        <v>168</v>
      </c>
      <c r="H4">
        <f>SUM(Table7[[#This Row],[To Do]:[Done]])</f>
        <v>193</v>
      </c>
    </row>
    <row r="5" spans="1:8">
      <c r="A5" t="s">
        <v>33</v>
      </c>
      <c r="B5">
        <v>31</v>
      </c>
      <c r="C5">
        <v>0</v>
      </c>
      <c r="D5">
        <v>0</v>
      </c>
      <c r="E5">
        <v>0</v>
      </c>
      <c r="F5">
        <v>0</v>
      </c>
      <c r="G5">
        <v>156</v>
      </c>
      <c r="H5">
        <f>SUM(Table7[[#This Row],[To Do]:[Done]])</f>
        <v>187</v>
      </c>
    </row>
    <row r="6" spans="1:8">
      <c r="A6" t="s">
        <v>34</v>
      </c>
      <c r="B6">
        <v>15</v>
      </c>
      <c r="C6">
        <v>0</v>
      </c>
      <c r="D6">
        <v>0</v>
      </c>
      <c r="E6">
        <v>0</v>
      </c>
      <c r="F6">
        <v>0</v>
      </c>
      <c r="G6">
        <v>76</v>
      </c>
      <c r="H6">
        <f>SUM(Table7[[#This Row],[To Do]:[Done]])</f>
        <v>91</v>
      </c>
    </row>
    <row r="7" spans="1:8">
      <c r="A7" t="s">
        <v>35</v>
      </c>
      <c r="B7">
        <v>15</v>
      </c>
      <c r="C7">
        <v>0</v>
      </c>
      <c r="D7">
        <v>1</v>
      </c>
      <c r="E7">
        <v>0</v>
      </c>
      <c r="F7">
        <v>0</v>
      </c>
      <c r="G7">
        <v>61</v>
      </c>
      <c r="H7">
        <f>SUM(Table7[[#This Row],[To Do]:[Done]])</f>
        <v>77</v>
      </c>
    </row>
    <row r="8" spans="1:8">
      <c r="A8" t="s">
        <v>36</v>
      </c>
      <c r="B8">
        <v>7</v>
      </c>
      <c r="C8">
        <v>0</v>
      </c>
      <c r="D8">
        <v>0</v>
      </c>
      <c r="E8">
        <v>0</v>
      </c>
      <c r="F8">
        <v>0</v>
      </c>
      <c r="G8">
        <v>46</v>
      </c>
      <c r="H8">
        <f>SUM(Table7[[#This Row],[To Do]:[Done]])</f>
        <v>53</v>
      </c>
    </row>
    <row r="9" spans="1:8">
      <c r="A9" t="s">
        <v>11</v>
      </c>
      <c r="B9">
        <v>18</v>
      </c>
      <c r="C9">
        <v>0</v>
      </c>
      <c r="D9">
        <v>2</v>
      </c>
      <c r="E9">
        <v>0</v>
      </c>
      <c r="F9">
        <v>0</v>
      </c>
      <c r="G9">
        <v>42</v>
      </c>
      <c r="H9">
        <f>SUM(Table7[[#This Row],[To Do]:[Done]])</f>
        <v>62</v>
      </c>
    </row>
    <row r="10" spans="1:8">
      <c r="A10" t="s">
        <v>12</v>
      </c>
      <c r="B10">
        <v>17</v>
      </c>
      <c r="C10">
        <v>0</v>
      </c>
      <c r="D10">
        <v>1</v>
      </c>
      <c r="E10">
        <v>0</v>
      </c>
      <c r="F10">
        <v>0</v>
      </c>
      <c r="G10">
        <v>33</v>
      </c>
      <c r="H10">
        <f>SUM(Table7[[#This Row],[To Do]:[Done]])</f>
        <v>51</v>
      </c>
    </row>
    <row r="11" spans="1:8">
      <c r="A11" t="s">
        <v>13</v>
      </c>
      <c r="B11">
        <v>26</v>
      </c>
      <c r="C11">
        <v>0</v>
      </c>
      <c r="D11">
        <v>0</v>
      </c>
      <c r="E11">
        <v>0</v>
      </c>
      <c r="F11">
        <v>0</v>
      </c>
      <c r="G11">
        <v>25</v>
      </c>
      <c r="H11">
        <f>SUM(Table7[[#This Row],[To Do]:[Done]])</f>
        <v>51</v>
      </c>
    </row>
    <row r="12" spans="1:8">
      <c r="A12" t="s">
        <v>14</v>
      </c>
      <c r="B12">
        <v>15</v>
      </c>
      <c r="C12">
        <v>0</v>
      </c>
      <c r="D12">
        <v>0</v>
      </c>
      <c r="E12">
        <v>0</v>
      </c>
      <c r="F12">
        <v>0</v>
      </c>
      <c r="G12">
        <v>55</v>
      </c>
      <c r="H12">
        <f>SUM(Table7[[#This Row],[To Do]:[Done]])</f>
        <v>70</v>
      </c>
    </row>
    <row r="13" spans="1:8">
      <c r="A13" t="s">
        <v>15</v>
      </c>
      <c r="B13">
        <v>9</v>
      </c>
      <c r="C13">
        <v>0</v>
      </c>
      <c r="D13">
        <v>0</v>
      </c>
      <c r="E13">
        <v>1</v>
      </c>
      <c r="F13">
        <v>0</v>
      </c>
      <c r="G13">
        <v>39</v>
      </c>
      <c r="H13">
        <f>SUM(Table7[[#This Row],[To Do]:[Done]])</f>
        <v>49</v>
      </c>
    </row>
    <row r="14" spans="1:8">
      <c r="A14" t="s">
        <v>16</v>
      </c>
      <c r="B14">
        <v>6</v>
      </c>
      <c r="C14">
        <v>0</v>
      </c>
      <c r="D14">
        <v>0</v>
      </c>
      <c r="E14">
        <v>0</v>
      </c>
      <c r="F14">
        <v>0</v>
      </c>
      <c r="G14">
        <v>33</v>
      </c>
      <c r="H14">
        <f>SUM(Table7[[#This Row],[To Do]:[Done]])</f>
        <v>39</v>
      </c>
    </row>
    <row r="15" spans="1:8">
      <c r="A15" t="s">
        <v>17</v>
      </c>
      <c r="B15">
        <v>11</v>
      </c>
      <c r="C15">
        <v>1</v>
      </c>
      <c r="D15">
        <v>0</v>
      </c>
      <c r="E15">
        <v>0</v>
      </c>
      <c r="F15">
        <v>0</v>
      </c>
      <c r="G15">
        <v>28</v>
      </c>
      <c r="H15">
        <f>SUM(Table7[[#This Row],[To Do]:[Done]])</f>
        <v>40</v>
      </c>
    </row>
    <row r="16" spans="1:8">
      <c r="A16" t="s">
        <v>60</v>
      </c>
      <c r="B16">
        <v>2</v>
      </c>
      <c r="C16">
        <v>0</v>
      </c>
      <c r="D16">
        <v>0</v>
      </c>
      <c r="E16">
        <v>0</v>
      </c>
      <c r="F16">
        <v>0</v>
      </c>
      <c r="G16">
        <v>1</v>
      </c>
      <c r="H16">
        <f>SUM(Table7[[#This Row],[To Do]:[Done]])</f>
        <v>3</v>
      </c>
    </row>
    <row r="17" spans="1:8">
      <c r="A17" t="s">
        <v>67</v>
      </c>
      <c r="B17">
        <v>14</v>
      </c>
      <c r="C17">
        <v>1</v>
      </c>
      <c r="D17">
        <v>0</v>
      </c>
      <c r="E17">
        <v>0</v>
      </c>
      <c r="F17">
        <v>0</v>
      </c>
      <c r="G17">
        <v>7</v>
      </c>
      <c r="H17">
        <f>SUM(Table7[[#This Row],[To Do]:[Done]])</f>
        <v>22</v>
      </c>
    </row>
    <row r="18" spans="1:8">
      <c r="A18" t="s">
        <v>70</v>
      </c>
      <c r="B18">
        <v>2</v>
      </c>
      <c r="C18">
        <v>0</v>
      </c>
      <c r="D18">
        <v>0</v>
      </c>
      <c r="E18">
        <v>0</v>
      </c>
      <c r="F18">
        <v>0</v>
      </c>
      <c r="G18">
        <v>11</v>
      </c>
      <c r="H18">
        <f>SUM(Table7[[#This Row],[To Do]:[Done]])</f>
        <v>13</v>
      </c>
    </row>
    <row r="19" spans="1:8">
      <c r="A19" t="s">
        <v>75</v>
      </c>
      <c r="B19">
        <v>5</v>
      </c>
      <c r="C19">
        <v>0</v>
      </c>
      <c r="D19">
        <v>0</v>
      </c>
      <c r="E19">
        <v>0</v>
      </c>
      <c r="F19">
        <v>0</v>
      </c>
      <c r="G19">
        <v>8</v>
      </c>
      <c r="H19" s="12">
        <f>SUM(Table7[[#This Row],[To Do]:[Done]])</f>
        <v>13</v>
      </c>
    </row>
    <row r="20" spans="1:8">
      <c r="A20" t="s">
        <v>76</v>
      </c>
      <c r="B20">
        <v>17</v>
      </c>
      <c r="C20">
        <v>0</v>
      </c>
      <c r="D20">
        <v>0</v>
      </c>
      <c r="E20">
        <v>0</v>
      </c>
      <c r="F20">
        <v>2</v>
      </c>
      <c r="G20">
        <v>34</v>
      </c>
      <c r="H20" s="12">
        <f>SUM(Table7[[#This Row],[To Do]:[Done]])</f>
        <v>53</v>
      </c>
    </row>
    <row r="21" spans="1:8">
      <c r="A21" t="s">
        <v>80</v>
      </c>
      <c r="B21">
        <v>8</v>
      </c>
      <c r="C21">
        <v>0</v>
      </c>
      <c r="D21">
        <v>0</v>
      </c>
      <c r="E21">
        <v>0</v>
      </c>
      <c r="F21">
        <v>0</v>
      </c>
      <c r="G21">
        <v>35</v>
      </c>
      <c r="H21" s="12">
        <f>SUM(Table7[[#This Row],[To Do]:[Done]])</f>
        <v>43</v>
      </c>
    </row>
    <row r="22" spans="1:8">
      <c r="A22" t="s">
        <v>87</v>
      </c>
      <c r="B22">
        <v>8</v>
      </c>
      <c r="C22">
        <v>0</v>
      </c>
      <c r="D22">
        <v>2</v>
      </c>
      <c r="E22">
        <v>1</v>
      </c>
      <c r="F22">
        <v>1</v>
      </c>
      <c r="G22">
        <v>18</v>
      </c>
      <c r="H22" s="12">
        <f>SUM(Table7[[#This Row],[To Do]:[Done]])</f>
        <v>30</v>
      </c>
    </row>
    <row r="23" spans="1:8">
      <c r="A23" t="s">
        <v>90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 s="12">
        <f>SUM(Table7[[#This Row],[To Do]:[Done]])</f>
        <v>1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I20"/>
  <sheetViews>
    <sheetView zoomScaleNormal="100" workbookViewId="0">
      <selection activeCell="J18" sqref="J18"/>
    </sheetView>
  </sheetViews>
  <sheetFormatPr defaultColWidth="11.5546875" defaultRowHeight="15"/>
  <cols>
    <col min="1" max="1" width="18.21875" customWidth="1"/>
    <col min="2" max="2" width="14.44140625" customWidth="1"/>
    <col min="3" max="3" width="23.21875" customWidth="1"/>
    <col min="4" max="4" width="23.109375" customWidth="1"/>
    <col min="5" max="5" width="18.109375" customWidth="1"/>
    <col min="6" max="6" width="29.33203125" customWidth="1"/>
    <col min="7" max="8" width="20.109375" customWidth="1"/>
    <col min="9" max="9" width="14.21875" customWidth="1"/>
  </cols>
  <sheetData>
    <row r="1" spans="1:9" ht="21" thickBot="1">
      <c r="A1" s="6" t="s">
        <v>38</v>
      </c>
      <c r="B1" s="7" t="s">
        <v>39</v>
      </c>
      <c r="C1" s="7" t="s">
        <v>43</v>
      </c>
      <c r="D1" s="7" t="s">
        <v>64</v>
      </c>
      <c r="E1" s="7" t="s">
        <v>41</v>
      </c>
      <c r="F1" s="7" t="s">
        <v>91</v>
      </c>
      <c r="G1" s="7" t="s">
        <v>40</v>
      </c>
      <c r="H1" s="8" t="s">
        <v>42</v>
      </c>
      <c r="I1" s="9" t="s">
        <v>7</v>
      </c>
    </row>
    <row r="2" spans="1:9" ht="18" thickBot="1">
      <c r="A2" s="4" t="s">
        <v>52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20</v>
      </c>
      <c r="H2" s="5">
        <v>3</v>
      </c>
      <c r="I2" s="5">
        <f>SUM(Table5[[#This Row],[To Do (0%)]:[WON''T DO (100%)]])</f>
        <v>23</v>
      </c>
    </row>
    <row r="3" spans="1:9" ht="18" thickBot="1">
      <c r="A3" s="4" t="s">
        <v>53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20</v>
      </c>
      <c r="H3" s="5">
        <v>2</v>
      </c>
      <c r="I3" s="5">
        <f>SUM(Table5[[#This Row],[To Do (0%)]:[WON''T DO (100%)]])</f>
        <v>22</v>
      </c>
    </row>
    <row r="4" spans="1:9" ht="18" thickBot="1">
      <c r="A4" s="4" t="s">
        <v>54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16</v>
      </c>
      <c r="H4" s="5">
        <v>2</v>
      </c>
      <c r="I4" s="5">
        <f>SUM(Table5[[#This Row],[To Do (0%)]:[WON''T DO (100%)]])</f>
        <v>18</v>
      </c>
    </row>
    <row r="5" spans="1:9" ht="18" thickBot="1">
      <c r="A5" s="4" t="s">
        <v>55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16</v>
      </c>
      <c r="H5" s="5">
        <v>2</v>
      </c>
      <c r="I5" s="5">
        <f>SUM(Table5[[#This Row],[To Do (0%)]:[WON''T DO (100%)]])</f>
        <v>18</v>
      </c>
    </row>
    <row r="6" spans="1:9" ht="18" thickBot="1">
      <c r="A6" s="4" t="s">
        <v>56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55</v>
      </c>
      <c r="H6" s="5">
        <v>4</v>
      </c>
      <c r="I6" s="5">
        <f>SUM(Table5[[#This Row],[To Do (0%)]:[WON''T DO (100%)]])</f>
        <v>59</v>
      </c>
    </row>
    <row r="7" spans="1:9" ht="18" thickBot="1">
      <c r="A7" s="4" t="s">
        <v>57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35</v>
      </c>
      <c r="H7" s="5">
        <v>4</v>
      </c>
      <c r="I7" s="5">
        <f>SUM(Table5[[#This Row],[To Do (0%)]:[WON''T DO (100%)]])</f>
        <v>39</v>
      </c>
    </row>
    <row r="8" spans="1:9" ht="18" thickBot="1">
      <c r="A8" s="4" t="s">
        <v>44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39</v>
      </c>
      <c r="H8" s="5">
        <v>2</v>
      </c>
      <c r="I8" s="5">
        <f>SUM(Table5[[#This Row],[To Do (0%)]:[WON''T DO (100%)]])</f>
        <v>42</v>
      </c>
    </row>
    <row r="9" spans="1:9" ht="18" thickBot="1">
      <c r="A9" s="4" t="s">
        <v>45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39</v>
      </c>
      <c r="H9" s="5">
        <v>6</v>
      </c>
      <c r="I9" s="5">
        <f>SUM(Table5[[#This Row],[To Do (0%)]:[WON''T DO (100%)]])</f>
        <v>46</v>
      </c>
    </row>
    <row r="10" spans="1:9" ht="18" thickBot="1">
      <c r="A10" s="4" t="s">
        <v>46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45</v>
      </c>
      <c r="H10" s="5">
        <v>7</v>
      </c>
      <c r="I10" s="5">
        <f>SUM(Table5[[#This Row],[To Do (0%)]:[WON''T DO (100%)]])</f>
        <v>53</v>
      </c>
    </row>
    <row r="11" spans="1:9" ht="18" thickBot="1">
      <c r="A11" s="4" t="s">
        <v>47</v>
      </c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18</v>
      </c>
      <c r="H11" s="5">
        <v>1</v>
      </c>
      <c r="I11" s="5">
        <f>SUM(Table5[[#This Row],[To Do (0%)]:[WON''T DO (100%)]])</f>
        <v>20</v>
      </c>
    </row>
    <row r="12" spans="1:9" ht="18" thickBot="1">
      <c r="A12" s="4" t="s">
        <v>48</v>
      </c>
      <c r="B12" s="5">
        <v>3</v>
      </c>
      <c r="C12" s="5">
        <v>0</v>
      </c>
      <c r="D12" s="5">
        <v>0</v>
      </c>
      <c r="E12" s="5">
        <v>0</v>
      </c>
      <c r="F12" s="5">
        <v>0</v>
      </c>
      <c r="G12" s="5">
        <v>25</v>
      </c>
      <c r="H12" s="5">
        <v>4</v>
      </c>
      <c r="I12" s="5">
        <f>SUM(Table5[[#This Row],[To Do (0%)]:[WON''T DO (100%)]])</f>
        <v>32</v>
      </c>
    </row>
    <row r="13" spans="1:9" ht="18" thickBot="1">
      <c r="A13" s="4" t="s">
        <v>50</v>
      </c>
      <c r="B13" s="5">
        <v>3</v>
      </c>
      <c r="C13" s="5">
        <v>0</v>
      </c>
      <c r="D13" s="5">
        <v>0</v>
      </c>
      <c r="E13" s="5">
        <v>0</v>
      </c>
      <c r="F13" s="5">
        <v>0</v>
      </c>
      <c r="G13" s="5">
        <v>45</v>
      </c>
      <c r="H13" s="5">
        <v>5</v>
      </c>
      <c r="I13" s="5">
        <f>SUM(Table5[[#This Row],[To Do (0%)]:[WON''T DO (100%)]])</f>
        <v>53</v>
      </c>
    </row>
    <row r="14" spans="1:9" ht="18" thickBot="1">
      <c r="A14" s="4" t="s">
        <v>51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24</v>
      </c>
      <c r="H14" s="5">
        <v>1</v>
      </c>
      <c r="I14" s="5">
        <f>SUM(Table5[[#This Row],[To Do (0%)]:[WON''T DO (100%)]])</f>
        <v>25</v>
      </c>
    </row>
    <row r="15" spans="1:9" ht="18" thickBot="1">
      <c r="A15" s="4" t="s">
        <v>65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43</v>
      </c>
      <c r="H15" s="5">
        <v>0</v>
      </c>
      <c r="I15" s="5">
        <f>SUM(Table5[[#This Row],[To Do (0%)]:[WON''T DO (100%)]])</f>
        <v>43</v>
      </c>
    </row>
    <row r="16" spans="1:9" ht="18" thickBot="1">
      <c r="A16" s="4" t="s">
        <v>71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35</v>
      </c>
      <c r="H16" s="5">
        <v>0</v>
      </c>
      <c r="I16" s="5">
        <f>SUM(Table5[[#This Row],[To Do (0%)]:[WON''T DO (100%)]])</f>
        <v>35</v>
      </c>
    </row>
    <row r="17" spans="1:9" ht="18" thickBot="1">
      <c r="A17" s="4" t="s">
        <v>73</v>
      </c>
      <c r="B17" s="5">
        <v>0</v>
      </c>
      <c r="C17" s="5">
        <v>0</v>
      </c>
      <c r="D17" s="5">
        <v>0</v>
      </c>
      <c r="E17" s="5">
        <v>0</v>
      </c>
      <c r="F17" s="5">
        <v>1</v>
      </c>
      <c r="G17" s="5">
        <v>28</v>
      </c>
      <c r="H17" s="5">
        <v>0</v>
      </c>
      <c r="I17" s="5">
        <f>SUM(Table5[[#This Row],[To Do (0%)]:[WON''T DO (100%)]])</f>
        <v>29</v>
      </c>
    </row>
    <row r="18" spans="1:9" ht="18" thickBot="1">
      <c r="A18" s="4" t="s">
        <v>78</v>
      </c>
      <c r="B18" s="5">
        <v>9</v>
      </c>
      <c r="C18" s="5">
        <v>0</v>
      </c>
      <c r="D18" s="5">
        <v>0</v>
      </c>
      <c r="E18" s="5">
        <v>0</v>
      </c>
      <c r="F18" s="5">
        <v>1</v>
      </c>
      <c r="G18" s="5">
        <v>34</v>
      </c>
      <c r="H18" s="5">
        <v>0</v>
      </c>
      <c r="I18" s="5">
        <f>SUM(Table5[[#This Row],[To Do (0%)]:[WON''T DO (100%)]])</f>
        <v>44</v>
      </c>
    </row>
    <row r="19" spans="1:9" ht="18" thickBot="1">
      <c r="A19" s="4" t="s">
        <v>82</v>
      </c>
      <c r="B19" s="5">
        <v>8</v>
      </c>
      <c r="C19" s="5">
        <v>0</v>
      </c>
      <c r="D19" s="5">
        <v>1</v>
      </c>
      <c r="E19" s="5">
        <v>2</v>
      </c>
      <c r="F19" s="5">
        <v>3</v>
      </c>
      <c r="G19" s="5">
        <v>22</v>
      </c>
      <c r="H19" s="5">
        <v>0</v>
      </c>
      <c r="I19" s="5">
        <f>SUM(Table5[[#This Row],[To Do (0%)]:[WON''T DO (100%)]])</f>
        <v>36</v>
      </c>
    </row>
    <row r="20" spans="1:9" ht="18" thickBot="1">
      <c r="A20" s="4" t="s">
        <v>86</v>
      </c>
      <c r="B20" s="5">
        <v>16</v>
      </c>
      <c r="C20" s="5">
        <v>0</v>
      </c>
      <c r="D20" s="5">
        <v>1</v>
      </c>
      <c r="E20" s="5">
        <v>5</v>
      </c>
      <c r="F20" s="5">
        <v>3</v>
      </c>
      <c r="G20" s="5">
        <v>9</v>
      </c>
      <c r="H20" s="5">
        <v>0</v>
      </c>
      <c r="I20" s="5">
        <f>SUM(Table5[[#This Row],[To Do (0%)]:[WON''T DO (100%)]])</f>
        <v>34</v>
      </c>
    </row>
  </sheetData>
  <phoneticPr fontId="1" type="noConversion"/>
  <hyperlinks>
    <hyperlink ref="B2" r:id="rId1" display="https://xrspace.atlassian.net/issues/?jql=created+%3E%3D+2025-01-01+AND+created+%3C%3D+2025-12-31+AND+type+%3D+Bug+AND+project+%3D+SOVA+AND+Sprint+%3D+1463+AND+status+%3D+%22To+Do+%280%25%29%22" xr:uid="{212D6BF7-DD75-4AFE-B750-6F20410018E3}"/>
    <hyperlink ref="D2" r:id="rId2" display="https://xrspace.atlassian.net/issues/?jql=created+%3E%3D+2025-01-01+AND+created+%3C%3D+2025-12-31+AND+type+%3D+Bug+AND+project+%3D+SOVA+AND+Sprint+%3D+1463+AND+status+%3D+%22In+Progress+%2850+%7E+70%25%29%22" xr:uid="{DFB7F74C-78C4-4AC9-9CD6-5DC31154BF1E}"/>
    <hyperlink ref="G2" r:id="rId3" display="https://xrspace.atlassian.net/issues/?jql=created+%3E%3D+2025-01-01+AND+created+%3C%3D+2025-12-31+AND+type+%3D+Bug+AND+project+%3D+SOVA+AND+Sprint+%3D+1463+AND+status+%3D+%22Done+%28100%25%29%22" xr:uid="{80ED02AF-3E98-46A5-93EC-43DF019DA715}"/>
    <hyperlink ref="E2" r:id="rId4" display="https://xrspace.atlassian.net/issues/?jql=created+%3E%3D+2025-01-01+AND+created+%3C%3D+2025-12-31+AND+type+%3D+Bug+AND+project+%3D+SOVA+AND+Sprint+%3D+1463+AND+status+%3D+%22IN+REVIEW+%2880%25%29%22" xr:uid="{7368DEC9-9935-4CAF-B93C-FE92310FE02D}"/>
    <hyperlink ref="H2" r:id="rId5" display="https://xrspace.atlassian.net/issues/?jql=created+%3E%3D+2025-01-01+AND+created+%3C%3D+2025-12-31+AND+type+%3D+Bug+AND+project+%3D+SOVA+AND+Sprint+%3D+1463+AND+status+%3D+%22WON%27T+DO+%28100%25%29%22" xr:uid="{BA18BE33-682A-43B6-94F2-EA52DD8F71CF}"/>
    <hyperlink ref="C2" r:id="rId6" display="https://xrspace.atlassian.net/issues/?jql=created+%3E%3D+2025-01-01+AND+created+%3C%3D+2025-12-31+AND+type+%3D+Bug+AND+project+%3D+SOVA+AND+Sprint+%3D+1463+AND+status+%3D+%22STARTING+%2810+%7E+40%25%29%22" xr:uid="{B7C4357E-5681-41D6-8577-03D6C28A3486}"/>
    <hyperlink ref="F2" r:id="rId7" display="https://xrspace.atlassian.net/issues/?jql=created+%3E%3D+2025-01-01+AND+created+%3C%3D+2025-12-31+AND+type+%3D+Bug+AND+project+%3D+SOVA+AND+Sprint+%3D+1463+AND+status+%3D+%22READY+FOR+TESTING+%2890%25%29%22" xr:uid="{C84325CA-F62D-48C3-BD1C-56B50B36C5EA}"/>
    <hyperlink ref="B3" r:id="rId8" display="https://xrspace.atlassian.net/issues/?jql=created+%3E%3D+2025-01-01+AND+created+%3C%3D+2025-12-31+AND+type+%3D+Bug+AND+project+%3D+SOVA+AND+Sprint+%3D+1466+AND+status+%3D+%22To+Do+%280%25%29%22" xr:uid="{4CB469A4-F18E-4E63-B2F2-11A7E46C65B1}"/>
    <hyperlink ref="D3" r:id="rId9" display="https://xrspace.atlassian.net/issues/?jql=created+%3E%3D+2025-01-01+AND+created+%3C%3D+2025-12-31+AND+type+%3D+Bug+AND+project+%3D+SOVA+AND+Sprint+%3D+1466+AND+status+%3D+%22In+Progress+%2850+%7E+70%25%29%22" xr:uid="{89841E5E-1B56-4A0C-8D4F-EC92139657BE}"/>
    <hyperlink ref="G3" r:id="rId10" display="https://xrspace.atlassian.net/issues/?jql=created+%3E%3D+2025-01-01+AND+created+%3C%3D+2025-12-31+AND+type+%3D+Bug+AND+project+%3D+SOVA+AND+Sprint+%3D+1466+AND+status+%3D+%22Done+%28100%25%29%22" xr:uid="{747B7426-0BD7-407D-B86C-DF032931CD8B}"/>
    <hyperlink ref="E3" r:id="rId11" display="https://xrspace.atlassian.net/issues/?jql=created+%3E%3D+2025-01-01+AND+created+%3C%3D+2025-12-31+AND+type+%3D+Bug+AND+project+%3D+SOVA+AND+Sprint+%3D+1466+AND+status+%3D+%22IN+REVIEW+%2880%25%29%22" xr:uid="{D3998270-B2CC-4D4A-9A82-47898B16B5B7}"/>
    <hyperlink ref="H3" r:id="rId12" display="https://xrspace.atlassian.net/issues/?jql=created+%3E%3D+2025-01-01+AND+created+%3C%3D+2025-12-31+AND+type+%3D+Bug+AND+project+%3D+SOVA+AND+Sprint+%3D+1466+AND+status+%3D+%22WON%27T+DO+%28100%25%29%22" xr:uid="{5DA69E66-8900-4137-A849-F0262E46B66F}"/>
    <hyperlink ref="C3" r:id="rId13" display="https://xrspace.atlassian.net/issues/?jql=created+%3E%3D+2025-01-01+AND+created+%3C%3D+2025-12-31+AND+type+%3D+Bug+AND+project+%3D+SOVA+AND+Sprint+%3D+1466+AND+status+%3D+%22STARTING+%2810+%7E+40%25%29%22" xr:uid="{C9AA3516-1083-4085-948E-A8A2CE09FF65}"/>
    <hyperlink ref="F3" r:id="rId14" display="https://xrspace.atlassian.net/issues/?jql=created+%3E%3D+2025-01-01+AND+created+%3C%3D+2025-12-31+AND+type+%3D+Bug+AND+project+%3D+SOVA+AND+Sprint+%3D+1466+AND+status+%3D+%22READY+FOR+TESTING+%2890%25%29%22" xr:uid="{6EA1C496-09A3-4E76-8C4F-8637111EC85D}"/>
    <hyperlink ref="B4" r:id="rId15" display="https://xrspace.atlassian.net/issues/?jql=created+%3E%3D+2025-01-01+AND+created+%3C%3D+2025-12-31+AND+type+%3D+Bug+AND+project+%3D+SOVA+AND+Sprint+%3D+1496+AND+status+%3D+%22To+Do+%280%25%29%22" xr:uid="{FC58DDF5-C099-4551-8D53-7E7BC5C68B9F}"/>
    <hyperlink ref="D4" r:id="rId16" display="https://xrspace.atlassian.net/issues/?jql=created+%3E%3D+2025-01-01+AND+created+%3C%3D+2025-12-31+AND+type+%3D+Bug+AND+project+%3D+SOVA+AND+Sprint+%3D+1496+AND+status+%3D+%22In+Progress+%2850+%7E+70%25%29%22" xr:uid="{D5F01E18-9F6C-4D28-8A95-6D6F3899446D}"/>
    <hyperlink ref="G4" r:id="rId17" display="https://xrspace.atlassian.net/issues/?jql=created+%3E%3D+2025-01-01+AND+created+%3C%3D+2025-12-31+AND+type+%3D+Bug+AND+project+%3D+SOVA+AND+Sprint+%3D+1496+AND+status+%3D+%22Done+%28100%25%29%22" xr:uid="{112871D7-AC89-4E8A-8C51-D06CE2A5E341}"/>
    <hyperlink ref="E4" r:id="rId18" display="https://xrspace.atlassian.net/issues/?jql=created+%3E%3D+2025-01-01+AND+created+%3C%3D+2025-12-31+AND+type+%3D+Bug+AND+project+%3D+SOVA+AND+Sprint+%3D+1496+AND+status+%3D+%22IN+REVIEW+%2880%25%29%22" xr:uid="{529FA587-EAFF-4D66-BE42-D2BB9DB92FE3}"/>
    <hyperlink ref="H4" r:id="rId19" display="https://xrspace.atlassian.net/issues/?jql=created+%3E%3D+2025-01-01+AND+created+%3C%3D+2025-12-31+AND+type+%3D+Bug+AND+project+%3D+SOVA+AND+Sprint+%3D+1496+AND+status+%3D+%22WON%27T+DO+%28100%25%29%22" xr:uid="{55F39C9B-BEDA-4F5B-9068-D9362F962C63}"/>
    <hyperlink ref="C4" r:id="rId20" display="https://xrspace.atlassian.net/issues/?jql=created+%3E%3D+2025-01-01+AND+created+%3C%3D+2025-12-31+AND+type+%3D+Bug+AND+project+%3D+SOVA+AND+Sprint+%3D+1496+AND+status+%3D+%22STARTING+%2810+%7E+40%25%29%22" xr:uid="{D34DE6EF-39A7-4E05-BF19-3FCBBC0D4CD1}"/>
    <hyperlink ref="F4" r:id="rId21" display="https://xrspace.atlassian.net/issues/?jql=created+%3E%3D+2025-01-01+AND+created+%3C%3D+2025-12-31+AND+type+%3D+Bug+AND+project+%3D+SOVA+AND+Sprint+%3D+1496+AND+status+%3D+%22READY+FOR+TESTING+%2890%25%29%22" xr:uid="{1313B763-F418-4F28-A90D-C16CB320A7A9}"/>
    <hyperlink ref="B5" r:id="rId22" display="https://xrspace.atlassian.net/issues/?jql=created+%3E%3D+2025-01-01+AND+created+%3C%3D+2025-12-31+AND+type+%3D+Bug+AND+project+%3D+SOVA+AND+Sprint+%3D+1497+AND+status+%3D+%22To+Do+%280%25%29%22" xr:uid="{3E02119A-D487-4C0D-8200-A6686EDC75E4}"/>
    <hyperlink ref="D5" r:id="rId23" display="https://xrspace.atlassian.net/issues/?jql=created+%3E%3D+2025-01-01+AND+created+%3C%3D+2025-12-31+AND+type+%3D+Bug+AND+project+%3D+SOVA+AND+Sprint+%3D+1497+AND+status+%3D+%22In+Progress+%2850+%7E+70%25%29%22" xr:uid="{104A7594-0515-4514-B215-D2A6810C6EF2}"/>
    <hyperlink ref="G5" r:id="rId24" display="https://xrspace.atlassian.net/issues/?jql=created+%3E%3D+2025-01-01+AND+created+%3C%3D+2025-12-31+AND+type+%3D+Bug+AND+project+%3D+SOVA+AND+Sprint+%3D+1497+AND+status+%3D+%22Done+%28100%25%29%22" xr:uid="{B8AE92BA-1D8A-4C02-AA78-312FE5E8A5D0}"/>
    <hyperlink ref="E5" r:id="rId25" display="https://xrspace.atlassian.net/issues/?jql=created+%3E%3D+2025-01-01+AND+created+%3C%3D+2025-12-31+AND+type+%3D+Bug+AND+project+%3D+SOVA+AND+Sprint+%3D+1497+AND+status+%3D+%22IN+REVIEW+%2880%25%29%22" xr:uid="{F5C2B301-39E9-496E-A9B6-66E8BD63E1B3}"/>
    <hyperlink ref="H5" r:id="rId26" display="https://xrspace.atlassian.net/issues/?jql=created+%3E%3D+2025-01-01+AND+created+%3C%3D+2025-12-31+AND+type+%3D+Bug+AND+project+%3D+SOVA+AND+Sprint+%3D+1497+AND+status+%3D+%22WON%27T+DO+%28100%25%29%22" xr:uid="{47BD4579-2BF5-4450-95EE-B4DF5D9BCD3C}"/>
    <hyperlink ref="C5" r:id="rId27" display="https://xrspace.atlassian.net/issues/?jql=created+%3E%3D+2025-01-01+AND+created+%3C%3D+2025-12-31+AND+type+%3D+Bug+AND+project+%3D+SOVA+AND+Sprint+%3D+1497+AND+status+%3D+%22STARTING+%2810+%7E+40%25%29%22" xr:uid="{FF19F51E-0278-40E7-833E-6492A3B3423B}"/>
    <hyperlink ref="F5" r:id="rId28" display="https://xrspace.atlassian.net/issues/?jql=created+%3E%3D+2025-01-01+AND+created+%3C%3D+2025-12-31+AND+type+%3D+Bug+AND+project+%3D+SOVA+AND+Sprint+%3D+1497+AND+status+%3D+%22READY+FOR+TESTING+%2890%25%29%22" xr:uid="{E27F8C44-416E-48F1-8A48-469D657A59C6}"/>
    <hyperlink ref="B6" r:id="rId29" display="https://xrspace.atlassian.net/issues/?jql=created+%3E%3D+2025-01-01+AND+created+%3C%3D+2025-12-31+AND+type+%3D+Bug+AND+project+%3D+SOVA+AND+Sprint+%3D+1498+AND+status+%3D+%22To+Do+%280%25%29%22" xr:uid="{A9CA2859-8A0F-46CF-85B1-69A34182844F}"/>
    <hyperlink ref="D6" r:id="rId30" display="https://xrspace.atlassian.net/issues/?jql=created+%3E%3D+2025-01-01+AND+created+%3C%3D+2025-12-31+AND+type+%3D+Bug+AND+project+%3D+SOVA+AND+Sprint+%3D+1498+AND+status+%3D+%22In+Progress+%2850+%7E+70%25%29%22" xr:uid="{163D0884-FE7C-4735-BF82-2FB825D4C566}"/>
    <hyperlink ref="G6" r:id="rId31" display="https://xrspace.atlassian.net/issues/?jql=created+%3E%3D+2025-01-01+AND+created+%3C%3D+2025-12-31+AND+type+%3D+Bug+AND+project+%3D+SOVA+AND+Sprint+%3D+1498+AND+status+%3D+%22Done+%28100%25%29%22" xr:uid="{68FC8D92-9EC6-4406-BF31-917401EFC4A1}"/>
    <hyperlink ref="E6" r:id="rId32" display="https://xrspace.atlassian.net/issues/?jql=created+%3E%3D+2025-01-01+AND+created+%3C%3D+2025-12-31+AND+type+%3D+Bug+AND+project+%3D+SOVA+AND+Sprint+%3D+1498+AND+status+%3D+%22IN+REVIEW+%2880%25%29%22" xr:uid="{2AC0A66F-C48E-4D8D-B876-37388A435F9C}"/>
    <hyperlink ref="H6" r:id="rId33" display="https://xrspace.atlassian.net/issues/?jql=created+%3E%3D+2025-01-01+AND+created+%3C%3D+2025-12-31+AND+type+%3D+Bug+AND+project+%3D+SOVA+AND+Sprint+%3D+1498+AND+status+%3D+%22WON%27T+DO+%28100%25%29%22" xr:uid="{30AF9E09-A90E-448C-965B-B770CABFA93B}"/>
    <hyperlink ref="C6" r:id="rId34" display="https://xrspace.atlassian.net/issues/?jql=created+%3E%3D+2025-01-01+AND+created+%3C%3D+2025-12-31+AND+type+%3D+Bug+AND+project+%3D+SOVA+AND+Sprint+%3D+1498+AND+status+%3D+%22STARTING+%2810+%7E+40%25%29%22" xr:uid="{C1AE134A-0427-4E50-87D4-28F104E7BE74}"/>
    <hyperlink ref="F6" r:id="rId35" display="https://xrspace.atlassian.net/issues/?jql=created+%3E%3D+2025-01-01+AND+created+%3C%3D+2025-12-31+AND+type+%3D+Bug+AND+project+%3D+SOVA+AND+Sprint+%3D+1498+AND+status+%3D+%22READY+FOR+TESTING+%2890%25%29%22" xr:uid="{4524AEA8-49B8-46BD-9BA5-4BC13BF40E38}"/>
    <hyperlink ref="B7" r:id="rId36" display="https://xrspace.atlassian.net/issues/?jql=created+%3E%3D+2025-01-01+AND+created+%3C%3D+2025-12-31+AND+type+%3D+Bug+AND+project+%3D+SOVA+AND+Sprint+%3D+1499+AND+status+%3D+%22To+Do+%280%25%29%22" xr:uid="{6FDAC38E-9309-4EBB-9D19-3738016644DF}"/>
    <hyperlink ref="D7" r:id="rId37" display="https://xrspace.atlassian.net/issues/?jql=created+%3E%3D+2025-01-01+AND+created+%3C%3D+2025-12-31+AND+type+%3D+Bug+AND+project+%3D+SOVA+AND+Sprint+%3D+1499+AND+status+%3D+%22In+Progress+%2850+%7E+70%25%29%22" xr:uid="{F889275A-D9F7-4FE5-8669-98CA7A4395AE}"/>
    <hyperlink ref="G7" r:id="rId38" display="https://xrspace.atlassian.net/issues/?jql=created+%3E%3D+2025-01-01+AND+created+%3C%3D+2025-12-31+AND+type+%3D+Bug+AND+project+%3D+SOVA+AND+Sprint+%3D+1499+AND+status+%3D+%22Done+%28100%25%29%22" xr:uid="{29F921D7-2642-4589-84EF-CB414D3C045A}"/>
    <hyperlink ref="E7" r:id="rId39" display="https://xrspace.atlassian.net/issues/?jql=created+%3E%3D+2025-01-01+AND+created+%3C%3D+2025-12-31+AND+type+%3D+Bug+AND+project+%3D+SOVA+AND+Sprint+%3D+1499+AND+status+%3D+%22IN+REVIEW+%2880%25%29%22" xr:uid="{3C699A5F-B33A-4CDC-9232-F24C20B7229C}"/>
    <hyperlink ref="H7" r:id="rId40" display="https://xrspace.atlassian.net/issues/?jql=created+%3E%3D+2025-01-01+AND+created+%3C%3D+2025-12-31+AND+type+%3D+Bug+AND+project+%3D+SOVA+AND+Sprint+%3D+1499+AND+status+%3D+%22WON%27T+DO+%28100%25%29%22" xr:uid="{9133BFD4-D75D-4B4B-8C6E-EA43356C53E7}"/>
    <hyperlink ref="C7" r:id="rId41" display="https://xrspace.atlassian.net/issues/?jql=created+%3E%3D+2025-01-01+AND+created+%3C%3D+2025-12-31+AND+type+%3D+Bug+AND+project+%3D+SOVA+AND+Sprint+%3D+1499+AND+status+%3D+%22STARTING+%2810+%7E+40%25%29%22" xr:uid="{452CAFDA-9D6A-420C-8D21-31A5D0AA31C1}"/>
    <hyperlink ref="F7" r:id="rId42" display="https://xrspace.atlassian.net/issues/?jql=created+%3E%3D+2025-01-01+AND+created+%3C%3D+2025-12-31+AND+type+%3D+Bug+AND+project+%3D+SOVA+AND+Sprint+%3D+1499+AND+status+%3D+%22READY+FOR+TESTING+%2890%25%29%22" xr:uid="{DE72C053-A33C-491B-A249-A5BFC4A49B34}"/>
    <hyperlink ref="B8" r:id="rId43" display="https://xrspace.atlassian.net/issues/?jql=created+%3E%3D+2025-01-01+AND+created+%3C%3D+2025-12-31+AND+type+%3D+Bug+AND+project+%3D+SOVA+AND+Sprint+%3D+2156+AND+status+%3D+%22To+Do+%280%25%29%22" xr:uid="{DB94BB00-2D4A-4783-BB33-53D0A200F4C7}"/>
    <hyperlink ref="D8" r:id="rId44" display="https://xrspace.atlassian.net/issues/?jql=created+%3E%3D+2025-01-01+AND+created+%3C%3D+2025-12-31+AND+type+%3D+Bug+AND+project+%3D+SOVA+AND+Sprint+%3D+2156+AND+status+%3D+%22In+Progress+%2850+%7E+70%25%29%22" xr:uid="{0B839EF7-1323-426E-AA21-53350E28EF86}"/>
    <hyperlink ref="G8" r:id="rId45" display="https://xrspace.atlassian.net/issues/?jql=created+%3E%3D+2025-01-01+AND+created+%3C%3D+2025-12-31+AND+type+%3D+Bug+AND+project+%3D+SOVA+AND+Sprint+%3D+2156+AND+status+%3D+%22Done+%28100%25%29%22" xr:uid="{A997A287-AAEB-4FB0-ACE2-1311FEB11C26}"/>
    <hyperlink ref="E8" r:id="rId46" display="https://xrspace.atlassian.net/issues/?jql=created+%3E%3D+2025-01-01+AND+created+%3C%3D+2025-12-31+AND+type+%3D+Bug+AND+project+%3D+SOVA+AND+Sprint+%3D+2156+AND+status+%3D+%22IN+REVIEW+%2880%25%29%22" xr:uid="{15D9E2A7-E054-4DE3-A5A1-995EEB9A6FE8}"/>
    <hyperlink ref="H8" r:id="rId47" display="https://xrspace.atlassian.net/issues/?jql=created+%3E%3D+2025-01-01+AND+created+%3C%3D+2025-12-31+AND+type+%3D+Bug+AND+project+%3D+SOVA+AND+Sprint+%3D+2156+AND+status+%3D+%22WON%27T+DO+%28100%25%29%22" xr:uid="{343A04F0-A9F7-41DC-B534-CFB3E95E436F}"/>
    <hyperlink ref="C8" r:id="rId48" display="https://xrspace.atlassian.net/issues/?jql=created+%3E%3D+2025-01-01+AND+created+%3C%3D+2025-12-31+AND+type+%3D+Bug+AND+project+%3D+SOVA+AND+Sprint+%3D+2156+AND+status+%3D+%22STARTING+%2810+%7E+40%25%29%22" xr:uid="{84765BA8-217E-4E47-A28B-1E494778F0CD}"/>
    <hyperlink ref="F8" r:id="rId49" display="https://xrspace.atlassian.net/issues/?jql=created+%3E%3D+2025-01-01+AND+created+%3C%3D+2025-12-31+AND+type+%3D+Bug+AND+project+%3D+SOVA+AND+Sprint+%3D+2156+AND+status+%3D+%22READY+FOR+TESTING+%2890%25%29%22" xr:uid="{EB6F3415-ADF3-4934-BCD6-1B4008DB8A0D}"/>
    <hyperlink ref="B9" r:id="rId50" display="https://xrspace.atlassian.net/issues/?jql=created+%3E%3D+2025-01-01+AND+created+%3C%3D+2025-12-31+AND+type+%3D+Bug+AND+project+%3D+SOVA+AND+Sprint+%3D+2157+AND+status+%3D+%22To+Do+%280%25%29%22" xr:uid="{9160A333-00A2-469D-9EFD-70B654244ED8}"/>
    <hyperlink ref="D9" r:id="rId51" display="https://xrspace.atlassian.net/issues/?jql=created+%3E%3D+2025-01-01+AND+created+%3C%3D+2025-12-31+AND+type+%3D+Bug+AND+project+%3D+SOVA+AND+Sprint+%3D+2157+AND+status+%3D+%22In+Progress+%2850+%7E+70%25%29%22" xr:uid="{688B0546-E535-46C5-8DFC-130F473FCCF4}"/>
    <hyperlink ref="G9" r:id="rId52" display="https://xrspace.atlassian.net/issues/?jql=created+%3E%3D+2025-01-01+AND+created+%3C%3D+2025-12-31+AND+type+%3D+Bug+AND+project+%3D+SOVA+AND+Sprint+%3D+2157+AND+status+%3D+%22Done+%28100%25%29%22" xr:uid="{7D9983EB-AFCC-4E67-92F3-31E3363A62E5}"/>
    <hyperlink ref="E9" r:id="rId53" display="https://xrspace.atlassian.net/issues/?jql=created+%3E%3D+2025-01-01+AND+created+%3C%3D+2025-12-31+AND+type+%3D+Bug+AND+project+%3D+SOVA+AND+Sprint+%3D+2157+AND+status+%3D+%22IN+REVIEW+%2880%25%29%22" xr:uid="{8AB3F748-9FB9-4753-93E3-C3717EB5C34B}"/>
    <hyperlink ref="H9" r:id="rId54" display="https://xrspace.atlassian.net/issues/?jql=created+%3E%3D+2025-01-01+AND+created+%3C%3D+2025-12-31+AND+type+%3D+Bug+AND+project+%3D+SOVA+AND+Sprint+%3D+2157+AND+status+%3D+%22WON%27T+DO+%28100%25%29%22" xr:uid="{03EC9CCE-567E-4F2A-8D0E-0905AF6DC30F}"/>
    <hyperlink ref="C9" r:id="rId55" display="https://xrspace.atlassian.net/issues/?jql=created+%3E%3D+2025-01-01+AND+created+%3C%3D+2025-12-31+AND+type+%3D+Bug+AND+project+%3D+SOVA+AND+Sprint+%3D+2157+AND+status+%3D+%22STARTING+%2810+%7E+40%25%29%22" xr:uid="{7E242A91-1843-4048-A6BC-6194CA653389}"/>
    <hyperlink ref="F9" r:id="rId56" display="https://xrspace.atlassian.net/issues/?jql=created+%3E%3D+2025-01-01+AND+created+%3C%3D+2025-12-31+AND+type+%3D+Bug+AND+project+%3D+SOVA+AND+Sprint+%3D+2157+AND+status+%3D+%22READY+FOR+TESTING+%2890%25%29%22" xr:uid="{5EE7E0DE-B37D-4310-B419-D4759DE061AC}"/>
    <hyperlink ref="B10" r:id="rId57" display="https://xrspace.atlassian.net/issues/?jql=created+%3E%3D+2025-01-01+AND+created+%3C%3D+2025-12-31+AND+type+%3D+Bug+AND+project+%3D+SOVA+AND+Sprint+%3D+2618+AND+status+%3D+%22To+Do+%280%25%29%22" xr:uid="{6DC2E6E8-13EC-4D6E-A43D-295E35137DDE}"/>
    <hyperlink ref="D10" r:id="rId58" display="https://xrspace.atlassian.net/issues/?jql=created+%3E%3D+2025-01-01+AND+created+%3C%3D+2025-12-31+AND+type+%3D+Bug+AND+project+%3D+SOVA+AND+Sprint+%3D+2618+AND+status+%3D+%22In+Progress+%2850+%7E+70%25%29%22" xr:uid="{1EE28A8B-0560-4D70-AC49-6E7A21C1B949}"/>
    <hyperlink ref="G10" r:id="rId59" display="https://xrspace.atlassian.net/issues/?jql=created+%3E%3D+2025-01-01+AND+created+%3C%3D+2025-12-31+AND+type+%3D+Bug+AND+project+%3D+SOVA+AND+Sprint+%3D+2618+AND+status+%3D+%22Done+%28100%25%29%22" xr:uid="{E27ABA46-532E-438E-B4B7-E4118F32019C}"/>
    <hyperlink ref="E10" r:id="rId60" display="https://xrspace.atlassian.net/issues/?jql=created+%3E%3D+2025-01-01+AND+created+%3C%3D+2025-12-31+AND+type+%3D+Bug+AND+project+%3D+SOVA+AND+Sprint+%3D+2618+AND+status+%3D+%22IN+REVIEW+%2880%25%29%22" xr:uid="{FA1C9E78-DF11-41B8-B795-F8577B74A406}"/>
    <hyperlink ref="H10" r:id="rId61" display="https://xrspace.atlassian.net/issues/?jql=created+%3E%3D+2025-01-01+AND+created+%3C%3D+2025-12-31+AND+type+%3D+Bug+AND+project+%3D+SOVA+AND+Sprint+%3D+2618+AND+status+%3D+%22WON%27T+DO+%28100%25%29%22" xr:uid="{68597233-4867-4964-8BF9-A33E0EB176E5}"/>
    <hyperlink ref="C10" r:id="rId62" display="https://xrspace.atlassian.net/issues/?jql=created+%3E%3D+2025-01-01+AND+created+%3C%3D+2025-12-31+AND+type+%3D+Bug+AND+project+%3D+SOVA+AND+Sprint+%3D+2618+AND+status+%3D+%22STARTING+%2810+%7E+40%25%29%22" xr:uid="{D8F6DDE5-CFD0-44A1-A315-8DAD97FF5483}"/>
    <hyperlink ref="F10" r:id="rId63" display="https://xrspace.atlassian.net/issues/?jql=created+%3E%3D+2025-01-01+AND+created+%3C%3D+2025-12-31+AND+type+%3D+Bug+AND+project+%3D+SOVA+AND+Sprint+%3D+2618+AND+status+%3D+%22READY+FOR+TESTING+%2890%25%29%22" xr:uid="{4947F0B7-B8E2-4521-BB5F-4587D109632D}"/>
    <hyperlink ref="B11" r:id="rId64" display="https://xrspace.atlassian.net/issues/?jql=created+%3E%3D+2025-01-01+AND+created+%3C%3D+2025-12-31+AND+type+%3D+Bug+AND+project+%3D+SOVA+AND+Sprint+%3D+2619+AND+status+%3D+%22To+Do+%280%25%29%22" xr:uid="{603EF13A-7B97-413E-B715-6C6ACA712DCF}"/>
    <hyperlink ref="D11" r:id="rId65" display="https://xrspace.atlassian.net/issues/?jql=created+%3E%3D+2025-01-01+AND+created+%3C%3D+2025-12-31+AND+type+%3D+Bug+AND+project+%3D+SOVA+AND+Sprint+%3D+2619+AND+status+%3D+%22In+Progress+%2850+%7E+70%25%29%22" xr:uid="{613AD4BC-593F-447D-961D-2BCEE79874A2}"/>
    <hyperlink ref="G11" r:id="rId66" display="https://xrspace.atlassian.net/issues/?jql=created+%3E%3D+2025-01-01+AND+created+%3C%3D+2025-12-31+AND+type+%3D+Bug+AND+project+%3D+SOVA+AND+Sprint+%3D+2619+AND+status+%3D+%22Done+%28100%25%29%22" xr:uid="{A692B11C-2559-4C01-9A4D-E3938BA8F5A5}"/>
    <hyperlink ref="E11" r:id="rId67" display="https://xrspace.atlassian.net/issues/?jql=created+%3E%3D+2025-01-01+AND+created+%3C%3D+2025-12-31+AND+type+%3D+Bug+AND+project+%3D+SOVA+AND+Sprint+%3D+2619+AND+status+%3D+%22IN+REVIEW+%2880%25%29%22" xr:uid="{EDE5AE26-E3B5-47DC-AADB-83B08A6FA70D}"/>
    <hyperlink ref="H11" r:id="rId68" display="https://xrspace.atlassian.net/issues/?jql=created+%3E%3D+2025-01-01+AND+created+%3C%3D+2025-12-31+AND+type+%3D+Bug+AND+project+%3D+SOVA+AND+Sprint+%3D+2619+AND+status+%3D+%22WON%27T+DO+%28100%25%29%22" xr:uid="{FEC8501C-BC1F-4CEF-BA41-93F3C6BAA30A}"/>
    <hyperlink ref="C11" r:id="rId69" display="https://xrspace.atlassian.net/issues/?jql=created+%3E%3D+2025-01-01+AND+created+%3C%3D+2025-12-31+AND+type+%3D+Bug+AND+project+%3D+SOVA+AND+Sprint+%3D+2619+AND+status+%3D+%22STARTING+%2810+%7E+40%25%29%22" xr:uid="{007DCEFF-8894-4E29-B629-BAFCD8A136E8}"/>
    <hyperlink ref="F11" r:id="rId70" display="https://xrspace.atlassian.net/issues/?jql=created+%3E%3D+2025-01-01+AND+created+%3C%3D+2025-12-31+AND+type+%3D+Bug+AND+project+%3D+SOVA+AND+Sprint+%3D+2619+AND+status+%3D+%22READY+FOR+TESTING+%2890%25%29%22" xr:uid="{4CD543B9-1816-4569-933A-D61705A3E968}"/>
    <hyperlink ref="B12" r:id="rId71" display="https://xrspace.atlassian.net/issues/?jql=created+%3E%3D+2025-01-01+AND+created+%3C%3D+2025-12-31+AND+type+%3D+Bug+AND+project+%3D+SOVA+AND+Sprint+%3D+2882+AND+status+%3D+%22To+Do+%280%25%29%22" xr:uid="{1357B129-4A09-48EA-AEF6-BAD52A8CDC77}"/>
    <hyperlink ref="D12" r:id="rId72" display="https://xrspace.atlassian.net/issues/?jql=created+%3E%3D+2025-01-01+AND+created+%3C%3D+2025-12-31+AND+type+%3D+Bug+AND+project+%3D+SOVA+AND+Sprint+%3D+2882+AND+status+%3D+%22In+Progress+%2850+%7E+70%25%29%22" xr:uid="{6DBF4859-1E59-4314-BD2F-82EBED34BD01}"/>
    <hyperlink ref="G12" r:id="rId73" display="https://xrspace.atlassian.net/issues/?jql=created+%3E%3D+2025-01-01+AND+created+%3C%3D+2025-12-31+AND+type+%3D+Bug+AND+project+%3D+SOVA+AND+Sprint+%3D+2882+AND+status+%3D+%22Done+%28100%25%29%22" xr:uid="{2F7ACF22-A40A-4FA9-AA0C-03A2C9A3FB3C}"/>
    <hyperlink ref="E12" r:id="rId74" display="https://xrspace.atlassian.net/issues/?jql=created+%3E%3D+2025-01-01+AND+created+%3C%3D+2025-12-31+AND+type+%3D+Bug+AND+project+%3D+SOVA+AND+Sprint+%3D+2882+AND+status+%3D+%22IN+REVIEW+%2880%25%29%22" xr:uid="{87168AF8-35EB-4DB2-B27C-0656D17410B5}"/>
    <hyperlink ref="H12" r:id="rId75" display="https://xrspace.atlassian.net/issues/?jql=created+%3E%3D+2025-01-01+AND+created+%3C%3D+2025-12-31+AND+type+%3D+Bug+AND+project+%3D+SOVA+AND+Sprint+%3D+2882+AND+status+%3D+%22WON%27T+DO+%28100%25%29%22" xr:uid="{9852E27C-67A2-4C22-9A06-84D2A9464F4C}"/>
    <hyperlink ref="C12" r:id="rId76" display="https://xrspace.atlassian.net/issues/?jql=created+%3E%3D+2025-01-01+AND+created+%3C%3D+2025-12-31+AND+type+%3D+Bug+AND+project+%3D+SOVA+AND+Sprint+%3D+2882+AND+status+%3D+%22STARTING+%2810+%7E+40%25%29%22" xr:uid="{BCDB4007-F62D-4F4D-8170-05F1309E7724}"/>
    <hyperlink ref="F12" r:id="rId77" display="https://xrspace.atlassian.net/issues/?jql=created+%3E%3D+2025-01-01+AND+created+%3C%3D+2025-12-31+AND+type+%3D+Bug+AND+project+%3D+SOVA+AND+Sprint+%3D+2882+AND+status+%3D+%22READY+FOR+TESTING+%2890%25%29%22" xr:uid="{30D76F95-4B63-4CD0-8924-392806FF1E5B}"/>
    <hyperlink ref="B13" r:id="rId78" display="https://xrspace.atlassian.net/issues/?jql=created+%3E%3D+2025-01-01+AND+created+%3C%3D+2025-12-31+AND+type+%3D+Bug+AND+project+%3D+SOVA+AND+Sprint+%3D+3213+AND+status+%3D+%22To+Do+%280%25%29%22" xr:uid="{AAD92E3C-1765-455A-AE6D-92FDDF091F87}"/>
    <hyperlink ref="D13" r:id="rId79" display="https://xrspace.atlassian.net/issues/?jql=created+%3E%3D+2025-01-01+AND+created+%3C%3D+2025-12-31+AND+type+%3D+Bug+AND+project+%3D+SOVA+AND+Sprint+%3D+3213+AND+status+%3D+%22In+Progress+%2850+%7E+70%25%29%22" xr:uid="{C055D397-4A35-4F03-B94F-3C807B671D3C}"/>
    <hyperlink ref="G13" r:id="rId80" display="https://xrspace.atlassian.net/issues/?jql=created+%3E%3D+2025-01-01+AND+created+%3C%3D+2025-12-31+AND+type+%3D+Bug+AND+project+%3D+SOVA+AND+Sprint+%3D+3213+AND+status+%3D+%22Done+%28100%25%29%22" xr:uid="{06AD50EF-D5E9-46B8-84E9-FFCBD038AAA8}"/>
    <hyperlink ref="E13" r:id="rId81" display="https://xrspace.atlassian.net/issues/?jql=created+%3E%3D+2025-01-01+AND+created+%3C%3D+2025-12-31+AND+type+%3D+Bug+AND+project+%3D+SOVA+AND+Sprint+%3D+3213+AND+status+%3D+%22IN+REVIEW+%2880%25%29%22" xr:uid="{032DCF87-346E-435F-B871-818FE73E710D}"/>
    <hyperlink ref="H13" r:id="rId82" display="https://xrspace.atlassian.net/issues/?jql=created+%3E%3D+2025-01-01+AND+created+%3C%3D+2025-12-31+AND+type+%3D+Bug+AND+project+%3D+SOVA+AND+Sprint+%3D+3213+AND+status+%3D+%22WON%27T+DO+%28100%25%29%22" xr:uid="{C639FC1F-E142-4CBE-838E-14484CF3F262}"/>
    <hyperlink ref="C13" r:id="rId83" display="https://xrspace.atlassian.net/issues/?jql=created+%3E%3D+2025-01-01+AND+created+%3C%3D+2025-12-31+AND+type+%3D+Bug+AND+project+%3D+SOVA+AND+Sprint+%3D+3213+AND+status+%3D+%22STARTING+%2810+%7E+40%25%29%22" xr:uid="{0980C406-4BDE-436C-B582-2CDB86981475}"/>
    <hyperlink ref="F13" r:id="rId84" display="https://xrspace.atlassian.net/issues/?jql=created+%3E%3D+2025-01-01+AND+created+%3C%3D+2025-12-31+AND+type+%3D+Bug+AND+project+%3D+SOVA+AND+Sprint+%3D+3213+AND+status+%3D+%22READY+FOR+TESTING+%2890%25%29%22" xr:uid="{637B264B-DA1F-403F-8874-C050A3AB4146}"/>
    <hyperlink ref="B14" r:id="rId85" display="https://xrspace.atlassian.net/issues/?jql=created+%3E%3D+2025-01-01+AND+created+%3C%3D+2025-12-31+AND+type+%3D+Bug+AND+project+%3D+SOVA+AND+Sprint+%3D+3245+AND+status+%3D+%22To+Do+%280%25%29%22" xr:uid="{B8BB37B6-FA65-45BB-BD48-67693D3EA10F}"/>
    <hyperlink ref="D14" r:id="rId86" display="https://xrspace.atlassian.net/issues/?jql=created+%3E%3D+2025-01-01+AND+created+%3C%3D+2025-12-31+AND+type+%3D+Bug+AND+project+%3D+SOVA+AND+Sprint+%3D+3245+AND+status+%3D+%22In+Progress+%2850+%7E+70%25%29%22" xr:uid="{23CFE3CB-C9C2-49CB-A2BC-C9CF2D9A2345}"/>
    <hyperlink ref="G14" r:id="rId87" display="https://xrspace.atlassian.net/issues/?jql=created+%3E%3D+2025-01-01+AND+created+%3C%3D+2025-12-31+AND+type+%3D+Bug+AND+project+%3D+SOVA+AND+Sprint+%3D+3245+AND+status+%3D+%22Done+%28100%25%29%22" xr:uid="{BFB4322E-3CA5-47E8-966D-10237354119C}"/>
    <hyperlink ref="E14" r:id="rId88" display="https://xrspace.atlassian.net/issues/?jql=created+%3E%3D+2025-01-01+AND+created+%3C%3D+2025-12-31+AND+type+%3D+Bug+AND+project+%3D+SOVA+AND+Sprint+%3D+3245+AND+status+%3D+%22IN+REVIEW+%2880%25%29%22" xr:uid="{5A19E363-2DCA-4ED1-BD87-8CAD960095FE}"/>
    <hyperlink ref="H14" r:id="rId89" display="https://xrspace.atlassian.net/issues/?jql=created+%3E%3D+2025-01-01+AND+created+%3C%3D+2025-12-31+AND+type+%3D+Bug+AND+project+%3D+SOVA+AND+Sprint+%3D+3245+AND+status+%3D+%22WON%27T+DO+%28100%25%29%22" xr:uid="{C6F2CF2C-29FC-4510-A471-10DA483E0F41}"/>
    <hyperlink ref="C14" r:id="rId90" display="https://xrspace.atlassian.net/issues/?jql=created+%3E%3D+2025-01-01+AND+created+%3C%3D+2025-12-31+AND+type+%3D+Bug+AND+project+%3D+SOVA+AND+Sprint+%3D+3245+AND+status+%3D+%22STARTING+%2810+%7E+40%25%29%22" xr:uid="{197D622B-4929-4985-B591-97DE91072C8C}"/>
    <hyperlink ref="F14" r:id="rId91" display="https://xrspace.atlassian.net/issues/?jql=created+%3E%3D+2025-01-01+AND+created+%3C%3D+2025-12-31+AND+type+%3D+Bug+AND+project+%3D+SOVA+AND+Sprint+%3D+3245+AND+status+%3D+%22READY+FOR+TESTING+%2890%25%29%22" xr:uid="{5827B605-701C-4700-B262-924678E3B492}"/>
    <hyperlink ref="B15" r:id="rId92" display="https://xrspace.atlassian.net/issues/?jql=created+%3E%3D+2025-01-01+AND+created+%3C%3D+2025-12-31+AND+type+%3D+Bug+AND+project+%3D+SOVA+AND+Sprint+%3D+3246+AND+status+%3D+%22To+Do+%280%25%29%22" xr:uid="{1FF1E74C-5ECE-4993-92B4-878A5638F200}"/>
    <hyperlink ref="D15" r:id="rId93" display="https://xrspace.atlassian.net/issues/?jql=created+%3E%3D+2025-01-01+AND+created+%3C%3D+2025-12-31+AND+type+%3D+Bug+AND+project+%3D+SOVA+AND+Sprint+%3D+3246+AND+status+%3D+%22In+Progress+%2850+%7E+70%25%29%22" xr:uid="{99517C30-69E8-40E7-8775-23F6F0C4F2BB}"/>
    <hyperlink ref="G15" r:id="rId94" display="https://xrspace.atlassian.net/issues/?jql=created+%3E%3D+2025-01-01+AND+created+%3C%3D+2025-12-31+AND+type+%3D+Bug+AND+project+%3D+SOVA+AND+Sprint+%3D+3246+AND+status+%3D+%22Done+%28100%25%29%22" xr:uid="{F286F467-1C05-4C14-A59D-8240D4AD0AAC}"/>
    <hyperlink ref="E15" r:id="rId95" display="https://xrspace.atlassian.net/issues/?jql=created+%3E%3D+2025-01-01+AND+created+%3C%3D+2025-12-31+AND+type+%3D+Bug+AND+project+%3D+SOVA+AND+Sprint+%3D+3246+AND+status+%3D+%22IN+REVIEW+%2880%25%29%22" xr:uid="{A2FFFA1E-F812-46B6-A6CD-EF5396F43BA5}"/>
    <hyperlink ref="H15" r:id="rId96" display="https://xrspace.atlassian.net/issues/?jql=created+%3E%3D+2025-01-01+AND+created+%3C%3D+2025-12-31+AND+type+%3D+Bug+AND+project+%3D+SOVA+AND+Sprint+%3D+3246+AND+status+%3D+%22WON%27T+DO+%28100%25%29%22" xr:uid="{EF6AE277-6F4D-44E1-8B32-F27BAD756E8B}"/>
    <hyperlink ref="C15" r:id="rId97" display="https://xrspace.atlassian.net/issues/?jql=created+%3E%3D+2025-01-01+AND+created+%3C%3D+2025-12-31+AND+type+%3D+Bug+AND+project+%3D+SOVA+AND+Sprint+%3D+3246+AND+status+%3D+%22STARTING+%2810+%7E+40%25%29%22" xr:uid="{903BC74F-3E79-4BE8-ACC9-8133FCC03B60}"/>
    <hyperlink ref="F15" r:id="rId98" display="https://xrspace.atlassian.net/issues/?jql=created+%3E%3D+2025-01-01+AND+created+%3C%3D+2025-12-31+AND+type+%3D+Bug+AND+project+%3D+SOVA+AND+Sprint+%3D+3246+AND+status+%3D+%22READY+FOR+TESTING+%2890%25%29%22" xr:uid="{219C3994-488C-4435-98CF-FA1E8F23FB70}"/>
    <hyperlink ref="B16" r:id="rId99" display="https://xrspace.atlassian.net/issues/?jql=created+%3E%3D+2025-01-01+AND+created+%3C%3D+2025-12-31+AND+type+%3D+Bug+AND+project+%3D+SOVA+AND+Sprint+%3D+3575+AND+status+%3D+%22To+Do+%280%25%29%22" xr:uid="{5F0301B1-EE93-45E0-ADBD-0F2C839D7FB0}"/>
    <hyperlink ref="D16" r:id="rId100" display="https://xrspace.atlassian.net/issues/?jql=created+%3E%3D+2025-01-01+AND+created+%3C%3D+2025-12-31+AND+type+%3D+Bug+AND+project+%3D+SOVA+AND+Sprint+%3D+3575+AND+status+%3D+%22In+Progress+%2850+%7E+70%25%29%22" xr:uid="{B494ADC0-5667-4E33-93D0-62E386F9DDC0}"/>
    <hyperlink ref="G16" r:id="rId101" display="https://xrspace.atlassian.net/issues/?jql=created+%3E%3D+2025-01-01+AND+created+%3C%3D+2025-12-31+AND+type+%3D+Bug+AND+project+%3D+SOVA+AND+Sprint+%3D+3575+AND+status+%3D+%22Done+%28100%25%29%22" xr:uid="{053E7D93-48C0-4B68-83BC-43DB4A05BE15}"/>
    <hyperlink ref="E16" r:id="rId102" display="https://xrspace.atlassian.net/issues/?jql=created+%3E%3D+2025-01-01+AND+created+%3C%3D+2025-12-31+AND+type+%3D+Bug+AND+project+%3D+SOVA+AND+Sprint+%3D+3575+AND+status+%3D+%22IN+REVIEW+%2880%25%29%22" xr:uid="{B3557346-7C94-4B31-BFBA-D3B72C996DCC}"/>
    <hyperlink ref="H16" r:id="rId103" display="https://xrspace.atlassian.net/issues/?jql=created+%3E%3D+2025-01-01+AND+created+%3C%3D+2025-12-31+AND+type+%3D+Bug+AND+project+%3D+SOVA+AND+Sprint+%3D+3575+AND+status+%3D+%22WON%27T+DO+%28100%25%29%22" xr:uid="{B8463A52-D800-4E2F-B4BD-78B39986022C}"/>
    <hyperlink ref="C16" r:id="rId104" display="https://xrspace.atlassian.net/issues/?jql=created+%3E%3D+2025-01-01+AND+created+%3C%3D+2025-12-31+AND+type+%3D+Bug+AND+project+%3D+SOVA+AND+Sprint+%3D+3575+AND+status+%3D+%22STARTING+%2810+%7E+40%25%29%22" xr:uid="{53C15931-E94F-44F6-AFDB-90DD1680589F}"/>
    <hyperlink ref="F16" r:id="rId105" display="https://xrspace.atlassian.net/issues/?jql=created+%3E%3D+2025-01-01+AND+created+%3C%3D+2025-12-31+AND+type+%3D+Bug+AND+project+%3D+SOVA+AND+Sprint+%3D+3575+AND+status+%3D+%22READY+FOR+TESTING+%2890%25%29%22" xr:uid="{EF60826A-8940-474B-BCCE-5AA03C550233}"/>
    <hyperlink ref="B17" r:id="rId106" display="https://xrspace.atlassian.net/issues/?jql=created+%3E%3D+2025-01-01+AND+created+%3C%3D+2025-12-31+AND+type+%3D+Bug+AND+project+%3D+SOVA+AND+Sprint+%3D+3608+AND+status+%3D+%22To+Do+%280%25%29%22" xr:uid="{3629B4A9-2937-4044-BD5F-1693FDF57AF4}"/>
    <hyperlink ref="D17" r:id="rId107" display="https://xrspace.atlassian.net/issues/?jql=created+%3E%3D+2025-01-01+AND+created+%3C%3D+2025-12-31+AND+type+%3D+Bug+AND+project+%3D+SOVA+AND+Sprint+%3D+3608+AND+status+%3D+%22In+Progress+%2850+%7E+70%25%29%22" xr:uid="{3BAC11C5-6DAD-4EF6-A349-EC642F0F3679}"/>
    <hyperlink ref="G17" r:id="rId108" display="https://xrspace.atlassian.net/issues/?jql=created+%3E%3D+2025-01-01+AND+created+%3C%3D+2025-12-31+AND+type+%3D+Bug+AND+project+%3D+SOVA+AND+Sprint+%3D+3608+AND+status+%3D+%22Done+%28100%25%29%22" xr:uid="{C53FA2C7-9E74-4943-8E14-B8C82BA57A7F}"/>
    <hyperlink ref="E17" r:id="rId109" display="https://xrspace.atlassian.net/issues/?jql=created+%3E%3D+2025-01-01+AND+created+%3C%3D+2025-12-31+AND+type+%3D+Bug+AND+project+%3D+SOVA+AND+Sprint+%3D+3608+AND+status+%3D+%22IN+REVIEW+%2880%25%29%22" xr:uid="{2FD2688E-4423-49CE-A436-D8ECCDFE7E8B}"/>
    <hyperlink ref="H17" r:id="rId110" display="https://xrspace.atlassian.net/issues/?jql=created+%3E%3D+2025-01-01+AND+created+%3C%3D+2025-12-31+AND+type+%3D+Bug+AND+project+%3D+SOVA+AND+Sprint+%3D+3608+AND+status+%3D+%22WON%27T+DO+%28100%25%29%22" xr:uid="{ADE5E259-D281-4428-AA49-2464E65C7B14}"/>
    <hyperlink ref="C17" r:id="rId111" display="https://xrspace.atlassian.net/issues/?jql=created+%3E%3D+2025-01-01+AND+created+%3C%3D+2025-12-31+AND+type+%3D+Bug+AND+project+%3D+SOVA+AND+Sprint+%3D+3608+AND+status+%3D+%22STARTING+%2810+%7E+40%25%29%22" xr:uid="{765CBB52-F5F3-480A-B9C1-B7D2A3F51BEE}"/>
    <hyperlink ref="F17" r:id="rId112" display="https://xrspace.atlassian.net/issues/?jql=created+%3E%3D+2025-01-01+AND+created+%3C%3D+2025-12-31+AND+type+%3D+Bug+AND+project+%3D+SOVA+AND+Sprint+%3D+3608+AND+status+%3D+%22READY+FOR+TESTING+%2890%25%29%22" xr:uid="{9FAC907E-7D6C-44AE-8007-C2F2BC9AD3EE}"/>
    <hyperlink ref="B18" r:id="rId113" display="https://xrspace.atlassian.net/issues/?jql=created+%3E%3D+2025-01-01+AND+created+%3C%3D+2025-12-31+AND+type+%3D+Bug+AND+project+%3D+SOVA+AND+Sprint+%3D+3872+AND+status+%3D+%22To+Do+%280%25%29%22" xr:uid="{58F21590-FEC9-4ABE-BB79-B8382DA3E517}"/>
    <hyperlink ref="D18" r:id="rId114" display="https://xrspace.atlassian.net/issues/?jql=created+%3E%3D+2025-01-01+AND+created+%3C%3D+2025-12-31+AND+type+%3D+Bug+AND+project+%3D+SOVA+AND+Sprint+%3D+3872+AND+status+%3D+%22In+Progress+%2850+%7E+70%25%29%22" xr:uid="{AB009F6E-8741-4290-93DF-7499376BB119}"/>
    <hyperlink ref="G18" r:id="rId115" display="https://xrspace.atlassian.net/issues/?jql=created+%3E%3D+2025-01-01+AND+created+%3C%3D+2025-12-31+AND+type+%3D+Bug+AND+project+%3D+SOVA+AND+Sprint+%3D+3872+AND+status+%3D+%22Done+%28100%25%29%22" xr:uid="{3241E1AC-D76B-41E0-9C56-833280C959B9}"/>
    <hyperlink ref="E18" r:id="rId116" display="https://xrspace.atlassian.net/issues/?jql=created+%3E%3D+2025-01-01+AND+created+%3C%3D+2025-12-31+AND+type+%3D+Bug+AND+project+%3D+SOVA+AND+Sprint+%3D+3872+AND+status+%3D+%22IN+REVIEW+%2880%25%29%22" xr:uid="{8740A7EC-AC41-439C-AC36-75B9773510C3}"/>
    <hyperlink ref="H18" r:id="rId117" display="https://xrspace.atlassian.net/issues/?jql=created+%3E%3D+2025-01-01+AND+created+%3C%3D+2025-12-31+AND+type+%3D+Bug+AND+project+%3D+SOVA+AND+Sprint+%3D+3872+AND+status+%3D+%22WON%27T+DO+%28100%25%29%22" xr:uid="{47823F14-9822-48C8-914B-68DAA75021A4}"/>
    <hyperlink ref="C18" r:id="rId118" display="https://xrspace.atlassian.net/issues/?jql=created+%3E%3D+2025-01-01+AND+created+%3C%3D+2025-12-31+AND+type+%3D+Bug+AND+project+%3D+SOVA+AND+Sprint+%3D+3872+AND+status+%3D+%22STARTING+%2810+%7E+40%25%29%22" xr:uid="{182009C0-948A-48FD-8FAF-C680376386B8}"/>
    <hyperlink ref="F18" r:id="rId119" display="https://xrspace.atlassian.net/issues/?jql=created+%3E%3D+2025-01-01+AND+created+%3C%3D+2025-12-31+AND+type+%3D+Bug+AND+project+%3D+SOVA+AND+Sprint+%3D+3872+AND+status+%3D+%22READY+FOR+TESTING+%2890%25%29%22" xr:uid="{17EAE482-3C77-41EA-BAF8-72D4D89D03F0}"/>
    <hyperlink ref="B19" r:id="rId120" display="https://xrspace.atlassian.net/issues/?jql=created+%3E%3D+2025-01-01+AND+created+%3C%3D+2025-12-31+AND+type+%3D+Bug+AND+project+%3D+SOVA+AND+Sprint+%3D+3873+AND+status+%3D+%22To+Do+%280%25%29%22" xr:uid="{052CB891-8C81-4100-8496-8893DAD2EACC}"/>
    <hyperlink ref="D19" r:id="rId121" display="https://xrspace.atlassian.net/issues/?jql=created+%3E%3D+2025-01-01+AND+created+%3C%3D+2025-12-31+AND+type+%3D+Bug+AND+project+%3D+SOVA+AND+Sprint+%3D+3873+AND+status+%3D+%22In+Progress+%2850+%7E+70%25%29%22" xr:uid="{0865DEAF-4FAD-433C-A330-8F07C51F6080}"/>
    <hyperlink ref="G19" r:id="rId122" display="https://xrspace.atlassian.net/issues/?jql=created+%3E%3D+2025-01-01+AND+created+%3C%3D+2025-12-31+AND+type+%3D+Bug+AND+project+%3D+SOVA+AND+Sprint+%3D+3873+AND+status+%3D+%22Done+%28100%25%29%22" xr:uid="{079C54AF-A907-4B46-AF44-87E9823F2588}"/>
    <hyperlink ref="E19" r:id="rId123" display="https://xrspace.atlassian.net/issues/?jql=created+%3E%3D+2025-01-01+AND+created+%3C%3D+2025-12-31+AND+type+%3D+Bug+AND+project+%3D+SOVA+AND+Sprint+%3D+3873+AND+status+%3D+%22IN+REVIEW+%2880%25%29%22" xr:uid="{BB1E7440-70BA-461F-AA51-3D7C8867A744}"/>
    <hyperlink ref="H19" r:id="rId124" display="https://xrspace.atlassian.net/issues/?jql=created+%3E%3D+2025-01-01+AND+created+%3C%3D+2025-12-31+AND+type+%3D+Bug+AND+project+%3D+SOVA+AND+Sprint+%3D+3873+AND+status+%3D+%22WON%27T+DO+%28100%25%29%22" xr:uid="{36156A12-4710-44F4-8A7F-7C64FA83DD60}"/>
    <hyperlink ref="C19" r:id="rId125" display="https://xrspace.atlassian.net/issues/?jql=created+%3E%3D+2025-01-01+AND+created+%3C%3D+2025-12-31+AND+type+%3D+Bug+AND+project+%3D+SOVA+AND+Sprint+%3D+3873+AND+status+%3D+%22STARTING+%2810+%7E+40%25%29%22" xr:uid="{8ED411ED-46E2-46F3-9C50-CE71D0C39A83}"/>
    <hyperlink ref="F19" r:id="rId126" display="https://xrspace.atlassian.net/issues/?jql=created+%3E%3D+2025-01-01+AND+created+%3C%3D+2025-12-31+AND+type+%3D+Bug+AND+project+%3D+SOVA+AND+Sprint+%3D+3873+AND+status+%3D+%22READY+FOR+TESTING+%2890%25%29%22" xr:uid="{64BD4CA5-EBD6-46D6-A54B-992EE1D7B908}"/>
    <hyperlink ref="B20" r:id="rId127" display="https://xrspace.atlassian.net/issues/?jql=created+%3E%3D+2025-01-01+AND+created+%3C%3D+2025-12-31+AND+type+%3D+Bug+AND+project+%3D+SOVA+AND+Sprint+%3D+4140+AND+status+%3D+%22To+Do+%280%25%29%22" xr:uid="{E72CB787-D216-43D1-8860-A83C417208F2}"/>
    <hyperlink ref="D20" r:id="rId128" display="https://xrspace.atlassian.net/issues/?jql=created+%3E%3D+2025-01-01+AND+created+%3C%3D+2025-12-31+AND+type+%3D+Bug+AND+project+%3D+SOVA+AND+Sprint+%3D+4140+AND+status+%3D+%22In+Progress+%2850+%7E+70%25%29%22" xr:uid="{86436A0A-03C5-4B79-A0ED-BEE1A8ACD0CD}"/>
    <hyperlink ref="G20" r:id="rId129" display="https://xrspace.atlassian.net/issues/?jql=created+%3E%3D+2025-01-01+AND+created+%3C%3D+2025-12-31+AND+type+%3D+Bug+AND+project+%3D+SOVA+AND+Sprint+%3D+4140+AND+status+%3D+%22Done+%28100%25%29%22" xr:uid="{05659BC3-9648-4868-97EC-A9CE9CD90E73}"/>
    <hyperlink ref="E20" r:id="rId130" display="https://xrspace.atlassian.net/issues/?jql=created+%3E%3D+2025-01-01+AND+created+%3C%3D+2025-12-31+AND+type+%3D+Bug+AND+project+%3D+SOVA+AND+Sprint+%3D+4140+AND+status+%3D+%22IN+REVIEW+%2880%25%29%22" xr:uid="{32FB3300-8558-4588-BD76-AC0290FE6B4C}"/>
    <hyperlink ref="H20" r:id="rId131" display="https://xrspace.atlassian.net/issues/?jql=created+%3E%3D+2025-01-01+AND+created+%3C%3D+2025-12-31+AND+type+%3D+Bug+AND+project+%3D+SOVA+AND+Sprint+%3D+4140+AND+status+%3D+%22WON%27T+DO+%28100%25%29%22" xr:uid="{6E7FEEB5-F20D-4078-9823-8F808F2BE6E3}"/>
    <hyperlink ref="C20" r:id="rId132" display="https://xrspace.atlassian.net/issues/?jql=created+%3E%3D+2025-01-01+AND+created+%3C%3D+2025-12-31+AND+type+%3D+Bug+AND+project+%3D+SOVA+AND+Sprint+%3D+4140+AND+status+%3D+%22STARTING+%2810+%7E+40%25%29%22" xr:uid="{3EA7E95F-4DB1-42E1-A796-406295FD3A8D}"/>
    <hyperlink ref="F20" r:id="rId133" display="https://xrspace.atlassian.net/issues/?jql=created+%3E%3D+2025-01-01+AND+created+%3C%3D+2025-12-31+AND+type+%3D+Bug+AND+project+%3D+SOVA+AND+Sprint+%3D+4140+AND+status+%3D+%22READY+FOR+TESTING+%2890%25%29%22" xr:uid="{979AB57C-9211-4CBB-A9A9-60476629A930}"/>
  </hyperlinks>
  <pageMargins left="0.7" right="0.7" top="0.75" bottom="0.75" header="0.3" footer="0.3"/>
  <pageSetup orientation="portrait" r:id="rId134"/>
  <drawing r:id="rId135"/>
  <tableParts count="1">
    <tablePart r:id="rId13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13"/>
  <sheetViews>
    <sheetView tabSelected="1" workbookViewId="0">
      <selection activeCell="M30" sqref="M30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59</v>
      </c>
      <c r="B1" s="2" t="s">
        <v>5</v>
      </c>
      <c r="C1" s="2" t="s">
        <v>6</v>
      </c>
      <c r="D1" s="2" t="s">
        <v>0</v>
      </c>
      <c r="E1" s="2" t="s">
        <v>7</v>
      </c>
    </row>
    <row r="2" spans="1:5" ht="20.100000000000001" customHeight="1">
      <c r="A2" s="2" t="s">
        <v>68</v>
      </c>
      <c r="B2" s="14">
        <v>0</v>
      </c>
      <c r="C2" s="14">
        <v>0</v>
      </c>
      <c r="D2" s="14">
        <v>91</v>
      </c>
      <c r="E2" s="14">
        <f>SUM(Table25[[#This Row],[Done]:[TODO (P1)]])</f>
        <v>91</v>
      </c>
    </row>
    <row r="3" spans="1:5" ht="20.100000000000001" customHeight="1">
      <c r="A3" s="3" t="s">
        <v>69</v>
      </c>
      <c r="B3" s="15">
        <v>0</v>
      </c>
      <c r="C3" s="15">
        <v>1</v>
      </c>
      <c r="D3" s="15">
        <v>90</v>
      </c>
      <c r="E3" s="15">
        <f>SUM(Table25[[#This Row],[Done]:[TODO (P1)]])</f>
        <v>91</v>
      </c>
    </row>
    <row r="4" spans="1:5" ht="20.100000000000001" customHeight="1">
      <c r="A4" s="2" t="s">
        <v>72</v>
      </c>
      <c r="B4" s="15">
        <v>0</v>
      </c>
      <c r="C4" s="15">
        <v>1</v>
      </c>
      <c r="D4" s="15">
        <v>90</v>
      </c>
      <c r="E4" s="15">
        <f>SUM(Table25[[#This Row],[Done]:[TODO (P1)]])</f>
        <v>91</v>
      </c>
    </row>
    <row r="5" spans="1:5" ht="20.100000000000001" customHeight="1">
      <c r="A5" s="3" t="s">
        <v>74</v>
      </c>
      <c r="B5" s="15">
        <v>0</v>
      </c>
      <c r="C5" s="15">
        <v>1</v>
      </c>
      <c r="D5" s="15">
        <v>90</v>
      </c>
      <c r="E5" s="15">
        <f>SUM(Table25[[#This Row],[Done]:[TODO (P1)]])</f>
        <v>91</v>
      </c>
    </row>
    <row r="6" spans="1:5" ht="20.100000000000001" customHeight="1">
      <c r="A6" s="3" t="s">
        <v>77</v>
      </c>
      <c r="B6" s="15">
        <v>5</v>
      </c>
      <c r="C6" s="15">
        <v>0</v>
      </c>
      <c r="D6" s="15">
        <v>77</v>
      </c>
      <c r="E6" s="15">
        <f>SUM(Table25[[#This Row],[Done]:[TODO (P1)]])</f>
        <v>82</v>
      </c>
    </row>
    <row r="7" spans="1:5" ht="20.100000000000001" customHeight="1">
      <c r="A7" s="3" t="s">
        <v>79</v>
      </c>
      <c r="B7" s="15">
        <v>5</v>
      </c>
      <c r="C7" s="15">
        <v>0</v>
      </c>
      <c r="D7" s="15">
        <v>77</v>
      </c>
      <c r="E7" s="15">
        <f>SUM(Table25[[#This Row],[Done]:[TODO (P1)]])</f>
        <v>82</v>
      </c>
    </row>
    <row r="8" spans="1:5" ht="20.100000000000001" customHeight="1">
      <c r="A8" s="3" t="s">
        <v>81</v>
      </c>
      <c r="B8" s="15">
        <v>5</v>
      </c>
      <c r="C8" s="15">
        <v>1</v>
      </c>
      <c r="D8" s="15">
        <v>76</v>
      </c>
      <c r="E8" s="15">
        <f>SUM(Table25[[#This Row],[Done]:[TODO (P1)]])</f>
        <v>82</v>
      </c>
    </row>
    <row r="9" spans="1:5" ht="20.100000000000001" customHeight="1">
      <c r="A9" s="3" t="s">
        <v>83</v>
      </c>
      <c r="B9" s="15">
        <v>6</v>
      </c>
      <c r="C9" s="15">
        <v>1</v>
      </c>
      <c r="D9" s="15">
        <v>76</v>
      </c>
      <c r="E9" s="15">
        <f>SUM(Table25[[#This Row],[Done]:[TODO (P1)]])</f>
        <v>83</v>
      </c>
    </row>
    <row r="10" spans="1:5" ht="20.100000000000001" customHeight="1">
      <c r="A10" s="3" t="s">
        <v>84</v>
      </c>
      <c r="B10" s="15">
        <v>6</v>
      </c>
      <c r="C10" s="15">
        <v>1</v>
      </c>
      <c r="D10" s="15">
        <v>76</v>
      </c>
      <c r="E10" s="15">
        <f>SUM(Table25[[#This Row],[Done]:[TODO (P1)]])</f>
        <v>83</v>
      </c>
    </row>
    <row r="11" spans="1:5" ht="20.100000000000001" customHeight="1">
      <c r="A11" s="3" t="s">
        <v>85</v>
      </c>
      <c r="B11" s="15">
        <v>12</v>
      </c>
      <c r="C11" s="15">
        <v>0</v>
      </c>
      <c r="D11" s="15">
        <v>77</v>
      </c>
      <c r="E11" s="15">
        <v>89</v>
      </c>
    </row>
    <row r="12" spans="1:5" ht="20.100000000000001" customHeight="1">
      <c r="A12" s="3" t="s">
        <v>88</v>
      </c>
      <c r="B12" s="15">
        <v>22</v>
      </c>
      <c r="C12" s="15">
        <v>0</v>
      </c>
      <c r="D12" s="15">
        <v>74</v>
      </c>
      <c r="E12" s="15">
        <f>SUM(Table25[[#This Row],[Done]:[TODO (P1)]])</f>
        <v>96</v>
      </c>
    </row>
    <row r="13" spans="1:5" ht="20.100000000000001" customHeight="1">
      <c r="A13" s="3" t="s">
        <v>89</v>
      </c>
      <c r="B13" s="15">
        <v>27</v>
      </c>
      <c r="C13" s="15">
        <v>0</v>
      </c>
      <c r="D13" s="15">
        <v>69</v>
      </c>
      <c r="E13" s="15">
        <f>SUM(Table25[[#This Row],[Done]:[TODO (P1)]])</f>
        <v>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2025-12-26T08:54:03Z</dcterms:modified>
</cp:coreProperties>
</file>