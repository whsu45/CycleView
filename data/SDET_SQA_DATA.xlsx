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A8EC9C4C-4C05-4F67-9F07-8F63425F85E2}" xr6:coauthVersionLast="47" xr6:coauthVersionMax="47" xr10:uidLastSave="{00000000-0000-0000-0000-000000000000}"/>
  <bookViews>
    <workbookView xWindow="-120" yWindow="-120" windowWidth="29040" windowHeight="15720" activeTab="1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8" i="2" l="1"/>
  <c r="H27" i="2"/>
  <c r="E23" i="1"/>
  <c r="E24" i="1"/>
  <c r="E16" i="6"/>
  <c r="E15" i="6"/>
  <c r="I20" i="5"/>
  <c r="I22" i="5"/>
  <c r="E22" i="1"/>
  <c r="H15" i="4"/>
  <c r="H29" i="2"/>
  <c r="E14" i="6"/>
  <c r="H16" i="4"/>
  <c r="E13" i="6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1" i="5"/>
  <c r="I23" i="5"/>
  <c r="H25" i="2"/>
  <c r="E21" i="1"/>
  <c r="E12" i="6"/>
  <c r="E20" i="1"/>
  <c r="H11" i="4"/>
  <c r="H12" i="4"/>
  <c r="H13" i="4"/>
  <c r="H14" i="4"/>
  <c r="E19" i="1"/>
  <c r="H24" i="2"/>
  <c r="H23" i="2"/>
  <c r="E18" i="1"/>
  <c r="E10" i="6"/>
  <c r="E17" i="1"/>
  <c r="H26" i="2"/>
  <c r="E9" i="6"/>
  <c r="H22" i="2"/>
  <c r="H21" i="2"/>
  <c r="E8" i="6"/>
  <c r="H19" i="2"/>
  <c r="E6" i="6"/>
  <c r="E15" i="1"/>
  <c r="E5" i="6"/>
  <c r="E16" i="1"/>
  <c r="H18" i="2"/>
  <c r="E7" i="6"/>
  <c r="E14" i="1"/>
  <c r="H20" i="2"/>
  <c r="E13" i="1"/>
  <c r="E12" i="1"/>
  <c r="E3" i="6"/>
  <c r="E2" i="6"/>
  <c r="E4" i="6"/>
  <c r="H16" i="2"/>
  <c r="E2" i="1"/>
  <c r="E3" i="1"/>
  <c r="E4" i="1"/>
  <c r="E5" i="1"/>
  <c r="E6" i="1"/>
  <c r="E7" i="1"/>
  <c r="E8" i="1"/>
  <c r="E9" i="1"/>
  <c r="E10" i="1"/>
  <c r="E11" i="1"/>
  <c r="H10" i="4"/>
  <c r="H14" i="2"/>
  <c r="H6" i="2"/>
  <c r="H2" i="2"/>
  <c r="H4" i="2"/>
  <c r="H8" i="2"/>
  <c r="H10" i="2"/>
  <c r="H12" i="2"/>
  <c r="H9" i="4"/>
  <c r="H3" i="4"/>
  <c r="H4" i="4"/>
  <c r="H5" i="4"/>
  <c r="H6" i="4"/>
  <c r="H7" i="4"/>
  <c r="H8" i="4"/>
  <c r="H2" i="4"/>
</calcChain>
</file>

<file path=xl/sharedStrings.xml><?xml version="1.0" encoding="utf-8"?>
<sst xmlns="http://schemas.openxmlformats.org/spreadsheetml/2006/main" count="169" uniqueCount="99">
  <si>
    <t>TODO (P1)</t>
  </si>
  <si>
    <t>Done</t>
  </si>
  <si>
    <t>In Review/Progress</t>
  </si>
  <si>
    <t>Total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</si>
  <si>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</si>
  <si>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</si>
  <si>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</si>
  <si>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</si>
  <si>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</si>
  <si>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</si>
  <si>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</si>
  <si>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</si>
  <si>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</si>
  <si>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</si>
  <si>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</si>
  <si>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</si>
  <si>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Blocked</t>
  </si>
  <si>
    <t>In Review</t>
  </si>
  <si>
    <t>To Do</t>
  </si>
  <si>
    <t>v1.15</t>
  </si>
  <si>
    <t>v1.16</t>
  </si>
  <si>
    <t>v1.17</t>
  </si>
  <si>
    <t>v1.18</t>
  </si>
  <si>
    <t>v1.19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</si>
  <si>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</si>
  <si>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</si>
  <si>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</si>
  <si>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</si>
  <si>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</si>
  <si>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</si>
  <si>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</si>
  <si>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</si>
  <si>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</si>
  <si>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y25w28</t>
  </si>
  <si>
    <t>y25w30</t>
  </si>
  <si>
    <t>y25w32</t>
  </si>
  <si>
    <t>y25w34</t>
  </si>
  <si>
    <t>y25w36</t>
  </si>
  <si>
    <t>Versions</t>
  </si>
  <si>
    <t>y25w38</t>
  </si>
  <si>
    <t>y25w40</t>
  </si>
  <si>
    <t>y25w16</t>
  </si>
  <si>
    <t>y25w18</t>
  </si>
  <si>
    <t>y25w20</t>
  </si>
  <si>
    <t>y25w22</t>
  </si>
  <si>
    <t>y25w24</t>
  </si>
  <si>
    <t>y25w26</t>
  </si>
  <si>
    <t>In Progress</t>
  </si>
  <si>
    <t>Week</t>
  </si>
  <si>
    <t>v1.29</t>
  </si>
  <si>
    <t>In QA</t>
  </si>
  <si>
    <t>Internal Test</t>
  </si>
  <si>
    <t>In Progress (50 ~ 70%)</t>
  </si>
  <si>
    <t>y25w42</t>
  </si>
  <si>
    <t>v1.30</t>
  </si>
  <si>
    <t>v1.31</t>
  </si>
  <si>
    <t>y25w44</t>
  </si>
  <si>
    <t>y25w46</t>
  </si>
  <si>
    <t>v1.32</t>
  </si>
  <si>
    <t>v1.33</t>
  </si>
  <si>
    <t>y25w48</t>
  </si>
  <si>
    <t>v1.34</t>
  </si>
  <si>
    <t>y25w50</t>
  </si>
  <si>
    <t>y25w52</t>
  </si>
  <si>
    <t>v1.35</t>
  </si>
  <si>
    <t>v1.36</t>
  </si>
  <si>
    <t>READY FOR TESTING (90%)</t>
  </si>
  <si>
    <t>y26w2</t>
  </si>
  <si>
    <t>26W01</t>
  </si>
  <si>
    <t>25W41</t>
  </si>
  <si>
    <t>25W42</t>
  </si>
  <si>
    <t>25W43</t>
  </si>
  <si>
    <t>25W44</t>
  </si>
  <si>
    <t>25W45</t>
  </si>
  <si>
    <t>25W46</t>
  </si>
  <si>
    <t>25W47</t>
  </si>
  <si>
    <t>25W48</t>
  </si>
  <si>
    <t>25W49</t>
  </si>
  <si>
    <t>25W50</t>
  </si>
  <si>
    <t>25W51</t>
  </si>
  <si>
    <t>25W52</t>
  </si>
  <si>
    <t>26W02</t>
  </si>
  <si>
    <t>25W32</t>
  </si>
  <si>
    <t>25W33</t>
  </si>
  <si>
    <t>25W34</t>
  </si>
  <si>
    <t>25W35</t>
  </si>
  <si>
    <t>25W36</t>
  </si>
  <si>
    <t>25W37</t>
  </si>
  <si>
    <t>25W38</t>
  </si>
  <si>
    <t>25W39</t>
  </si>
  <si>
    <t>25W40</t>
  </si>
  <si>
    <t>25W28</t>
  </si>
  <si>
    <t>25W29</t>
  </si>
  <si>
    <t>25W30</t>
  </si>
  <si>
    <t>25W31</t>
  </si>
  <si>
    <t>v1.37</t>
  </si>
  <si>
    <t>y26w4</t>
  </si>
  <si>
    <t>y26w6</t>
  </si>
  <si>
    <t>26W03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</si>
</sst>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2" fillId="2" borderId="4" xfId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5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1" formatCode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TestAutomationProgress!$A$2:$A$24</c:f>
              <c:strCache>
                <c:ptCount val="23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</c:strCache>
            </c:strRef>
          </c:cat>
          <c:val>
            <c:numRef>
              <c:f>TestAutomationProgress!$B$2:$B$24</c:f>
              <c:numCache>
                <c:formatCode>General</c:formatCode>
                <c:ptCount val="23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15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28</c:v>
                </c:pt>
                <c:pt idx="17">
                  <c:v>30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TestAutomationProgress!$A$2:$A$24</c:f>
              <c:strCache>
                <c:ptCount val="23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</c:strCache>
            </c:strRef>
          </c:cat>
          <c:val>
            <c:numRef>
              <c:f>TestAutomationProgress!$C$2:$C$24</c:f>
              <c:numCache>
                <c:formatCode>General</c:formatCode>
                <c:ptCount val="23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  <c:pt idx="16">
                  <c:v>8</c:v>
                </c:pt>
                <c:pt idx="17">
                  <c:v>6</c:v>
                </c:pt>
                <c:pt idx="18">
                  <c:v>5</c:v>
                </c:pt>
                <c:pt idx="19">
                  <c:v>5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TestAutomationProgress!$A$2:$A$24</c:f>
              <c:strCache>
                <c:ptCount val="23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</c:strCache>
            </c:strRef>
          </c:cat>
          <c:val>
            <c:numRef>
              <c:f>TestAutomationProgress!$D$2:$D$24</c:f>
              <c:numCache>
                <c:formatCode>General</c:formatCode>
                <c:ptCount val="23"/>
                <c:pt idx="0">
                  <c:v>115</c:v>
                </c:pt>
                <c:pt idx="1">
                  <c:v>114</c:v>
                </c:pt>
                <c:pt idx="2">
                  <c:v>109</c:v>
                </c:pt>
                <c:pt idx="3">
                  <c:v>108</c:v>
                </c:pt>
                <c:pt idx="4">
                  <c:v>104</c:v>
                </c:pt>
                <c:pt idx="5">
                  <c:v>228</c:v>
                </c:pt>
                <c:pt idx="6">
                  <c:v>224</c:v>
                </c:pt>
                <c:pt idx="7">
                  <c:v>220</c:v>
                </c:pt>
                <c:pt idx="8">
                  <c:v>219</c:v>
                </c:pt>
                <c:pt idx="9">
                  <c:v>173</c:v>
                </c:pt>
                <c:pt idx="10">
                  <c:v>172</c:v>
                </c:pt>
                <c:pt idx="11">
                  <c:v>168</c:v>
                </c:pt>
                <c:pt idx="12">
                  <c:v>166</c:v>
                </c:pt>
                <c:pt idx="13">
                  <c:v>160</c:v>
                </c:pt>
                <c:pt idx="14">
                  <c:v>160</c:v>
                </c:pt>
                <c:pt idx="15">
                  <c:v>161</c:v>
                </c:pt>
                <c:pt idx="16">
                  <c:v>160</c:v>
                </c:pt>
                <c:pt idx="17">
                  <c:v>160</c:v>
                </c:pt>
                <c:pt idx="18">
                  <c:v>160</c:v>
                </c:pt>
                <c:pt idx="19">
                  <c:v>160</c:v>
                </c:pt>
                <c:pt idx="20">
                  <c:v>162</c:v>
                </c:pt>
                <c:pt idx="21">
                  <c:v>162</c:v>
                </c:pt>
                <c:pt idx="22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'Humi-TestResult'!$A$2:$A$16</c:f>
              <c:strCache>
                <c:ptCount val="15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</c:strCache>
            </c:strRef>
          </c:cat>
          <c:val>
            <c:numRef>
              <c:f>'Humi-TestResult'!$B$2:$B$16</c:f>
              <c:numCache>
                <c:formatCode>General</c:formatCode>
                <c:ptCount val="15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1892</c:v>
                </c:pt>
                <c:pt idx="14">
                  <c:v>1642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'Humi-TestResult'!$A$2:$A$16</c:f>
              <c:strCache>
                <c:ptCount val="15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</c:strCache>
            </c:strRef>
          </c:cat>
          <c:val>
            <c:numRef>
              <c:f>'Humi-TestResult'!$C$2:$C$16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'Humi-TestResult'!$A$2:$A$16</c:f>
              <c:strCache>
                <c:ptCount val="15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</c:strCache>
            </c:strRef>
          </c:cat>
          <c:val>
            <c:numRef>
              <c:f>'Humi-TestResult'!$D$2:$D$16</c:f>
              <c:numCache>
                <c:formatCode>General</c:formatCode>
                <c:ptCount val="15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9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'Humi-TestResult'!$A$2:$A$16</c:f>
              <c:strCache>
                <c:ptCount val="15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</c:strCache>
            </c:strRef>
          </c:cat>
          <c:val>
            <c:numRef>
              <c:f>'Humi-TestResult'!$E$2:$E$16</c:f>
              <c:numCache>
                <c:formatCode>General</c:formatCode>
                <c:ptCount val="15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'Humi-TestResult'!$A$2:$A$16</c:f>
              <c:strCache>
                <c:ptCount val="15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</c:strCache>
            </c:strRef>
          </c:cat>
          <c:val>
            <c:numRef>
              <c:f>'Humi-TestResult'!$F$2:$F$16</c:f>
              <c:numCache>
                <c:formatCode>General</c:formatCode>
                <c:ptCount val="1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3</c:v>
                </c:pt>
                <c:pt idx="1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'Humi-TestResult'!$A$2:$A$16</c:f>
              <c:strCache>
                <c:ptCount val="15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</c:strCache>
            </c:strRef>
          </c:cat>
          <c:val>
            <c:numRef>
              <c:f>'Humi-TestResult'!$G$2:$G$16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'Humi-TestResult'!$A$2:$A$16</c:f>
              <c:strCache>
                <c:ptCount val="15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</c:strCache>
            </c:strRef>
          </c:cat>
          <c:val>
            <c:numRef>
              <c:f>'Humi-TestResult'!$H$2:$H$16</c:f>
              <c:numCache>
                <c:formatCode>General</c:formatCode>
                <c:ptCount val="15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1904</c:v>
                </c:pt>
                <c:pt idx="14">
                  <c:v>1676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'SOVA-TestResult'!$A$2:$A$29</c:f>
              <c:strCache>
                <c:ptCount val="28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</c:strCache>
            </c:strRef>
          </c:cat>
          <c:val>
            <c:numRef>
              <c:f>'SOVA-TestResult'!$B$2:$B$29</c:f>
              <c:numCache>
                <c:formatCode>General</c:formatCode>
                <c:ptCount val="28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351</c:v>
                </c:pt>
                <c:pt idx="24">
                  <c:v>142</c:v>
                </c:pt>
                <c:pt idx="25">
                  <c:v>442</c:v>
                </c:pt>
                <c:pt idx="26">
                  <c:v>518</c:v>
                </c:pt>
                <c:pt idx="27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'SOVA-TestResult'!$A$2:$A$29</c:f>
              <c:strCache>
                <c:ptCount val="28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</c:strCache>
            </c:strRef>
          </c:cat>
          <c:val>
            <c:numRef>
              <c:f>'SOVA-TestResult'!$C$2:$C$29</c:f>
              <c:numCache>
                <c:formatCode>General</c:formatCode>
                <c:ptCount val="28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8</c:v>
                </c:pt>
                <c:pt idx="26">
                  <c:v>4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'SOVA-TestResult'!$A$2:$A$29</c:f>
              <c:strCache>
                <c:ptCount val="28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</c:strCache>
            </c:strRef>
          </c:cat>
          <c:val>
            <c:numRef>
              <c:f>'SOVA-TestResult'!$D$2:$D$29</c:f>
              <c:numCache>
                <c:formatCode>General</c:formatCode>
                <c:ptCount val="28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  <c:pt idx="24">
                  <c:v>0</c:v>
                </c:pt>
                <c:pt idx="25">
                  <c:v>10</c:v>
                </c:pt>
                <c:pt idx="26">
                  <c:v>9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'SOVA-TestResult'!$A$2:$A$29</c:f>
              <c:strCache>
                <c:ptCount val="28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</c:strCache>
            </c:strRef>
          </c:cat>
          <c:val>
            <c:numRef>
              <c:f>'SOVA-TestResult'!$E$2:$E$29</c:f>
              <c:numCache>
                <c:formatCode>General</c:formatCode>
                <c:ptCount val="28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8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'SOVA-TestResult'!$A$2:$A$29</c:f>
              <c:strCache>
                <c:ptCount val="28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</c:strCache>
            </c:strRef>
          </c:cat>
          <c:val>
            <c:numRef>
              <c:f>'SOVA-TestResult'!$F$2:$F$29</c:f>
              <c:numCache>
                <c:formatCode>General</c:formatCode>
                <c:ptCount val="28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6</c:v>
                </c:pt>
                <c:pt idx="25">
                  <c:v>16</c:v>
                </c:pt>
                <c:pt idx="26">
                  <c:v>3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'SOVA-TestResult'!$A$2:$A$29</c:f>
              <c:strCache>
                <c:ptCount val="28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</c:strCache>
            </c:strRef>
          </c:cat>
          <c:val>
            <c:numRef>
              <c:f>'SOVA-TestResult'!$G$2:$G$29</c:f>
              <c:numCache>
                <c:formatCode>General</c:formatCode>
                <c:ptCount val="28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'SOVA-TestResult'!$A$2:$A$29</c:f>
              <c:strCache>
                <c:ptCount val="28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</c:strCache>
            </c:strRef>
          </c:cat>
          <c:val>
            <c:numRef>
              <c:f>'SOVA-TestResult'!$H$2:$H$29</c:f>
              <c:numCache>
                <c:formatCode>General</c:formatCode>
                <c:ptCount val="28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378</c:v>
                </c:pt>
                <c:pt idx="24">
                  <c:v>148</c:v>
                </c:pt>
                <c:pt idx="25">
                  <c:v>477</c:v>
                </c:pt>
                <c:pt idx="26">
                  <c:v>542</c:v>
                </c:pt>
                <c:pt idx="27">
                  <c:v>487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'Humi-BugTrend'!$B$2:$B$24</c:f>
              <c:numCache>
                <c:formatCode>General</c:formatCode>
                <c:ptCount val="23"/>
                <c:pt idx="0">
                  <c:v>8</c:v>
                </c:pt>
                <c:pt idx="1">
                  <c:v>7</c:v>
                </c:pt>
                <c:pt idx="2">
                  <c:v>25</c:v>
                </c:pt>
                <c:pt idx="3">
                  <c:v>30</c:v>
                </c:pt>
                <c:pt idx="4">
                  <c:v>13</c:v>
                </c:pt>
                <c:pt idx="5">
                  <c:v>15</c:v>
                </c:pt>
                <c:pt idx="6">
                  <c:v>7</c:v>
                </c:pt>
                <c:pt idx="7">
                  <c:v>17</c:v>
                </c:pt>
                <c:pt idx="8">
                  <c:v>17</c:v>
                </c:pt>
                <c:pt idx="9">
                  <c:v>26</c:v>
                </c:pt>
                <c:pt idx="10">
                  <c:v>14</c:v>
                </c:pt>
                <c:pt idx="11">
                  <c:v>10</c:v>
                </c:pt>
                <c:pt idx="12">
                  <c:v>6</c:v>
                </c:pt>
                <c:pt idx="13">
                  <c:v>11</c:v>
                </c:pt>
                <c:pt idx="14">
                  <c:v>2</c:v>
                </c:pt>
                <c:pt idx="15">
                  <c:v>13</c:v>
                </c:pt>
                <c:pt idx="16">
                  <c:v>1</c:v>
                </c:pt>
                <c:pt idx="17">
                  <c:v>5</c:v>
                </c:pt>
                <c:pt idx="18">
                  <c:v>17</c:v>
                </c:pt>
                <c:pt idx="19">
                  <c:v>6</c:v>
                </c:pt>
                <c:pt idx="20">
                  <c:v>10</c:v>
                </c:pt>
                <c:pt idx="21">
                  <c:v>8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'Humi-BugTrend'!$C$2:$C$24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'Humi-BugTrend'!$D$2:$D$24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'Humi-BugTrend'!$E$2:$E$24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'Humi-BugTrend'!$F$2:$F$24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'Humi-BugTrend'!$G$2:$G$24</c:f>
              <c:numCache>
                <c:formatCode>General</c:formatCode>
                <c:ptCount val="23"/>
                <c:pt idx="0">
                  <c:v>93</c:v>
                </c:pt>
                <c:pt idx="1">
                  <c:v>59</c:v>
                </c:pt>
                <c:pt idx="2">
                  <c:v>168</c:v>
                </c:pt>
                <c:pt idx="3">
                  <c:v>157</c:v>
                </c:pt>
                <c:pt idx="4">
                  <c:v>77</c:v>
                </c:pt>
                <c:pt idx="5">
                  <c:v>61</c:v>
                </c:pt>
                <c:pt idx="6">
                  <c:v>46</c:v>
                </c:pt>
                <c:pt idx="7">
                  <c:v>43</c:v>
                </c:pt>
                <c:pt idx="8">
                  <c:v>33</c:v>
                </c:pt>
                <c:pt idx="9">
                  <c:v>25</c:v>
                </c:pt>
                <c:pt idx="10">
                  <c:v>56</c:v>
                </c:pt>
                <c:pt idx="11">
                  <c:v>40</c:v>
                </c:pt>
                <c:pt idx="12">
                  <c:v>33</c:v>
                </c:pt>
                <c:pt idx="13">
                  <c:v>28</c:v>
                </c:pt>
                <c:pt idx="14">
                  <c:v>1</c:v>
                </c:pt>
                <c:pt idx="15">
                  <c:v>9</c:v>
                </c:pt>
                <c:pt idx="16">
                  <c:v>12</c:v>
                </c:pt>
                <c:pt idx="17">
                  <c:v>8</c:v>
                </c:pt>
                <c:pt idx="18">
                  <c:v>37</c:v>
                </c:pt>
                <c:pt idx="19">
                  <c:v>36</c:v>
                </c:pt>
                <c:pt idx="20">
                  <c:v>29</c:v>
                </c:pt>
                <c:pt idx="2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'Humi-BugTrend'!$H$2:$H$24</c:f>
              <c:numCache>
                <c:formatCode>General</c:formatCode>
                <c:ptCount val="23"/>
                <c:pt idx="0">
                  <c:v>93</c:v>
                </c:pt>
                <c:pt idx="1">
                  <c:v>59</c:v>
                </c:pt>
                <c:pt idx="2">
                  <c:v>168</c:v>
                </c:pt>
                <c:pt idx="3">
                  <c:v>156</c:v>
                </c:pt>
                <c:pt idx="4">
                  <c:v>77</c:v>
                </c:pt>
                <c:pt idx="5">
                  <c:v>61</c:v>
                </c:pt>
                <c:pt idx="6">
                  <c:v>46</c:v>
                </c:pt>
                <c:pt idx="7">
                  <c:v>43</c:v>
                </c:pt>
                <c:pt idx="8">
                  <c:v>33</c:v>
                </c:pt>
                <c:pt idx="9">
                  <c:v>25</c:v>
                </c:pt>
                <c:pt idx="10">
                  <c:v>56</c:v>
                </c:pt>
                <c:pt idx="11">
                  <c:v>40</c:v>
                </c:pt>
                <c:pt idx="12">
                  <c:v>33</c:v>
                </c:pt>
                <c:pt idx="13">
                  <c:v>28</c:v>
                </c:pt>
                <c:pt idx="14">
                  <c:v>1</c:v>
                </c:pt>
                <c:pt idx="15">
                  <c:v>9</c:v>
                </c:pt>
                <c:pt idx="16">
                  <c:v>12</c:v>
                </c:pt>
                <c:pt idx="17">
                  <c:v>8</c:v>
                </c:pt>
                <c:pt idx="18">
                  <c:v>37</c:v>
                </c:pt>
                <c:pt idx="19">
                  <c:v>36</c:v>
                </c:pt>
                <c:pt idx="20">
                  <c:v>32</c:v>
                </c:pt>
                <c:pt idx="21">
                  <c:v>10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'SOVA-BugTrend'!$B$2:$B$23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9</c:v>
                </c:pt>
                <c:pt idx="19">
                  <c:v>13</c:v>
                </c:pt>
                <c:pt idx="20">
                  <c:v>12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'SOVA-BugTrend'!$C$2:$C$23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'SOVA-BugTrend'!$D$2:$D$23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'SOVA-BugTrend'!$E$2:$E$23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READY FOR TESTING (90%)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'SOVA-BugTrend'!$F$2:$F$23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'SOVA-BugTrend'!$G$2:$G$23</c:f>
              <c:numCache>
                <c:formatCode>General</c:formatCode>
                <c:ptCount val="22"/>
                <c:pt idx="0">
                  <c:v>20</c:v>
                </c:pt>
                <c:pt idx="1">
                  <c:v>20</c:v>
                </c:pt>
                <c:pt idx="2">
                  <c:v>16</c:v>
                </c:pt>
                <c:pt idx="3">
                  <c:v>16</c:v>
                </c:pt>
                <c:pt idx="4">
                  <c:v>55</c:v>
                </c:pt>
                <c:pt idx="5">
                  <c:v>35</c:v>
                </c:pt>
                <c:pt idx="6">
                  <c:v>39</c:v>
                </c:pt>
                <c:pt idx="7">
                  <c:v>39</c:v>
                </c:pt>
                <c:pt idx="8">
                  <c:v>45</c:v>
                </c:pt>
                <c:pt idx="9">
                  <c:v>18</c:v>
                </c:pt>
                <c:pt idx="10">
                  <c:v>25</c:v>
                </c:pt>
                <c:pt idx="11">
                  <c:v>45</c:v>
                </c:pt>
                <c:pt idx="12">
                  <c:v>24</c:v>
                </c:pt>
                <c:pt idx="13">
                  <c:v>43</c:v>
                </c:pt>
                <c:pt idx="14">
                  <c:v>35</c:v>
                </c:pt>
                <c:pt idx="15">
                  <c:v>29</c:v>
                </c:pt>
                <c:pt idx="16">
                  <c:v>37</c:v>
                </c:pt>
                <c:pt idx="17">
                  <c:v>30</c:v>
                </c:pt>
                <c:pt idx="18">
                  <c:v>28</c:v>
                </c:pt>
                <c:pt idx="19">
                  <c:v>17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'SOVA-BugTrend'!$H$2:$H$23</c:f>
              <c:numCache>
                <c:formatCode>General</c:formatCode>
                <c:ptCount val="2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ser>
          <c:idx val="7"/>
          <c:order val="7"/>
          <c:tx>
            <c:strRef>
              <c:f>'SOVA-BugTrend'!$I$1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'SOVA-BugTrend'!$I$2:$I$23</c:f>
              <c:numCache>
                <c:formatCode>General</c:formatCode>
                <c:ptCount val="22"/>
                <c:pt idx="0">
                  <c:v>23</c:v>
                </c:pt>
                <c:pt idx="1">
                  <c:v>22</c:v>
                </c:pt>
                <c:pt idx="2">
                  <c:v>18</c:v>
                </c:pt>
                <c:pt idx="3">
                  <c:v>18</c:v>
                </c:pt>
                <c:pt idx="4">
                  <c:v>59</c:v>
                </c:pt>
                <c:pt idx="5">
                  <c:v>39</c:v>
                </c:pt>
                <c:pt idx="6">
                  <c:v>42</c:v>
                </c:pt>
                <c:pt idx="7">
                  <c:v>46</c:v>
                </c:pt>
                <c:pt idx="8">
                  <c:v>53</c:v>
                </c:pt>
                <c:pt idx="9">
                  <c:v>20</c:v>
                </c:pt>
                <c:pt idx="10">
                  <c:v>32</c:v>
                </c:pt>
                <c:pt idx="11">
                  <c:v>53</c:v>
                </c:pt>
                <c:pt idx="12">
                  <c:v>25</c:v>
                </c:pt>
                <c:pt idx="13">
                  <c:v>43</c:v>
                </c:pt>
                <c:pt idx="14">
                  <c:v>35</c:v>
                </c:pt>
                <c:pt idx="15">
                  <c:v>29</c:v>
                </c:pt>
                <c:pt idx="16">
                  <c:v>44</c:v>
                </c:pt>
                <c:pt idx="17">
                  <c:v>36</c:v>
                </c:pt>
                <c:pt idx="18">
                  <c:v>37</c:v>
                </c:pt>
                <c:pt idx="19">
                  <c:v>36</c:v>
                </c:pt>
                <c:pt idx="20">
                  <c:v>12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9-4D09-84BF-8AEC42909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26</xdr:row>
      <xdr:rowOff>171448</xdr:rowOff>
    </xdr:from>
    <xdr:to>
      <xdr:col>8</xdr:col>
      <xdr:colOff>95250</xdr:colOff>
      <xdr:row>55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114300</xdr:rowOff>
    </xdr:from>
    <xdr:to>
      <xdr:col>6</xdr:col>
      <xdr:colOff>1028700</xdr:colOff>
      <xdr:row>46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32</xdr:row>
      <xdr:rowOff>69662</xdr:rowOff>
    </xdr:from>
    <xdr:to>
      <xdr:col>6</xdr:col>
      <xdr:colOff>1057275</xdr:colOff>
      <xdr:row>61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26</xdr:row>
      <xdr:rowOff>142875</xdr:rowOff>
    </xdr:from>
    <xdr:to>
      <xdr:col>8</xdr:col>
      <xdr:colOff>428625</xdr:colOff>
      <xdr:row>55</xdr:row>
      <xdr:rowOff>88899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27</xdr:row>
      <xdr:rowOff>12700</xdr:rowOff>
    </xdr:from>
    <xdr:to>
      <xdr:col>8</xdr:col>
      <xdr:colOff>219075</xdr:colOff>
      <xdr:row>56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4" totalsRowShown="0" headerRowDxfId="34">
  <autoFilter ref="A1:E24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3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6" totalsRowShown="0" headerRowDxfId="32">
  <autoFilter ref="A1:H16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>
      <calculatedColumnFormula>SUM(B2:G2)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29" totalsRowShown="0" headerRowDxfId="31">
  <autoFilter ref="A1:H29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0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4" totalsRowShown="0" headerRowDxfId="29">
  <autoFilter ref="A1:H24" xr:uid="{E4AD0B7A-EC5B-4838-AC2B-8475A3B6644B}"/>
  <tableColumns count="8">
    <tableColumn id="1" xr3:uid="{58F8A895-CEBE-41D2-B7BB-1681C0697C85}" name="Version"/>
    <tableColumn id="2" xr3:uid="{CE08A48D-2419-484B-993C-54A546869B61}" name="To Do" dataDxfId="28"/>
    <tableColumn id="3" xr3:uid="{FC519478-6B36-4D96-93F3-3AF4B1D70F3E}" name="In Progress" dataDxfId="27"/>
    <tableColumn id="5" xr3:uid="{52258D92-71B9-4E63-A3AA-5ABE6B4F3D23}" name="In Review" dataDxfId="26"/>
    <tableColumn id="4" xr3:uid="{C5EE39F3-E9DF-4F2E-9576-6DDB97E21DB3}" name="In QA" dataDxfId="25"/>
    <tableColumn id="6" xr3:uid="{CC106112-C63E-4AA5-9AAA-D0A99983E0DD}" name="Internal Test" dataDxfId="24"/>
    <tableColumn id="7" xr3:uid="{C69EECCF-E5E5-4372-B171-2B35FE10B60D}" name="Done" dataDxfId="23"/>
    <tableColumn id="8" xr3:uid="{C7A900BC-8967-4049-AE22-7F9EDE21E913}" name="Total" dataDxfId="22" totalsRow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I23" totalsRowShown="0" headerRowDxfId="20" dataDxfId="18" headerRowBorderDxfId="19" tableBorderDxfId="17" totalsRowBorderDxfId="16" dataCellStyle="Hyperlink">
  <autoFilter ref="A1:I23" xr:uid="{108F5145-A108-41DB-B2C3-516BE7C86923}"/>
  <tableColumns count="9">
    <tableColumn id="1" xr3:uid="{5BE08AE0-E0B5-4B46-9423-456B88C2D9BC}" name="Sprint" dataDxfId="15"/>
    <tableColumn id="2" xr3:uid="{030F9647-4FC0-4C7E-9B3A-AB099CC59EBA}" name="To Do (0%)" dataDxfId="14" dataCellStyle="Hyperlink"/>
    <tableColumn id="3" xr3:uid="{7D2923F3-E2CF-4FD9-A7A5-68C36BB95591}" name="STARTING (10 ~ 40%)" dataDxfId="13" dataCellStyle="Hyperlink"/>
    <tableColumn id="4" xr3:uid="{48FB5317-7F3B-4F74-B244-5A49C7749EBD}" name="In Progress (50 ~ 70%)" dataDxfId="12" dataCellStyle="Hyperlink"/>
    <tableColumn id="5" xr3:uid="{86F5CCB5-C4C2-4C36-935A-657F085500B1}" name="IN REVIEW (80%)" dataDxfId="11" dataCellStyle="Hyperlink"/>
    <tableColumn id="9" xr3:uid="{51D22AE3-424C-4604-9869-D672DED4301F}" name="READY FOR TESTING (90%)" dataDxfId="10" dataCellStyle="Hyperlink"/>
    <tableColumn id="6" xr3:uid="{33C9BCE6-D9EB-4032-9B0A-DDD9A4051A2D}" name="Done (100%)" dataDxfId="9" dataCellStyle="Hyperlink"/>
    <tableColumn id="8" xr3:uid="{D624FC89-A88E-45AC-9D22-66D66702B8C5}" name="WON'T DO (100%)" dataDxfId="8" dataCellStyle="Hyperlink"/>
    <tableColumn id="7" xr3:uid="{EFEEB7EC-E2D1-40EA-B265-A558311E5D30}" name="Total" dataDxfId="7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16" totalsRowShown="0" headerRowDxfId="6" dataDxfId="5">
  <autoFilter ref="A1:E16" xr:uid="{2C55E946-0086-4A42-AEAE-DA5ED4E8BB10}"/>
  <tableColumns count="5">
    <tableColumn id="1" xr3:uid="{7070D9F2-0ED1-4F39-8D72-28B37C8E98F2}" name="Week" dataDxfId="4"/>
    <tableColumn id="2" xr3:uid="{1173F443-CC27-4C6E-A432-BF66DB2A740E}" name="Done" dataDxfId="3"/>
    <tableColumn id="3" xr3:uid="{2EE10CB5-1AF1-4B50-9456-B3A666DD5338}" name="In Review/Progress" dataDxfId="2"/>
    <tableColumn id="4" xr3:uid="{328D0A00-85F0-4BFF-81FE-C023998A3701}" name="TODO (P1)" dataDxfId="1"/>
    <tableColumn id="5" xr3:uid="{E385808E-1FCD-451C-9807-DAF18A42B704}" name="Total" dataDxfId="0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2-01+AND+created+%3C%3D+2026-12-31+AND+type+%3D+Bug+AND+project+%3D+SOVA+AND+Sprint+%3D+2156+AND+status+%3D+%22WON%27T+DO+%28100%25%29%22" TargetMode="External"/><Relationship Id="rId21" Type="http://schemas.openxmlformats.org/officeDocument/2006/relationships/hyperlink" Target="https://xrspace.atlassian.net/issues/?jql=created+%3E%3D+2025-02-01+AND+created+%3C%3D+2026-12-31+AND+type+%3D+Bug+AND+project+%3D+SOVA+AND+Sprint+%3D+2156+AND+status+%3D+%22STARTING+%2810+%7E+40%25%29%22" TargetMode="External"/><Relationship Id="rId42" Type="http://schemas.openxmlformats.org/officeDocument/2006/relationships/hyperlink" Target="https://xrspace.atlassian.net/issues/?jql=created+%3E%3D+2025-02-01+AND+created+%3C%3D+2026-12-31+AND+type+%3D+Bug+AND+project+%3D+SOVA+AND+Sprint+%3D+3246+AND+status+%3D+%22STARTING+%2810+%7E+40%25%29%22" TargetMode="External"/><Relationship Id="rId63" Type="http://schemas.openxmlformats.org/officeDocument/2006/relationships/hyperlink" Target="https://xrspace.atlassian.net/issues/?jql=created+%3E%3D+2025-02-01+AND+created+%3C%3D+2026-12-31+AND+type+%3D+Bug+AND+project+%3D+SOVA+AND+Sprint+%3D+4477+AND+status+%3D+%22STARTING+%2810+%7E+40%25%29%22" TargetMode="External"/><Relationship Id="rId84" Type="http://schemas.openxmlformats.org/officeDocument/2006/relationships/hyperlink" Target="https://xrspace.atlassian.net/issues/?jql=created+%3E%3D+2025-02-01+AND+created+%3C%3D+2026-12-31+AND+type+%3D+Bug+AND+project+%3D+SOVA+AND+Sprint+%3D+3873+AND+status+%3D+%22IN+REVIEW+%2880%25%29%22" TargetMode="External"/><Relationship Id="rId16" Type="http://schemas.openxmlformats.org/officeDocument/2006/relationships/hyperlink" Target="https://xrspace.atlassian.net/issues/?jql=created+%3E%3D+2025-02-01+AND+created+%3C%3D+2026-12-31+AND+type+%3D+Bug+AND+project+%3D+SOVA+AND+Sprint+%3D+1499+AND+status+%3D+%22To+Do+%280%25%29%22" TargetMode="External"/><Relationship Id="rId107" Type="http://schemas.openxmlformats.org/officeDocument/2006/relationships/hyperlink" Target="https://xrspace.atlassian.net/issues/?jql=created+%3E%3D+2025-02-01+AND+created+%3C%3D+2026-12-31+AND+type+%3D+Bug+AND+project+%3D+SOVA+AND+Sprint+%3D+4140+AND+status+%3D+%22Done+%28100%25%29%22" TargetMode="External"/><Relationship Id="rId11" Type="http://schemas.openxmlformats.org/officeDocument/2006/relationships/hyperlink" Target="https://xrspace.atlassian.net/issues/?jql=created+%3E%3D+2025-02-01+AND+created+%3C%3D+2026-12-31+AND+type+%3D+Bug+AND+project+%3D+SOVA+AND+Sprint+%3D+1497+AND+status+%3D+%22IN+REVIEW+%2880%25%29%22" TargetMode="External"/><Relationship Id="rId32" Type="http://schemas.openxmlformats.org/officeDocument/2006/relationships/hyperlink" Target="https://xrspace.atlassian.net/issues/?jql=created+%3E%3D+2025-02-01+AND+created+%3C%3D+2026-12-31+AND+type+%3D+Bug+AND+project+%3D+SOVA+AND+Sprint+%3D+2882+AND+status+%3D+%22IN+REVIEW+%2880%25%29%22" TargetMode="External"/><Relationship Id="rId37" Type="http://schemas.openxmlformats.org/officeDocument/2006/relationships/hyperlink" Target="https://xrspace.atlassian.net/issues/?jql=created+%3E%3D+2025-02-01+AND+created+%3C%3D+2026-12-31+AND+type+%3D+Bug+AND+project+%3D+SOVA+AND+Sprint+%3D+3245+AND+status+%3D+%22To+Do+%280%25%29%22" TargetMode="External"/><Relationship Id="rId53" Type="http://schemas.openxmlformats.org/officeDocument/2006/relationships/hyperlink" Target="https://xrspace.atlassian.net/issues/?jql=created+%3E%3D+2025-02-01+AND+created+%3C%3D+2026-12-31+AND+type+%3D+Bug+AND+project+%3D+SOVA+AND+Sprint+%3D+3873+AND+status+%3D+%22IN+REVIEW+%2880%25%29%22" TargetMode="External"/><Relationship Id="rId58" Type="http://schemas.openxmlformats.org/officeDocument/2006/relationships/hyperlink" Target="https://xrspace.atlassian.net/issues/?jql=created+%3E%3D+2025-02-01+AND+created+%3C%3D+2026-12-31+AND+type+%3D+Bug+AND+project+%3D+SOVA+AND+Sprint+%3D+4206+AND+status+%3D+%22To+Do+%280%25%29%22" TargetMode="External"/><Relationship Id="rId74" Type="http://schemas.openxmlformats.org/officeDocument/2006/relationships/hyperlink" Target="https://xrspace.atlassian.net/issues/?jql=created+%3E%3D+2025-02-01+AND+created+%3C%3D+2026-12-31+AND+type+%3D+Bug+AND+project+%3D+SOVA+AND+Sprint+%3D+2157+AND+status+%3D+%22IN+REVIEW+%2880%25%29%22" TargetMode="External"/><Relationship Id="rId79" Type="http://schemas.openxmlformats.org/officeDocument/2006/relationships/hyperlink" Target="https://xrspace.atlassian.net/issues/?jql=created+%3E%3D+2025-02-01+AND+created+%3C%3D+2026-12-31+AND+type+%3D+Bug+AND+project+%3D+SOVA+AND+Sprint+%3D+3245+AND+status+%3D+%22IN+REVIEW+%2880%25%29%22" TargetMode="External"/><Relationship Id="rId102" Type="http://schemas.openxmlformats.org/officeDocument/2006/relationships/hyperlink" Target="https://xrspace.atlassian.net/issues/?jql=created+%3E%3D+2025-02-01+AND+created+%3C%3D+2026-12-31+AND+type+%3D+Bug+AND+project+%3D+SOVA+AND+Sprint+%3D+3246+AND+status+%3D+%22Done+%28100%25%29%22" TargetMode="External"/><Relationship Id="rId123" Type="http://schemas.openxmlformats.org/officeDocument/2006/relationships/hyperlink" Target="https://xrspace.atlassian.net/issues/?jql=created+%3E%3D+2025-02-01+AND+created+%3C%3D+2026-12-31+AND+type+%3D+Bug+AND+project+%3D+SOVA+AND+Sprint+%3D+3245+AND+status+%3D+%22WON%27T+DO+%28100%25%29%22" TargetMode="External"/><Relationship Id="rId128" Type="http://schemas.openxmlformats.org/officeDocument/2006/relationships/hyperlink" Target="https://xrspace.atlassian.net/issues/?jql=created+%3E%3D+2025-02-01+AND+created+%3C%3D+2026-12-31+AND+type+%3D+Bug+AND+project+%3D+SOVA+AND+Sprint+%3D+3873+AND+status+%3D+%22WON%27T+DO+%28100%25%29%22" TargetMode="External"/><Relationship Id="rId5" Type="http://schemas.openxmlformats.org/officeDocument/2006/relationships/hyperlink" Target="https://xrspace.atlassian.net/issues/?jql=created+%3E%3D+2025-02-01+AND+created+%3C%3D+2026-12-31+AND+type+%3D+Bug+AND+project+%3D+SOVA+AND+Sprint+%3D+1466+AND+status+%3D+%22IN+REVIEW+%2880%25%29%22" TargetMode="External"/><Relationship Id="rId90" Type="http://schemas.openxmlformats.org/officeDocument/2006/relationships/hyperlink" Target="https://xrspace.atlassian.net/issues/?jql=created+%3E%3D+2025-02-01+AND+created+%3C%3D+2026-12-31+AND+type+%3D+Bug+AND+project+%3D+SOVA+AND+Sprint+%3D+1466+AND+status+%3D+%22Done+%28100%25%29%22" TargetMode="External"/><Relationship Id="rId95" Type="http://schemas.openxmlformats.org/officeDocument/2006/relationships/hyperlink" Target="https://xrspace.atlassian.net/issues/?jql=created+%3E%3D+2025-02-01+AND+created+%3C%3D+2026-12-31+AND+type+%3D+Bug+AND+project+%3D+SOVA+AND+Sprint+%3D+2156+AND+status+%3D+%22Done+%28100%25%29%22" TargetMode="External"/><Relationship Id="rId22" Type="http://schemas.openxmlformats.org/officeDocument/2006/relationships/hyperlink" Target="https://xrspace.atlassian.net/issues/?jql=created+%3E%3D+2025-02-01+AND+created+%3C%3D+2026-12-31+AND+type+%3D+Bug+AND+project+%3D+SOVA+AND+Sprint+%3D+2157+AND+status+%3D+%22To+Do+%280%25%29%22" TargetMode="External"/><Relationship Id="rId27" Type="http://schemas.openxmlformats.org/officeDocument/2006/relationships/hyperlink" Target="https://xrspace.atlassian.net/issues/?jql=created+%3E%3D+2025-02-01+AND+created+%3C%3D+2026-12-31+AND+type+%3D+Bug+AND+project+%3D+SOVA+AND+Sprint+%3D+2618+AND+status+%3D+%22STARTING+%2810+%7E+40%25%29%22" TargetMode="External"/><Relationship Id="rId43" Type="http://schemas.openxmlformats.org/officeDocument/2006/relationships/hyperlink" Target="https://xrspace.atlassian.net/issues/?jql=created+%3E%3D+2025-02-01+AND+created+%3C%3D+2026-12-31+AND+type+%3D+Bug+AND+project+%3D+SOVA+AND+Sprint+%3D+3575+AND+status+%3D+%22To+Do+%280%25%29%22" TargetMode="External"/><Relationship Id="rId48" Type="http://schemas.openxmlformats.org/officeDocument/2006/relationships/hyperlink" Target="https://xrspace.atlassian.net/issues/?jql=created+%3E%3D+2025-02-01+AND+created+%3C%3D+2026-12-31+AND+type+%3D+Bug+AND+project+%3D+SOVA+AND+Sprint+%3D+3608+AND+status+%3D+%22STARTING+%2810+%7E+40%25%29%22" TargetMode="External"/><Relationship Id="rId64" Type="http://schemas.openxmlformats.org/officeDocument/2006/relationships/hyperlink" Target="https://xrspace.atlassian.net/issues/?jql=created+%3E%3D+2025-02-01+AND+created+%3C%3D+2026-12-31+AND+type+%3D+Bug+AND+project+%3D+SOVA+AND+Sprint+%3D+4478+AND+status+%3D+%22To+Do+%280%25%29%22" TargetMode="External"/><Relationship Id="rId69" Type="http://schemas.openxmlformats.org/officeDocument/2006/relationships/hyperlink" Target="https://xrspace.atlassian.net/issues/?jql=created+%3E%3D+2025-02-01+AND+created+%3C%3D+2026-12-31+AND+type+%3D+Bug+AND+project+%3D+SOVA+AND+Sprint+%3D+1496+AND+status+%3D+%22IN+REVIEW+%2880%25%29%22" TargetMode="External"/><Relationship Id="rId113" Type="http://schemas.openxmlformats.org/officeDocument/2006/relationships/hyperlink" Target="https://xrspace.atlassian.net/issues/?jql=created+%3E%3D+2025-02-01+AND+created+%3C%3D+2026-12-31+AND+type+%3D+Bug+AND+project+%3D+SOVA+AND+Sprint+%3D+1496+AND+status+%3D+%22WON%27T+DO+%28100%25%29%22" TargetMode="External"/><Relationship Id="rId118" Type="http://schemas.openxmlformats.org/officeDocument/2006/relationships/hyperlink" Target="https://xrspace.atlassian.net/issues/?jql=created+%3E%3D+2025-02-01+AND+created+%3C%3D+2026-12-31+AND+type+%3D+Bug+AND+project+%3D+SOVA+AND+Sprint+%3D+2157+AND+status+%3D+%22WON%27T+DO+%28100%25%29%22" TargetMode="External"/><Relationship Id="rId134" Type="http://schemas.openxmlformats.org/officeDocument/2006/relationships/drawing" Target="../drawings/drawing5.xml"/><Relationship Id="rId80" Type="http://schemas.openxmlformats.org/officeDocument/2006/relationships/hyperlink" Target="https://xrspace.atlassian.net/issues/?jql=created+%3E%3D+2025-02-01+AND+created+%3C%3D+2026-12-31+AND+type+%3D+Bug+AND+project+%3D+SOVA+AND+Sprint+%3D+3246+AND+status+%3D+%22IN+REVIEW+%2880%25%29%22" TargetMode="External"/><Relationship Id="rId85" Type="http://schemas.openxmlformats.org/officeDocument/2006/relationships/hyperlink" Target="https://xrspace.atlassian.net/issues/?jql=created+%3E%3D+2025-02-01+AND+created+%3C%3D+2026-12-31+AND+type+%3D+Bug+AND+project+%3D+SOVA+AND+Sprint+%3D+4140+AND+status+%3D+%22IN+REVIEW+%2880%25%29%22" TargetMode="External"/><Relationship Id="rId12" Type="http://schemas.openxmlformats.org/officeDocument/2006/relationships/hyperlink" Target="https://xrspace.atlassian.net/issues/?jql=created+%3E%3D+2025-02-01+AND+created+%3C%3D+2026-12-31+AND+type+%3D+Bug+AND+project+%3D+SOVA+AND+Sprint+%3D+1497+AND+status+%3D+%22STARTING+%2810+%7E+40%25%29%22" TargetMode="External"/><Relationship Id="rId17" Type="http://schemas.openxmlformats.org/officeDocument/2006/relationships/hyperlink" Target="https://xrspace.atlassian.net/issues/?jql=created+%3E%3D+2025-02-01+AND+created+%3C%3D+2026-12-31+AND+type+%3D+Bug+AND+project+%3D+SOVA+AND+Sprint+%3D+1499+AND+status+%3D+%22IN+REVIEW+%2880%25%29%22" TargetMode="External"/><Relationship Id="rId33" Type="http://schemas.openxmlformats.org/officeDocument/2006/relationships/hyperlink" Target="https://xrspace.atlassian.net/issues/?jql=created+%3E%3D+2025-02-01+AND+created+%3C%3D+2026-12-31+AND+type+%3D+Bug+AND+project+%3D+SOVA+AND+Sprint+%3D+2882+AND+status+%3D+%22STARTING+%2810+%7E+40%25%29%22" TargetMode="External"/><Relationship Id="rId38" Type="http://schemas.openxmlformats.org/officeDocument/2006/relationships/hyperlink" Target="https://xrspace.atlassian.net/issues/?jql=created+%3E%3D+2025-02-01+AND+created+%3C%3D+2026-12-31+AND+type+%3D+Bug+AND+project+%3D+SOVA+AND+Sprint+%3D+3245+AND+status+%3D+%22IN+REVIEW+%2880%25%29%22" TargetMode="External"/><Relationship Id="rId59" Type="http://schemas.openxmlformats.org/officeDocument/2006/relationships/hyperlink" Target="https://xrspace.atlassian.net/issues/?jql=created+%3E%3D+2025-02-01+AND+created+%3C%3D+2026-12-31+AND+type+%3D+Bug+AND+project+%3D+SOVA+AND+Sprint+%3D+4206+AND+status+%3D+%22IN+REVIEW+%2880%25%29%22" TargetMode="External"/><Relationship Id="rId103" Type="http://schemas.openxmlformats.org/officeDocument/2006/relationships/hyperlink" Target="https://xrspace.atlassian.net/issues/?jql=created+%3E%3D+2025-02-01+AND+created+%3C%3D+2026-12-31+AND+type+%3D+Bug+AND+project+%3D+SOVA+AND+Sprint+%3D+3575+AND+status+%3D+%22Done+%28100%25%29%22" TargetMode="External"/><Relationship Id="rId108" Type="http://schemas.openxmlformats.org/officeDocument/2006/relationships/hyperlink" Target="https://xrspace.atlassian.net/issues/?jql=created+%3E%3D+2025-02-01+AND+created+%3C%3D+2026-12-31+AND+type+%3D+Bug+AND+project+%3D+SOVA+AND+Sprint+%3D+4206+AND+status+%3D+%22Done+%28100%25%29%22" TargetMode="External"/><Relationship Id="rId124" Type="http://schemas.openxmlformats.org/officeDocument/2006/relationships/hyperlink" Target="https://xrspace.atlassian.net/issues/?jql=created+%3E%3D+2025-02-01+AND+created+%3C%3D+2026-12-31+AND+type+%3D+Bug+AND+project+%3D+SOVA+AND+Sprint+%3D+3246+AND+status+%3D+%22WON%27T+DO+%28100%25%29%22" TargetMode="External"/><Relationship Id="rId129" Type="http://schemas.openxmlformats.org/officeDocument/2006/relationships/hyperlink" Target="https://xrspace.atlassian.net/issues/?jql=created+%3E%3D+2025-02-01+AND+created+%3C%3D+2026-12-31+AND+type+%3D+Bug+AND+project+%3D+SOVA+AND+Sprint+%3D+4140+AND+status+%3D+%22WON%27T+DO+%28100%25%29%22" TargetMode="External"/><Relationship Id="rId54" Type="http://schemas.openxmlformats.org/officeDocument/2006/relationships/hyperlink" Target="https://xrspace.atlassian.net/issues/?jql=created+%3E%3D+2025-02-01+AND+created+%3C%3D+2026-12-31+AND+type+%3D+Bug+AND+project+%3D+SOVA+AND+Sprint+%3D+3873+AND+status+%3D+%22STARTING+%2810+%7E+40%25%29%22" TargetMode="External"/><Relationship Id="rId70" Type="http://schemas.openxmlformats.org/officeDocument/2006/relationships/hyperlink" Target="https://xrspace.atlassian.net/issues/?jql=created+%3E%3D+2025-02-01+AND+created+%3C%3D+2026-12-31+AND+type+%3D+Bug+AND+project+%3D+SOVA+AND+Sprint+%3D+1497+AND+status+%3D+%22IN+REVIEW+%2880%25%29%22" TargetMode="External"/><Relationship Id="rId75" Type="http://schemas.openxmlformats.org/officeDocument/2006/relationships/hyperlink" Target="https://xrspace.atlassian.net/issues/?jql=created+%3E%3D+2025-02-01+AND+created+%3C%3D+2026-12-31+AND+type+%3D+Bug+AND+project+%3D+SOVA+AND+Sprint+%3D+2618+AND+status+%3D+%22IN+REVIEW+%2880%25%29%22" TargetMode="External"/><Relationship Id="rId91" Type="http://schemas.openxmlformats.org/officeDocument/2006/relationships/hyperlink" Target="https://xrspace.atlassian.net/issues/?jql=created+%3E%3D+2025-02-01+AND+created+%3C%3D+2026-12-31+AND+type+%3D+Bug+AND+project+%3D+SOVA+AND+Sprint+%3D+1496+AND+status+%3D+%22Done+%28100%25%29%22" TargetMode="External"/><Relationship Id="rId96" Type="http://schemas.openxmlformats.org/officeDocument/2006/relationships/hyperlink" Target="https://xrspace.atlassian.net/issues/?jql=created+%3E%3D+2025-02-01+AND+created+%3C%3D+2026-12-31+AND+type+%3D+Bug+AND+project+%3D+SOVA+AND+Sprint+%3D+2157+AND+status+%3D+%22Done+%28100%25%29%22" TargetMode="External"/><Relationship Id="rId1" Type="http://schemas.openxmlformats.org/officeDocument/2006/relationships/hyperlink" Target="https://xrspace.atlassian.net/issues/?jql=created+%3E%3D+2025-02-01+AND+created+%3C%3D+2026-12-31+AND+type+%3D+Bug+AND+project+%3D+SOVA+AND+Sprint+%3D+1463+AND+status+%3D+%22To+Do+%280%25%29%22" TargetMode="External"/><Relationship Id="rId6" Type="http://schemas.openxmlformats.org/officeDocument/2006/relationships/hyperlink" Target="https://xrspace.atlassian.net/issues/?jql=created+%3E%3D+2025-02-01+AND+created+%3C%3D+2026-12-31+AND+type+%3D+Bug+AND+project+%3D+SOVA+AND+Sprint+%3D+1466+AND+status+%3D+%22STARTING+%2810+%7E+40%25%29%22" TargetMode="External"/><Relationship Id="rId23" Type="http://schemas.openxmlformats.org/officeDocument/2006/relationships/hyperlink" Target="https://xrspace.atlassian.net/issues/?jql=created+%3E%3D+2025-02-01+AND+created+%3C%3D+2026-12-31+AND+type+%3D+Bug+AND+project+%3D+SOVA+AND+Sprint+%3D+2157+AND+status+%3D+%22IN+REVIEW+%2880%25%29%22" TargetMode="External"/><Relationship Id="rId28" Type="http://schemas.openxmlformats.org/officeDocument/2006/relationships/hyperlink" Target="https://xrspace.atlassian.net/issues/?jql=created+%3E%3D+2025-02-01+AND+created+%3C%3D+2026-12-31+AND+type+%3D+Bug+AND+project+%3D+SOVA+AND+Sprint+%3D+2619+AND+status+%3D+%22To+Do+%280%25%29%22" TargetMode="External"/><Relationship Id="rId49" Type="http://schemas.openxmlformats.org/officeDocument/2006/relationships/hyperlink" Target="https://xrspace.atlassian.net/issues/?jql=created+%3E%3D+2025-02-01+AND+created+%3C%3D+2026-12-31+AND+type+%3D+Bug+AND+project+%3D+SOVA+AND+Sprint+%3D+3872+AND+status+%3D+%22To+Do+%280%25%29%22" TargetMode="External"/><Relationship Id="rId114" Type="http://schemas.openxmlformats.org/officeDocument/2006/relationships/hyperlink" Target="https://xrspace.atlassian.net/issues/?jql=created+%3E%3D+2025-02-01+AND+created+%3C%3D+2026-12-31+AND+type+%3D+Bug+AND+project+%3D+SOVA+AND+Sprint+%3D+1497+AND+status+%3D+%22WON%27T+DO+%28100%25%29%22" TargetMode="External"/><Relationship Id="rId119" Type="http://schemas.openxmlformats.org/officeDocument/2006/relationships/hyperlink" Target="https://xrspace.atlassian.net/issues/?jql=created+%3E%3D+2025-02-01+AND+created+%3C%3D+2026-12-31+AND+type+%3D+Bug+AND+project+%3D+SOVA+AND+Sprint+%3D+2618+AND+status+%3D+%22WON%27T+DO+%28100%25%29%22" TargetMode="External"/><Relationship Id="rId44" Type="http://schemas.openxmlformats.org/officeDocument/2006/relationships/hyperlink" Target="https://xrspace.atlassian.net/issues/?jql=created+%3E%3D+2025-02-01+AND+created+%3C%3D+2026-12-31+AND+type+%3D+Bug+AND+project+%3D+SOVA+AND+Sprint+%3D+3575+AND+status+%3D+%22IN+REVIEW+%2880%25%29%22" TargetMode="External"/><Relationship Id="rId60" Type="http://schemas.openxmlformats.org/officeDocument/2006/relationships/hyperlink" Target="https://xrspace.atlassian.net/issues/?jql=created+%3E%3D+2025-02-01+AND+created+%3C%3D+2026-12-31+AND+type+%3D+Bug+AND+project+%3D+SOVA+AND+Sprint+%3D+4206+AND+status+%3D+%22STARTING+%2810+%7E+40%25%29%22" TargetMode="External"/><Relationship Id="rId65" Type="http://schemas.openxmlformats.org/officeDocument/2006/relationships/hyperlink" Target="https://xrspace.atlassian.net/issues/?jql=created+%3E%3D+2025-02-01+AND+created+%3C%3D+2026-12-31+AND+type+%3D+Bug+AND+project+%3D+SOVA+AND+Sprint+%3D+4478+AND+status+%3D+%22IN+REVIEW+%2880%25%29%22" TargetMode="External"/><Relationship Id="rId81" Type="http://schemas.openxmlformats.org/officeDocument/2006/relationships/hyperlink" Target="https://xrspace.atlassian.net/issues/?jql=created+%3E%3D+2025-02-01+AND+created+%3C%3D+2026-12-31+AND+type+%3D+Bug+AND+project+%3D+SOVA+AND+Sprint+%3D+3575+AND+status+%3D+%22IN+REVIEW+%2880%25%29%22" TargetMode="External"/><Relationship Id="rId86" Type="http://schemas.openxmlformats.org/officeDocument/2006/relationships/hyperlink" Target="https://xrspace.atlassian.net/issues/?jql=created+%3E%3D+2025-02-01+AND+created+%3C%3D+2026-12-31+AND+type+%3D+Bug+AND+project+%3D+SOVA+AND+Sprint+%3D+4206+AND+status+%3D+%22IN+REVIEW+%2880%25%29%22" TargetMode="External"/><Relationship Id="rId130" Type="http://schemas.openxmlformats.org/officeDocument/2006/relationships/hyperlink" Target="https://xrspace.atlassian.net/issues/?jql=created+%3E%3D+2025-02-01+AND+created+%3C%3D+2026-12-31+AND+type+%3D+Bug+AND+project+%3D+SOVA+AND+Sprint+%3D+4206+AND+status+%3D+%22WON%27T+DO+%28100%25%29%22" TargetMode="External"/><Relationship Id="rId135" Type="http://schemas.openxmlformats.org/officeDocument/2006/relationships/table" Target="../tables/table5.xml"/><Relationship Id="rId13" Type="http://schemas.openxmlformats.org/officeDocument/2006/relationships/hyperlink" Target="https://xrspace.atlassian.net/issues/?jql=created+%3E%3D+2025-02-01+AND+created+%3C%3D+2026-12-31+AND+type+%3D+Bug+AND+project+%3D+SOVA+AND+Sprint+%3D+1498+AND+status+%3D+%22To+Do+%280%25%29%22" TargetMode="External"/><Relationship Id="rId18" Type="http://schemas.openxmlformats.org/officeDocument/2006/relationships/hyperlink" Target="https://xrspace.atlassian.net/issues/?jql=created+%3E%3D+2025-02-01+AND+created+%3C%3D+2026-12-31+AND+type+%3D+Bug+AND+project+%3D+SOVA+AND+Sprint+%3D+1499+AND+status+%3D+%22STARTING+%2810+%7E+40%25%29%22" TargetMode="External"/><Relationship Id="rId39" Type="http://schemas.openxmlformats.org/officeDocument/2006/relationships/hyperlink" Target="https://xrspace.atlassian.net/issues/?jql=created+%3E%3D+2025-02-01+AND+created+%3C%3D+2026-12-31+AND+type+%3D+Bug+AND+project+%3D+SOVA+AND+Sprint+%3D+3245+AND+status+%3D+%22STARTING+%2810+%7E+40%25%29%22" TargetMode="External"/><Relationship Id="rId109" Type="http://schemas.openxmlformats.org/officeDocument/2006/relationships/hyperlink" Target="https://xrspace.atlassian.net/issues/?jql=created+%3E%3D+2025-02-01+AND+created+%3C%3D+2026-12-31+AND+type+%3D+Bug+AND+project+%3D+SOVA+AND+Sprint+%3D+4477+AND+status+%3D+%22Done+%28100%25%29%22" TargetMode="External"/><Relationship Id="rId34" Type="http://schemas.openxmlformats.org/officeDocument/2006/relationships/hyperlink" Target="https://xrspace.atlassian.net/issues/?jql=created+%3E%3D+2025-02-01+AND+created+%3C%3D+2026-12-31+AND+type+%3D+Bug+AND+project+%3D+SOVA+AND+Sprint+%3D+3213+AND+status+%3D+%22To+Do+%280%25%29%22" TargetMode="External"/><Relationship Id="rId50" Type="http://schemas.openxmlformats.org/officeDocument/2006/relationships/hyperlink" Target="https://xrspace.atlassian.net/issues/?jql=created+%3E%3D+2025-02-01+AND+created+%3C%3D+2026-12-31+AND+type+%3D+Bug+AND+project+%3D+SOVA+AND+Sprint+%3D+3872+AND+status+%3D+%22IN+REVIEW+%2880%25%29%22" TargetMode="External"/><Relationship Id="rId55" Type="http://schemas.openxmlformats.org/officeDocument/2006/relationships/hyperlink" Target="https://xrspace.atlassian.net/issues/?jql=created+%3E%3D+2025-02-01+AND+created+%3C%3D+2026-12-31+AND+type+%3D+Bug+AND+project+%3D+SOVA+AND+Sprint+%3D+4140+AND+status+%3D+%22To+Do+%280%25%29%22" TargetMode="External"/><Relationship Id="rId76" Type="http://schemas.openxmlformats.org/officeDocument/2006/relationships/hyperlink" Target="https://xrspace.atlassian.net/issues/?jql=created+%3E%3D+2025-02-01+AND+created+%3C%3D+2026-12-31+AND+type+%3D+Bug+AND+project+%3D+SOVA+AND+Sprint+%3D+2619+AND+status+%3D+%22IN+REVIEW+%2880%25%29%22" TargetMode="External"/><Relationship Id="rId97" Type="http://schemas.openxmlformats.org/officeDocument/2006/relationships/hyperlink" Target="https://xrspace.atlassian.net/issues/?jql=created+%3E%3D+2025-02-01+AND+created+%3C%3D+2026-12-31+AND+type+%3D+Bug+AND+project+%3D+SOVA+AND+Sprint+%3D+2618+AND+status+%3D+%22Done+%28100%25%29%22" TargetMode="External"/><Relationship Id="rId104" Type="http://schemas.openxmlformats.org/officeDocument/2006/relationships/hyperlink" Target="https://xrspace.atlassian.net/issues/?jql=created+%3E%3D+2025-02-01+AND+created+%3C%3D+2026-12-31+AND+type+%3D+Bug+AND+project+%3D+SOVA+AND+Sprint+%3D+3608+AND+status+%3D+%22Done+%28100%25%29%22" TargetMode="External"/><Relationship Id="rId120" Type="http://schemas.openxmlformats.org/officeDocument/2006/relationships/hyperlink" Target="https://xrspace.atlassian.net/issues/?jql=created+%3E%3D+2025-02-01+AND+created+%3C%3D+2026-12-31+AND+type+%3D+Bug+AND+project+%3D+SOVA+AND+Sprint+%3D+2619+AND+status+%3D+%22WON%27T+DO+%28100%25%29%22" TargetMode="External"/><Relationship Id="rId125" Type="http://schemas.openxmlformats.org/officeDocument/2006/relationships/hyperlink" Target="https://xrspace.atlassian.net/issues/?jql=created+%3E%3D+2025-02-01+AND+created+%3C%3D+2026-12-31+AND+type+%3D+Bug+AND+project+%3D+SOVA+AND+Sprint+%3D+3575+AND+status+%3D+%22WON%27T+DO+%28100%25%29%22" TargetMode="External"/><Relationship Id="rId7" Type="http://schemas.openxmlformats.org/officeDocument/2006/relationships/hyperlink" Target="https://xrspace.atlassian.net/issues/?jql=created+%3E%3D+2025-02-01+AND+created+%3C%3D+2026-12-31+AND+type+%3D+Bug+AND+project+%3D+SOVA+AND+Sprint+%3D+1496+AND+status+%3D+%22To+Do+%280%25%29%22" TargetMode="External"/><Relationship Id="rId71" Type="http://schemas.openxmlformats.org/officeDocument/2006/relationships/hyperlink" Target="https://xrspace.atlassian.net/issues/?jql=created+%3E%3D+2025-02-01+AND+created+%3C%3D+2026-12-31+AND+type+%3D+Bug+AND+project+%3D+SOVA+AND+Sprint+%3D+1498+AND+status+%3D+%22IN+REVIEW+%2880%25%29%22" TargetMode="External"/><Relationship Id="rId92" Type="http://schemas.openxmlformats.org/officeDocument/2006/relationships/hyperlink" Target="https://xrspace.atlassian.net/issues/?jql=created+%3E%3D+2025-02-01+AND+created+%3C%3D+2026-12-31+AND+type+%3D+Bug+AND+project+%3D+SOVA+AND+Sprint+%3D+1497+AND+status+%3D+%22Done+%28100%25%29%22" TargetMode="External"/><Relationship Id="rId2" Type="http://schemas.openxmlformats.org/officeDocument/2006/relationships/hyperlink" Target="https://xrspace.atlassian.net/issues/?jql=created+%3E%3D+2025-02-01+AND+created+%3C%3D+2026-12-31+AND+type+%3D+Bug+AND+project+%3D+SOVA+AND+Sprint+%3D+1463+AND+status+%3D+%22IN+REVIEW+%2880%25%29%22" TargetMode="External"/><Relationship Id="rId29" Type="http://schemas.openxmlformats.org/officeDocument/2006/relationships/hyperlink" Target="https://xrspace.atlassian.net/issues/?jql=created+%3E%3D+2025-02-01+AND+created+%3C%3D+2026-12-31+AND+type+%3D+Bug+AND+project+%3D+SOVA+AND+Sprint+%3D+2619+AND+status+%3D+%22IN+REVIEW+%2880%25%29%22" TargetMode="External"/><Relationship Id="rId24" Type="http://schemas.openxmlformats.org/officeDocument/2006/relationships/hyperlink" Target="https://xrspace.atlassian.net/issues/?jql=created+%3E%3D+2025-02-01+AND+created+%3C%3D+2026-12-31+AND+type+%3D+Bug+AND+project+%3D+SOVA+AND+Sprint+%3D+2157+AND+status+%3D+%22STARTING+%2810+%7E+40%25%29%22" TargetMode="External"/><Relationship Id="rId40" Type="http://schemas.openxmlformats.org/officeDocument/2006/relationships/hyperlink" Target="https://xrspace.atlassian.net/issues/?jql=created+%3E%3D+2025-02-01+AND+created+%3C%3D+2026-12-31+AND+type+%3D+Bug+AND+project+%3D+SOVA+AND+Sprint+%3D+3246+AND+status+%3D+%22To+Do+%280%25%29%22" TargetMode="External"/><Relationship Id="rId45" Type="http://schemas.openxmlformats.org/officeDocument/2006/relationships/hyperlink" Target="https://xrspace.atlassian.net/issues/?jql=created+%3E%3D+2025-02-01+AND+created+%3C%3D+2026-12-31+AND+type+%3D+Bug+AND+project+%3D+SOVA+AND+Sprint+%3D+3575+AND+status+%3D+%22STARTING+%2810+%7E+40%25%29%22" TargetMode="External"/><Relationship Id="rId66" Type="http://schemas.openxmlformats.org/officeDocument/2006/relationships/hyperlink" Target="https://xrspace.atlassian.net/issues/?jql=created+%3E%3D+2025-02-01+AND+created+%3C%3D+2026-12-31+AND+type+%3D+Bug+AND+project+%3D+SOVA+AND+Sprint+%3D+4478+AND+status+%3D+%22STARTING+%2810+%7E+40%25%29%22" TargetMode="External"/><Relationship Id="rId87" Type="http://schemas.openxmlformats.org/officeDocument/2006/relationships/hyperlink" Target="https://xrspace.atlassian.net/issues/?jql=created+%3E%3D+2025-02-01+AND+created+%3C%3D+2026-12-31+AND+type+%3D+Bug+AND+project+%3D+SOVA+AND+Sprint+%3D+4477+AND+status+%3D+%22IN+REVIEW+%2880%25%29%22" TargetMode="External"/><Relationship Id="rId110" Type="http://schemas.openxmlformats.org/officeDocument/2006/relationships/hyperlink" Target="https://xrspace.atlassian.net/issues/?jql=created+%3E%3D+2025-02-01+AND+created+%3C%3D+2026-12-31+AND+type+%3D+Bug+AND+project+%3D+SOVA+AND+Sprint+%3D+4478+AND+status+%3D+%22Done+%28100%25%29%22" TargetMode="External"/><Relationship Id="rId115" Type="http://schemas.openxmlformats.org/officeDocument/2006/relationships/hyperlink" Target="https://xrspace.atlassian.net/issues/?jql=created+%3E%3D+2025-02-01+AND+created+%3C%3D+2026-12-31+AND+type+%3D+Bug+AND+project+%3D+SOVA+AND+Sprint+%3D+1498+AND+status+%3D+%22WON%27T+DO+%28100%25%29%22" TargetMode="External"/><Relationship Id="rId131" Type="http://schemas.openxmlformats.org/officeDocument/2006/relationships/hyperlink" Target="https://xrspace.atlassian.net/issues/?jql=created+%3E%3D+2025-02-01+AND+created+%3C%3D+2026-12-31+AND+type+%3D+Bug+AND+project+%3D+SOVA+AND+Sprint+%3D+4477+AND+status+%3D+%22WON%27T+DO+%28100%25%29%22" TargetMode="External"/><Relationship Id="rId61" Type="http://schemas.openxmlformats.org/officeDocument/2006/relationships/hyperlink" Target="https://xrspace.atlassian.net/issues/?jql=created+%3E%3D+2025-02-01+AND+created+%3C%3D+2026-12-31+AND+type+%3D+Bug+AND+project+%3D+SOVA+AND+Sprint+%3D+4477+AND+status+%3D+%22To+Do+%280%25%29%22" TargetMode="External"/><Relationship Id="rId82" Type="http://schemas.openxmlformats.org/officeDocument/2006/relationships/hyperlink" Target="https://xrspace.atlassian.net/issues/?jql=created+%3E%3D+2025-02-01+AND+created+%3C%3D+2026-12-31+AND+type+%3D+Bug+AND+project+%3D+SOVA+AND+Sprint+%3D+3608+AND+status+%3D+%22IN+REVIEW+%2880%25%29%22" TargetMode="External"/><Relationship Id="rId19" Type="http://schemas.openxmlformats.org/officeDocument/2006/relationships/hyperlink" Target="https://xrspace.atlassian.net/issues/?jql=created+%3E%3D+2025-02-01+AND+created+%3C%3D+2026-12-31+AND+type+%3D+Bug+AND+project+%3D+SOVA+AND+Sprint+%3D+2156+AND+status+%3D+%22To+Do+%280%25%29%22" TargetMode="External"/><Relationship Id="rId14" Type="http://schemas.openxmlformats.org/officeDocument/2006/relationships/hyperlink" Target="https://xrspace.atlassian.net/issues/?jql=created+%3E%3D+2025-02-01+AND+created+%3C%3D+2026-12-31+AND+type+%3D+Bug+AND+project+%3D+SOVA+AND+Sprint+%3D+1498+AND+status+%3D+%22IN+REVIEW+%2880%25%29%22" TargetMode="External"/><Relationship Id="rId30" Type="http://schemas.openxmlformats.org/officeDocument/2006/relationships/hyperlink" Target="https://xrspace.atlassian.net/issues/?jql=created+%3E%3D+2025-02-01+AND+created+%3C%3D+2026-12-31+AND+type+%3D+Bug+AND+project+%3D+SOVA+AND+Sprint+%3D+2619+AND+status+%3D+%22STARTING+%2810+%7E+40%25%29%22" TargetMode="External"/><Relationship Id="rId35" Type="http://schemas.openxmlformats.org/officeDocument/2006/relationships/hyperlink" Target="https://xrspace.atlassian.net/issues/?jql=created+%3E%3D+2025-02-01+AND+created+%3C%3D+2026-12-31+AND+type+%3D+Bug+AND+project+%3D+SOVA+AND+Sprint+%3D+3213+AND+status+%3D+%22IN+REVIEW+%2880%25%29%22" TargetMode="External"/><Relationship Id="rId56" Type="http://schemas.openxmlformats.org/officeDocument/2006/relationships/hyperlink" Target="https://xrspace.atlassian.net/issues/?jql=created+%3E%3D+2025-02-01+AND+created+%3C%3D+2026-12-31+AND+type+%3D+Bug+AND+project+%3D+SOVA+AND+Sprint+%3D+4140+AND+status+%3D+%22IN+REVIEW+%2880%25%29%22" TargetMode="External"/><Relationship Id="rId77" Type="http://schemas.openxmlformats.org/officeDocument/2006/relationships/hyperlink" Target="https://xrspace.atlassian.net/issues/?jql=created+%3E%3D+2025-02-01+AND+created+%3C%3D+2026-12-31+AND+type+%3D+Bug+AND+project+%3D+SOVA+AND+Sprint+%3D+2882+AND+status+%3D+%22IN+REVIEW+%2880%25%29%22" TargetMode="External"/><Relationship Id="rId100" Type="http://schemas.openxmlformats.org/officeDocument/2006/relationships/hyperlink" Target="https://xrspace.atlassian.net/issues/?jql=created+%3E%3D+2025-02-01+AND+created+%3C%3D+2026-12-31+AND+type+%3D+Bug+AND+project+%3D+SOVA+AND+Sprint+%3D+3213+AND+status+%3D+%22Done+%28100%25%29%22" TargetMode="External"/><Relationship Id="rId105" Type="http://schemas.openxmlformats.org/officeDocument/2006/relationships/hyperlink" Target="https://xrspace.atlassian.net/issues/?jql=created+%3E%3D+2025-02-01+AND+created+%3C%3D+2026-12-31+AND+type+%3D+Bug+AND+project+%3D+SOVA+AND+Sprint+%3D+3872+AND+status+%3D+%22Done+%28100%25%29%22" TargetMode="External"/><Relationship Id="rId126" Type="http://schemas.openxmlformats.org/officeDocument/2006/relationships/hyperlink" Target="https://xrspace.atlassian.net/issues/?jql=created+%3E%3D+2025-02-01+AND+created+%3C%3D+2026-12-31+AND+type+%3D+Bug+AND+project+%3D+SOVA+AND+Sprint+%3D+3608+AND+status+%3D+%22WON%27T+DO+%28100%25%29%22" TargetMode="External"/><Relationship Id="rId8" Type="http://schemas.openxmlformats.org/officeDocument/2006/relationships/hyperlink" Target="https://xrspace.atlassian.net/issues/?jql=created+%3E%3D+2025-02-01+AND+created+%3C%3D+2026-12-31+AND+type+%3D+Bug+AND+project+%3D+SOVA+AND+Sprint+%3D+1496+AND+status+%3D+%22IN+REVIEW+%2880%25%29%22" TargetMode="External"/><Relationship Id="rId51" Type="http://schemas.openxmlformats.org/officeDocument/2006/relationships/hyperlink" Target="https://xrspace.atlassian.net/issues/?jql=created+%3E%3D+2025-02-01+AND+created+%3C%3D+2026-12-31+AND+type+%3D+Bug+AND+project+%3D+SOVA+AND+Sprint+%3D+3872+AND+status+%3D+%22STARTING+%2810+%7E+40%25%29%22" TargetMode="External"/><Relationship Id="rId72" Type="http://schemas.openxmlformats.org/officeDocument/2006/relationships/hyperlink" Target="https://xrspace.atlassian.net/issues/?jql=created+%3E%3D+2025-02-01+AND+created+%3C%3D+2026-12-31+AND+type+%3D+Bug+AND+project+%3D+SOVA+AND+Sprint+%3D+1499+AND+status+%3D+%22IN+REVIEW+%2880%25%29%22" TargetMode="External"/><Relationship Id="rId93" Type="http://schemas.openxmlformats.org/officeDocument/2006/relationships/hyperlink" Target="https://xrspace.atlassian.net/issues/?jql=created+%3E%3D+2025-02-01+AND+created+%3C%3D+2026-12-31+AND+type+%3D+Bug+AND+project+%3D+SOVA+AND+Sprint+%3D+1498+AND+status+%3D+%22Done+%28100%25%29%22" TargetMode="External"/><Relationship Id="rId98" Type="http://schemas.openxmlformats.org/officeDocument/2006/relationships/hyperlink" Target="https://xrspace.atlassian.net/issues/?jql=created+%3E%3D+2025-02-01+AND+created+%3C%3D+2026-12-31+AND+type+%3D+Bug+AND+project+%3D+SOVA+AND+Sprint+%3D+2619+AND+status+%3D+%22Done+%28100%25%29%22" TargetMode="External"/><Relationship Id="rId121" Type="http://schemas.openxmlformats.org/officeDocument/2006/relationships/hyperlink" Target="https://xrspace.atlassian.net/issues/?jql=created+%3E%3D+2025-02-01+AND+created+%3C%3D+2026-12-31+AND+type+%3D+Bug+AND+project+%3D+SOVA+AND+Sprint+%3D+2882+AND+status+%3D+%22WON%27T+DO+%28100%25%29%22" TargetMode="External"/><Relationship Id="rId3" Type="http://schemas.openxmlformats.org/officeDocument/2006/relationships/hyperlink" Target="https://xrspace.atlassian.net/issues/?jql=created+%3E%3D+2025-02-01+AND+created+%3C%3D+2026-12-31+AND+type+%3D+Bug+AND+project+%3D+SOVA+AND+Sprint+%3D+1463+AND+status+%3D+%22STARTING+%2810+%7E+40%25%29%22" TargetMode="External"/><Relationship Id="rId25" Type="http://schemas.openxmlformats.org/officeDocument/2006/relationships/hyperlink" Target="https://xrspace.atlassian.net/issues/?jql=created+%3E%3D+2025-02-01+AND+created+%3C%3D+2026-12-31+AND+type+%3D+Bug+AND+project+%3D+SOVA+AND+Sprint+%3D+2618+AND+status+%3D+%22To+Do+%280%25%29%22" TargetMode="External"/><Relationship Id="rId46" Type="http://schemas.openxmlformats.org/officeDocument/2006/relationships/hyperlink" Target="https://xrspace.atlassian.net/issues/?jql=created+%3E%3D+2025-02-01+AND+created+%3C%3D+2026-12-31+AND+type+%3D+Bug+AND+project+%3D+SOVA+AND+Sprint+%3D+3608+AND+status+%3D+%22To+Do+%280%25%29%22" TargetMode="External"/><Relationship Id="rId67" Type="http://schemas.openxmlformats.org/officeDocument/2006/relationships/hyperlink" Target="https://xrspace.atlassian.net/issues/?jql=created+%3E%3D+2025-02-01+AND+created+%3C%3D+2026-12-31+AND+type+%3D+Bug+AND+project+%3D+SOVA+AND+Sprint+%3D+1463+AND+status+%3D+%22IN+REVIEW+%2880%25%29%22" TargetMode="External"/><Relationship Id="rId116" Type="http://schemas.openxmlformats.org/officeDocument/2006/relationships/hyperlink" Target="https://xrspace.atlassian.net/issues/?jql=created+%3E%3D+2025-02-01+AND+created+%3C%3D+2026-12-31+AND+type+%3D+Bug+AND+project+%3D+SOVA+AND+Sprint+%3D+1499+AND+status+%3D+%22WON%27T+DO+%28100%25%29%22" TargetMode="External"/><Relationship Id="rId20" Type="http://schemas.openxmlformats.org/officeDocument/2006/relationships/hyperlink" Target="https://xrspace.atlassian.net/issues/?jql=created+%3E%3D+2025-02-01+AND+created+%3C%3D+2026-12-31+AND+type+%3D+Bug+AND+project+%3D+SOVA+AND+Sprint+%3D+2156+AND+status+%3D+%22IN+REVIEW+%2880%25%29%22" TargetMode="External"/><Relationship Id="rId41" Type="http://schemas.openxmlformats.org/officeDocument/2006/relationships/hyperlink" Target="https://xrspace.atlassian.net/issues/?jql=created+%3E%3D+2025-02-01+AND+created+%3C%3D+2026-12-31+AND+type+%3D+Bug+AND+project+%3D+SOVA+AND+Sprint+%3D+3246+AND+status+%3D+%22IN+REVIEW+%2880%25%29%22" TargetMode="External"/><Relationship Id="rId62" Type="http://schemas.openxmlformats.org/officeDocument/2006/relationships/hyperlink" Target="https://xrspace.atlassian.net/issues/?jql=created+%3E%3D+2025-02-01+AND+created+%3C%3D+2026-12-31+AND+type+%3D+Bug+AND+project+%3D+SOVA+AND+Sprint+%3D+4477+AND+status+%3D+%22IN+REVIEW+%2880%25%29%22" TargetMode="External"/><Relationship Id="rId83" Type="http://schemas.openxmlformats.org/officeDocument/2006/relationships/hyperlink" Target="https://xrspace.atlassian.net/issues/?jql=created+%3E%3D+2025-02-01+AND+created+%3C%3D+2026-12-31+AND+type+%3D+Bug+AND+project+%3D+SOVA+AND+Sprint+%3D+3872+AND+status+%3D+%22IN+REVIEW+%2880%25%29%22" TargetMode="External"/><Relationship Id="rId88" Type="http://schemas.openxmlformats.org/officeDocument/2006/relationships/hyperlink" Target="https://xrspace.atlassian.net/issues/?jql=created+%3E%3D+2025-02-01+AND+created+%3C%3D+2026-12-31+AND+type+%3D+Bug+AND+project+%3D+SOVA+AND+Sprint+%3D+4478+AND+status+%3D+%22IN+REVIEW+%2880%25%29%22" TargetMode="External"/><Relationship Id="rId111" Type="http://schemas.openxmlformats.org/officeDocument/2006/relationships/hyperlink" Target="https://xrspace.atlassian.net/issues/?jql=created+%3E%3D+2025-02-01+AND+created+%3C%3D+2026-12-31+AND+type+%3D+Bug+AND+project+%3D+SOVA+AND+Sprint+%3D+1463+AND+status+%3D+%22WON%27T+DO+%28100%25%29%22" TargetMode="External"/><Relationship Id="rId132" Type="http://schemas.openxmlformats.org/officeDocument/2006/relationships/hyperlink" Target="https://xrspace.atlassian.net/issues/?jql=created+%3E%3D+2025-02-01+AND+created+%3C%3D+2026-12-31+AND+type+%3D+Bug+AND+project+%3D+SOVA+AND+Sprint+%3D+4478+AND+status+%3D+%22WON%27T+DO+%28100%25%29%22" TargetMode="External"/><Relationship Id="rId15" Type="http://schemas.openxmlformats.org/officeDocument/2006/relationships/hyperlink" Target="https://xrspace.atlassian.net/issues/?jql=created+%3E%3D+2025-02-01+AND+created+%3C%3D+2026-12-31+AND+type+%3D+Bug+AND+project+%3D+SOVA+AND+Sprint+%3D+1498+AND+status+%3D+%22STARTING+%2810+%7E+40%25%29%22" TargetMode="External"/><Relationship Id="rId36" Type="http://schemas.openxmlformats.org/officeDocument/2006/relationships/hyperlink" Target="https://xrspace.atlassian.net/issues/?jql=created+%3E%3D+2025-02-01+AND+created+%3C%3D+2026-12-31+AND+type+%3D+Bug+AND+project+%3D+SOVA+AND+Sprint+%3D+3213+AND+status+%3D+%22STARTING+%2810+%7E+40%25%29%22" TargetMode="External"/><Relationship Id="rId57" Type="http://schemas.openxmlformats.org/officeDocument/2006/relationships/hyperlink" Target="https://xrspace.atlassian.net/issues/?jql=created+%3E%3D+2025-02-01+AND+created+%3C%3D+2026-12-31+AND+type+%3D+Bug+AND+project+%3D+SOVA+AND+Sprint+%3D+4140+AND+status+%3D+%22STARTING+%2810+%7E+40%25%29%22" TargetMode="External"/><Relationship Id="rId106" Type="http://schemas.openxmlformats.org/officeDocument/2006/relationships/hyperlink" Target="https://xrspace.atlassian.net/issues/?jql=created+%3E%3D+2025-02-01+AND+created+%3C%3D+2026-12-31+AND+type+%3D+Bug+AND+project+%3D+SOVA+AND+Sprint+%3D+3873+AND+status+%3D+%22Done+%28100%25%29%22" TargetMode="External"/><Relationship Id="rId127" Type="http://schemas.openxmlformats.org/officeDocument/2006/relationships/hyperlink" Target="https://xrspace.atlassian.net/issues/?jql=created+%3E%3D+2025-02-01+AND+created+%3C%3D+2026-12-31+AND+type+%3D+Bug+AND+project+%3D+SOVA+AND+Sprint+%3D+3872+AND+status+%3D+%22WON%27T+DO+%28100%25%29%22" TargetMode="External"/><Relationship Id="rId10" Type="http://schemas.openxmlformats.org/officeDocument/2006/relationships/hyperlink" Target="https://xrspace.atlassian.net/issues/?jql=created+%3E%3D+2025-02-01+AND+created+%3C%3D+2026-12-31+AND+type+%3D+Bug+AND+project+%3D+SOVA+AND+Sprint+%3D+1497+AND+status+%3D+%22To+Do+%280%25%29%22" TargetMode="External"/><Relationship Id="rId31" Type="http://schemas.openxmlformats.org/officeDocument/2006/relationships/hyperlink" Target="https://xrspace.atlassian.net/issues/?jql=created+%3E%3D+2025-02-01+AND+created+%3C%3D+2026-12-31+AND+type+%3D+Bug+AND+project+%3D+SOVA+AND+Sprint+%3D+2882+AND+status+%3D+%22To+Do+%280%25%29%22" TargetMode="External"/><Relationship Id="rId52" Type="http://schemas.openxmlformats.org/officeDocument/2006/relationships/hyperlink" Target="https://xrspace.atlassian.net/issues/?jql=created+%3E%3D+2025-02-01+AND+created+%3C%3D+2026-12-31+AND+type+%3D+Bug+AND+project+%3D+SOVA+AND+Sprint+%3D+3873+AND+status+%3D+%22To+Do+%280%25%29%22" TargetMode="External"/><Relationship Id="rId73" Type="http://schemas.openxmlformats.org/officeDocument/2006/relationships/hyperlink" Target="https://xrspace.atlassian.net/issues/?jql=created+%3E%3D+2025-02-01+AND+created+%3C%3D+2026-12-31+AND+type+%3D+Bug+AND+project+%3D+SOVA+AND+Sprint+%3D+2156+AND+status+%3D+%22IN+REVIEW+%2880%25%29%22" TargetMode="External"/><Relationship Id="rId78" Type="http://schemas.openxmlformats.org/officeDocument/2006/relationships/hyperlink" Target="https://xrspace.atlassian.net/issues/?jql=created+%3E%3D+2025-02-01+AND+created+%3C%3D+2026-12-31+AND+type+%3D+Bug+AND+project+%3D+SOVA+AND+Sprint+%3D+3213+AND+status+%3D+%22IN+REVIEW+%2880%25%29%22" TargetMode="External"/><Relationship Id="rId94" Type="http://schemas.openxmlformats.org/officeDocument/2006/relationships/hyperlink" Target="https://xrspace.atlassian.net/issues/?jql=created+%3E%3D+2025-02-01+AND+created+%3C%3D+2026-12-31+AND+type+%3D+Bug+AND+project+%3D+SOVA+AND+Sprint+%3D+1499+AND+status+%3D+%22Done+%28100%25%29%22" TargetMode="External"/><Relationship Id="rId99" Type="http://schemas.openxmlformats.org/officeDocument/2006/relationships/hyperlink" Target="https://xrspace.atlassian.net/issues/?jql=created+%3E%3D+2025-02-01+AND+created+%3C%3D+2026-12-31+AND+type+%3D+Bug+AND+project+%3D+SOVA+AND+Sprint+%3D+2882+AND+status+%3D+%22Done+%28100%25%29%22" TargetMode="External"/><Relationship Id="rId101" Type="http://schemas.openxmlformats.org/officeDocument/2006/relationships/hyperlink" Target="https://xrspace.atlassian.net/issues/?jql=created+%3E%3D+2025-02-01+AND+created+%3C%3D+2026-12-31+AND+type+%3D+Bug+AND+project+%3D+SOVA+AND+Sprint+%3D+3245+AND+status+%3D+%22Done+%28100%25%29%22" TargetMode="External"/><Relationship Id="rId122" Type="http://schemas.openxmlformats.org/officeDocument/2006/relationships/hyperlink" Target="https://xrspace.atlassian.net/issues/?jql=created+%3E%3D+2025-02-01+AND+created+%3C%3D+2026-12-31+AND+type+%3D+Bug+AND+project+%3D+SOVA+AND+Sprint+%3D+3213+AND+status+%3D+%22WON%27T+DO+%28100%25%29%22" TargetMode="External"/><Relationship Id="rId4" Type="http://schemas.openxmlformats.org/officeDocument/2006/relationships/hyperlink" Target="https://xrspace.atlassian.net/issues/?jql=created+%3E%3D+2025-02-01+AND+created+%3C%3D+2026-12-31+AND+type+%3D+Bug+AND+project+%3D+SOVA+AND+Sprint+%3D+1466+AND+status+%3D+%22To+Do+%280%25%29%22" TargetMode="External"/><Relationship Id="rId9" Type="http://schemas.openxmlformats.org/officeDocument/2006/relationships/hyperlink" Target="https://xrspace.atlassian.net/issues/?jql=created+%3E%3D+2025-02-01+AND+created+%3C%3D+2026-12-31+AND+type+%3D+Bug+AND+project+%3D+SOVA+AND+Sprint+%3D+1496+AND+status+%3D+%22STARTING+%2810+%7E+40%25%29%22" TargetMode="External"/><Relationship Id="rId26" Type="http://schemas.openxmlformats.org/officeDocument/2006/relationships/hyperlink" Target="https://xrspace.atlassian.net/issues/?jql=created+%3E%3D+2025-02-01+AND+created+%3C%3D+2026-12-31+AND+type+%3D+Bug+AND+project+%3D+SOVA+AND+Sprint+%3D+2618+AND+status+%3D+%22IN+REVIEW+%2880%25%29%22" TargetMode="External"/><Relationship Id="rId47" Type="http://schemas.openxmlformats.org/officeDocument/2006/relationships/hyperlink" Target="https://xrspace.atlassian.net/issues/?jql=created+%3E%3D+2025-02-01+AND+created+%3C%3D+2026-12-31+AND+type+%3D+Bug+AND+project+%3D+SOVA+AND+Sprint+%3D+3608+AND+status+%3D+%22IN+REVIEW+%2880%25%29%22" TargetMode="External"/><Relationship Id="rId68" Type="http://schemas.openxmlformats.org/officeDocument/2006/relationships/hyperlink" Target="https://xrspace.atlassian.net/issues/?jql=created+%3E%3D+2025-02-01+AND+created+%3C%3D+2026-12-31+AND+type+%3D+Bug+AND+project+%3D+SOVA+AND+Sprint+%3D+1466+AND+status+%3D+%22IN+REVIEW+%2880%25%29%22" TargetMode="External"/><Relationship Id="rId89" Type="http://schemas.openxmlformats.org/officeDocument/2006/relationships/hyperlink" Target="https://xrspace.atlassian.net/issues/?jql=created+%3E%3D+2025-02-01+AND+created+%3C%3D+2026-12-31+AND+type+%3D+Bug+AND+project+%3D+SOVA+AND+Sprint+%3D+1463+AND+status+%3D+%22Done+%28100%25%29%22" TargetMode="External"/><Relationship Id="rId112" Type="http://schemas.openxmlformats.org/officeDocument/2006/relationships/hyperlink" Target="https://xrspace.atlassian.net/issues/?jql=created+%3E%3D+2025-02-01+AND+created+%3C%3D+2026-12-31+AND+type+%3D+Bug+AND+project+%3D+SOVA+AND+Sprint+%3D+1466+AND+status+%3D+%22WON%27T+DO+%28100%25%29%22" TargetMode="External"/><Relationship Id="rId133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4"/>
  <sheetViews>
    <sheetView zoomScaleNormal="100" workbookViewId="0">
      <selection activeCell="F22" sqref="F22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48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1.95" customHeight="1">
      <c r="A2" t="s">
        <v>82</v>
      </c>
      <c r="B2">
        <v>2</v>
      </c>
      <c r="C2">
        <v>1</v>
      </c>
      <c r="D2">
        <v>115</v>
      </c>
      <c r="E2">
        <f>SUM(Table2[[#This Row],[Done]:[TODO (P1)]])</f>
        <v>118</v>
      </c>
    </row>
    <row r="3" spans="1:5" ht="21.95" customHeight="1">
      <c r="A3" t="s">
        <v>83</v>
      </c>
      <c r="B3">
        <v>3</v>
      </c>
      <c r="C3">
        <v>1</v>
      </c>
      <c r="D3">
        <v>114</v>
      </c>
      <c r="E3">
        <f>SUM(Table2[[#This Row],[Done]:[TODO (P1)]])</f>
        <v>118</v>
      </c>
    </row>
    <row r="4" spans="1:5" ht="21.95" customHeight="1">
      <c r="A4" t="s">
        <v>84</v>
      </c>
      <c r="B4">
        <v>3</v>
      </c>
      <c r="C4">
        <v>6</v>
      </c>
      <c r="D4">
        <v>109</v>
      </c>
      <c r="E4">
        <f>SUM(Table2[[#This Row],[Done]:[TODO (P1)]])</f>
        <v>118</v>
      </c>
    </row>
    <row r="5" spans="1:5" ht="21.95" customHeight="1">
      <c r="A5" t="s">
        <v>85</v>
      </c>
      <c r="B5">
        <v>4</v>
      </c>
      <c r="C5">
        <v>6</v>
      </c>
      <c r="D5">
        <v>108</v>
      </c>
      <c r="E5">
        <f>SUM(Table2[[#This Row],[Done]:[TODO (P1)]])</f>
        <v>118</v>
      </c>
    </row>
    <row r="6" spans="1:5" ht="21.95" customHeight="1">
      <c r="A6" t="s">
        <v>86</v>
      </c>
      <c r="B6">
        <v>8</v>
      </c>
      <c r="C6">
        <v>6</v>
      </c>
      <c r="D6">
        <v>104</v>
      </c>
      <c r="E6">
        <f>SUM(Table2[[#This Row],[Done]:[TODO (P1)]])</f>
        <v>118</v>
      </c>
    </row>
    <row r="7" spans="1:5" ht="21.95" customHeight="1">
      <c r="A7" t="s">
        <v>87</v>
      </c>
      <c r="B7">
        <v>10</v>
      </c>
      <c r="C7">
        <v>10</v>
      </c>
      <c r="D7">
        <v>228</v>
      </c>
      <c r="E7">
        <f>SUM(Table2[[#This Row],[Done]:[TODO (P1)]])</f>
        <v>248</v>
      </c>
    </row>
    <row r="8" spans="1:5" ht="21.95" customHeight="1">
      <c r="A8" t="s">
        <v>88</v>
      </c>
      <c r="B8">
        <v>12</v>
      </c>
      <c r="C8">
        <v>12</v>
      </c>
      <c r="D8">
        <v>224</v>
      </c>
      <c r="E8">
        <f>SUM(Table2[[#This Row],[Done]:[TODO (P1)]])</f>
        <v>248</v>
      </c>
    </row>
    <row r="9" spans="1:5" ht="21.95" customHeight="1">
      <c r="A9" t="s">
        <v>89</v>
      </c>
      <c r="B9">
        <v>15</v>
      </c>
      <c r="C9">
        <v>13</v>
      </c>
      <c r="D9">
        <v>220</v>
      </c>
      <c r="E9">
        <f>SUM(Table2[[#This Row],[Done]:[TODO (P1)]])</f>
        <v>248</v>
      </c>
    </row>
    <row r="10" spans="1:5" ht="21.95" customHeight="1">
      <c r="A10" t="s">
        <v>90</v>
      </c>
      <c r="B10">
        <v>15</v>
      </c>
      <c r="C10">
        <v>14</v>
      </c>
      <c r="D10">
        <v>219</v>
      </c>
      <c r="E10">
        <f>SUM(Table2[[#This Row],[Done]:[TODO (P1)]])</f>
        <v>248</v>
      </c>
    </row>
    <row r="11" spans="1:5" ht="21.95" customHeight="1">
      <c r="A11" t="s">
        <v>69</v>
      </c>
      <c r="B11">
        <v>12</v>
      </c>
      <c r="C11">
        <v>11</v>
      </c>
      <c r="D11">
        <v>173</v>
      </c>
      <c r="E11">
        <f>SUM(Table2[[#This Row],[Done]:[TODO (P1)]])</f>
        <v>196</v>
      </c>
    </row>
    <row r="12" spans="1:5" ht="21.95" customHeight="1">
      <c r="A12" t="s">
        <v>70</v>
      </c>
      <c r="B12">
        <v>13</v>
      </c>
      <c r="C12">
        <v>11</v>
      </c>
      <c r="D12">
        <v>172</v>
      </c>
      <c r="E12" s="12">
        <f>SUM(Table2[[#This Row],[Done]:[TODO (P1)]])</f>
        <v>196</v>
      </c>
    </row>
    <row r="13" spans="1:5" ht="21.95" customHeight="1">
      <c r="A13" t="s">
        <v>71</v>
      </c>
      <c r="B13">
        <v>15</v>
      </c>
      <c r="C13">
        <v>12</v>
      </c>
      <c r="D13">
        <v>168</v>
      </c>
      <c r="E13" s="12">
        <f>SUM(Table2[[#This Row],[Done]:[TODO (P1)]])</f>
        <v>195</v>
      </c>
    </row>
    <row r="14" spans="1:5" ht="21.95" customHeight="1">
      <c r="A14" t="s">
        <v>72</v>
      </c>
      <c r="B14">
        <v>18</v>
      </c>
      <c r="C14">
        <v>11</v>
      </c>
      <c r="D14">
        <v>166</v>
      </c>
      <c r="E14" s="12">
        <f>SUM(Table2[[#This Row],[Done]:[TODO (P1)]])</f>
        <v>195</v>
      </c>
    </row>
    <row r="15" spans="1:5" ht="21.95" customHeight="1">
      <c r="A15" t="s">
        <v>73</v>
      </c>
      <c r="B15">
        <v>21</v>
      </c>
      <c r="C15">
        <v>14</v>
      </c>
      <c r="D15">
        <v>160</v>
      </c>
      <c r="E15" s="12">
        <f>SUM(Table2[[#This Row],[Done]:[TODO (P1)]])</f>
        <v>195</v>
      </c>
    </row>
    <row r="16" spans="1:5" ht="21.95" customHeight="1">
      <c r="A16" t="s">
        <v>74</v>
      </c>
      <c r="B16">
        <v>22</v>
      </c>
      <c r="C16">
        <v>14</v>
      </c>
      <c r="D16">
        <v>160</v>
      </c>
      <c r="E16" s="12">
        <f>SUM(Table2[[#This Row],[Done]:[TODO (P1)]])</f>
        <v>196</v>
      </c>
    </row>
    <row r="17" spans="1:5" ht="21.95" customHeight="1">
      <c r="A17" t="s">
        <v>75</v>
      </c>
      <c r="B17">
        <v>25</v>
      </c>
      <c r="C17">
        <v>10</v>
      </c>
      <c r="D17">
        <v>161</v>
      </c>
      <c r="E17" s="12">
        <f>SUM(Table2[[#This Row],[Done]:[TODO (P1)]])</f>
        <v>196</v>
      </c>
    </row>
    <row r="18" spans="1:5" ht="21.95" customHeight="1">
      <c r="A18" t="s">
        <v>77</v>
      </c>
      <c r="B18">
        <v>28</v>
      </c>
      <c r="C18">
        <v>8</v>
      </c>
      <c r="D18">
        <v>160</v>
      </c>
      <c r="E18" s="12">
        <f>SUM(Table2[[#This Row],[Done]:[TODO (P1)]])</f>
        <v>196</v>
      </c>
    </row>
    <row r="19" spans="1:5" ht="21.95" customHeight="1">
      <c r="A19" t="s">
        <v>78</v>
      </c>
      <c r="B19">
        <v>30</v>
      </c>
      <c r="C19">
        <v>6</v>
      </c>
      <c r="D19">
        <v>160</v>
      </c>
      <c r="E19" s="12">
        <f>SUM(Table2[[#This Row],[Done]:[TODO (P1)]])</f>
        <v>196</v>
      </c>
    </row>
    <row r="20" spans="1:5" ht="21.95" customHeight="1">
      <c r="A20" t="s">
        <v>79</v>
      </c>
      <c r="B20">
        <v>32</v>
      </c>
      <c r="C20">
        <v>5</v>
      </c>
      <c r="D20">
        <v>160</v>
      </c>
      <c r="E20" s="12">
        <f>SUM(Table2[[#This Row],[Done]:[TODO (P1)]])</f>
        <v>197</v>
      </c>
    </row>
    <row r="21" spans="1:5" ht="21.95" customHeight="1">
      <c r="A21" t="s">
        <v>80</v>
      </c>
      <c r="B21">
        <v>32</v>
      </c>
      <c r="C21">
        <v>5</v>
      </c>
      <c r="D21">
        <v>160</v>
      </c>
      <c r="E21" s="12">
        <f>SUM(Table2[[#This Row],[Done]:[TODO (P1)]])</f>
        <v>197</v>
      </c>
    </row>
    <row r="22" spans="1:5" ht="21.95" customHeight="1">
      <c r="A22" t="s">
        <v>68</v>
      </c>
      <c r="B22">
        <v>32</v>
      </c>
      <c r="C22">
        <v>3</v>
      </c>
      <c r="D22">
        <v>162</v>
      </c>
      <c r="E22" s="12">
        <f>SUM(Table2[[#This Row],[Done]:[TODO (P1)]])</f>
        <v>197</v>
      </c>
    </row>
    <row r="23" spans="1:5" ht="21.95" customHeight="1">
      <c r="A23" t="s">
        <v>81</v>
      </c>
      <c r="B23">
        <v>32</v>
      </c>
      <c r="C23">
        <v>3</v>
      </c>
      <c r="D23">
        <v>162</v>
      </c>
      <c r="E23" s="12">
        <f>SUM(Table2[[#This Row],[Done]:[TODO (P1)]])</f>
        <v>197</v>
      </c>
    </row>
    <row r="24" spans="1:5" ht="21.95" customHeight="1">
      <c r="A24" t="s">
        <v>98</v>
      </c>
      <c r="B24">
        <v>32</v>
      </c>
      <c r="C24">
        <v>3</v>
      </c>
      <c r="D24">
        <v>162</v>
      </c>
      <c r="E24" s="12">
        <f>SUM(Table2[[#This Row],[Done]:[TODO (P1)]])</f>
        <v>197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6"/>
  <sheetViews>
    <sheetView tabSelected="1" zoomScaleNormal="100" workbookViewId="0">
      <selection activeCell="A17" sqref="A17:XFD17"/>
    </sheetView>
  </sheetViews>
  <sheetFormatPr defaultColWidth="11.5546875" defaultRowHeight="15"/>
  <cols>
    <col min="1" max="1" width="15.77734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38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1.95" customHeight="1">
      <c r="A2" t="s">
        <v>4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SUM(B2:G2)</f>
        <v>442</v>
      </c>
    </row>
    <row r="3" spans="1:8" ht="21.95" customHeight="1">
      <c r="A3" t="s">
        <v>5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 t="shared" ref="H3:H8" si="0">SUM(B3:G3)</f>
        <v>414</v>
      </c>
    </row>
    <row r="4" spans="1:8" ht="21.95" customHeight="1">
      <c r="A4" t="s">
        <v>6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 t="shared" si="0"/>
        <v>1211</v>
      </c>
    </row>
    <row r="5" spans="1:8" ht="21.95" customHeight="1">
      <c r="A5" t="s">
        <v>7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 t="shared" si="0"/>
        <v>2596</v>
      </c>
    </row>
    <row r="6" spans="1:8" ht="21.95" customHeight="1">
      <c r="A6" t="s">
        <v>8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 t="shared" si="0"/>
        <v>2266</v>
      </c>
    </row>
    <row r="7" spans="1:8" ht="21.95" customHeight="1">
      <c r="A7" t="s">
        <v>9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 t="shared" si="0"/>
        <v>2723</v>
      </c>
    </row>
    <row r="8" spans="1:8" ht="21.95" customHeight="1">
      <c r="A8" t="s">
        <v>10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 t="shared" si="0"/>
        <v>2531</v>
      </c>
    </row>
    <row r="9" spans="1:8" ht="21.95" customHeight="1">
      <c r="A9" t="s">
        <v>49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SUM(B9:G9)</f>
        <v>1401</v>
      </c>
    </row>
    <row r="10" spans="1:8" ht="21.95" customHeight="1">
      <c r="A10" t="s">
        <v>54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SUM(B10:G10)</f>
        <v>1273</v>
      </c>
    </row>
    <row r="11" spans="1:8" ht="21.95" customHeight="1">
      <c r="A11" t="s">
        <v>55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 t="shared" ref="H11:H15" si="1">SUM(B11:G11)</f>
        <v>1341</v>
      </c>
    </row>
    <row r="12" spans="1:8" ht="21.95" customHeight="1">
      <c r="A12" t="s">
        <v>58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 t="shared" si="1"/>
        <v>1485</v>
      </c>
    </row>
    <row r="13" spans="1:8" ht="21.95" customHeight="1">
      <c r="A13" t="s">
        <v>59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 t="shared" si="1"/>
        <v>2037</v>
      </c>
    </row>
    <row r="14" spans="1:8" ht="21.95" customHeight="1">
      <c r="A14" t="s">
        <v>61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 t="shared" si="1"/>
        <v>1761</v>
      </c>
    </row>
    <row r="15" spans="1:8" ht="21.95" customHeight="1">
      <c r="A15" t="s">
        <v>64</v>
      </c>
      <c r="B15">
        <v>1892</v>
      </c>
      <c r="C15">
        <v>0</v>
      </c>
      <c r="D15">
        <v>9</v>
      </c>
      <c r="E15">
        <v>0</v>
      </c>
      <c r="F15">
        <v>3</v>
      </c>
      <c r="G15">
        <v>0</v>
      </c>
      <c r="H15">
        <f t="shared" si="1"/>
        <v>1904</v>
      </c>
    </row>
    <row r="16" spans="1:8" ht="21.95" customHeight="1">
      <c r="A16" t="s">
        <v>65</v>
      </c>
      <c r="B16">
        <v>1642</v>
      </c>
      <c r="C16">
        <v>8</v>
      </c>
      <c r="D16">
        <v>3</v>
      </c>
      <c r="E16">
        <v>0</v>
      </c>
      <c r="F16">
        <v>23</v>
      </c>
      <c r="G16">
        <v>0</v>
      </c>
      <c r="H16">
        <f t="shared" ref="H16" si="2">SUM(B16:G16)</f>
        <v>1676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29"/>
  <sheetViews>
    <sheetView topLeftCell="A4" zoomScaleNormal="100" workbookViewId="0">
      <selection activeCell="J26" sqref="J26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38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0.100000000000001" customHeight="1">
      <c r="A2" s="3" t="s">
        <v>91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92</v>
      </c>
    </row>
    <row r="4" spans="1:8" ht="20.100000000000001" customHeight="1">
      <c r="A4" s="3" t="s">
        <v>93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94</v>
      </c>
    </row>
    <row r="6" spans="1:8" ht="20.100000000000001" customHeight="1">
      <c r="A6" s="3" t="s">
        <v>82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83</v>
      </c>
    </row>
    <row r="8" spans="1:8" ht="20.100000000000001" customHeight="1">
      <c r="A8" s="3" t="s">
        <v>84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85</v>
      </c>
    </row>
    <row r="10" spans="1:8" ht="20.100000000000001" customHeight="1">
      <c r="A10" s="3" t="s">
        <v>86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87</v>
      </c>
    </row>
    <row r="12" spans="1:8" ht="20.100000000000001" customHeight="1">
      <c r="A12" s="3" t="s">
        <v>88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89</v>
      </c>
    </row>
    <row r="14" spans="1:8" ht="20.100000000000001" customHeight="1">
      <c r="A14" s="3" t="s">
        <v>90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69</v>
      </c>
      <c r="H15" s="12"/>
    </row>
    <row r="16" spans="1:8" ht="20.100000000000001" customHeight="1">
      <c r="A16" s="3" t="s">
        <v>70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2">
        <f>SUM(Table3[[#This Row],[Passed]:[Untested]])</f>
        <v>259</v>
      </c>
    </row>
    <row r="17" spans="1:8" ht="20.100000000000001" customHeight="1">
      <c r="A17" s="3" t="s">
        <v>71</v>
      </c>
      <c r="H17" s="12"/>
    </row>
    <row r="18" spans="1:8" ht="20.100000000000001" customHeight="1">
      <c r="A18" s="3" t="s">
        <v>72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2">
        <f>SUM(Table3[[#This Row],[Passed]:[Untested]])</f>
        <v>285</v>
      </c>
    </row>
    <row r="19" spans="1:8" ht="20.100000000000001" customHeight="1">
      <c r="A19" s="3" t="s">
        <v>73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2">
        <f>SUM(Table3[[#This Row],[Passed]:[Untested]])</f>
        <v>162</v>
      </c>
    </row>
    <row r="20" spans="1:8" ht="20.100000000000001" customHeight="1">
      <c r="A20" s="3" t="s">
        <v>74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2">
        <f>SUM(Table3[[#This Row],[Passed]:[Untested]])</f>
        <v>246</v>
      </c>
    </row>
    <row r="21" spans="1:8" ht="20.100000000000001" customHeight="1">
      <c r="A21" s="3" t="s">
        <v>75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2">
        <f>SUM(Table3[[#This Row],[Passed]:[Untested]])</f>
        <v>303</v>
      </c>
    </row>
    <row r="22" spans="1:8" ht="20.100000000000001" customHeight="1">
      <c r="A22" s="3" t="s">
        <v>76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2">
        <f>SUM(Table3[[#This Row],[Passed]:[Untested]])</f>
        <v>331</v>
      </c>
    </row>
    <row r="23" spans="1:8" ht="20.100000000000001" customHeight="1">
      <c r="A23" s="3" t="s">
        <v>77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2">
        <f>SUM(Table3[[#This Row],[Passed]:[Untested]])</f>
        <v>279</v>
      </c>
    </row>
    <row r="24" spans="1:8" ht="20.100000000000001" customHeight="1">
      <c r="A24" s="3" t="s">
        <v>78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2">
        <f>SUM(Table3[[#This Row],[Passed]:[Untested]])</f>
        <v>362</v>
      </c>
    </row>
    <row r="25" spans="1:8" ht="20.100000000000001" customHeight="1">
      <c r="A25" s="3" t="s">
        <v>79</v>
      </c>
      <c r="B25">
        <v>351</v>
      </c>
      <c r="C25">
        <v>3</v>
      </c>
      <c r="D25">
        <v>8</v>
      </c>
      <c r="E25">
        <v>1</v>
      </c>
      <c r="F25">
        <v>15</v>
      </c>
      <c r="G25">
        <v>0</v>
      </c>
      <c r="H25" s="12">
        <f>SUM(Table3[[#This Row],[Passed]:[Untested]])</f>
        <v>378</v>
      </c>
    </row>
    <row r="26" spans="1:8" ht="20.100000000000001" customHeight="1">
      <c r="A26" s="3" t="s">
        <v>80</v>
      </c>
      <c r="B26">
        <v>142</v>
      </c>
      <c r="C26">
        <v>0</v>
      </c>
      <c r="D26">
        <v>0</v>
      </c>
      <c r="E26">
        <v>0</v>
      </c>
      <c r="F26">
        <v>6</v>
      </c>
      <c r="G26">
        <v>0</v>
      </c>
      <c r="H26" s="12">
        <f>SUM(Table3[[#This Row],[Passed]:[Untested]])</f>
        <v>148</v>
      </c>
    </row>
    <row r="27" spans="1:8" ht="20.100000000000001" customHeight="1">
      <c r="A27" s="3" t="s">
        <v>68</v>
      </c>
      <c r="B27">
        <v>442</v>
      </c>
      <c r="C27">
        <v>8</v>
      </c>
      <c r="D27">
        <v>10</v>
      </c>
      <c r="E27">
        <v>1</v>
      </c>
      <c r="F27">
        <v>16</v>
      </c>
      <c r="G27">
        <v>0</v>
      </c>
      <c r="H27" s="12">
        <f>SUM(Table3[[#This Row],[Passed]:[Untested]])</f>
        <v>477</v>
      </c>
    </row>
    <row r="28" spans="1:8" ht="20.100000000000001" customHeight="1">
      <c r="A28" s="3" t="s">
        <v>81</v>
      </c>
      <c r="B28">
        <v>518</v>
      </c>
      <c r="C28">
        <v>4</v>
      </c>
      <c r="D28">
        <v>9</v>
      </c>
      <c r="E28">
        <v>8</v>
      </c>
      <c r="F28">
        <v>3</v>
      </c>
      <c r="G28">
        <v>0</v>
      </c>
      <c r="H28" s="12">
        <f>SUM(B28:G28)</f>
        <v>542</v>
      </c>
    </row>
    <row r="29" spans="1:8" ht="20.100000000000001" customHeight="1">
      <c r="A29" s="3" t="s">
        <v>98</v>
      </c>
      <c r="B29">
        <v>55</v>
      </c>
      <c r="C29">
        <v>0</v>
      </c>
      <c r="D29">
        <v>0</v>
      </c>
      <c r="E29">
        <v>0</v>
      </c>
      <c r="F29">
        <v>0</v>
      </c>
      <c r="G29">
        <v>432</v>
      </c>
      <c r="H29" s="12">
        <f>SUM(B29:G29)</f>
        <v>487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4"/>
  <sheetViews>
    <sheetView zoomScaleNormal="100" workbookViewId="0">
      <selection activeCell="E26" sqref="E26"/>
    </sheetView>
  </sheetViews>
  <sheetFormatPr defaultColWidth="11.5546875" defaultRowHeight="15"/>
  <cols>
    <col min="1" max="1" width="10.66406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26</v>
      </c>
      <c r="B1" s="3" t="s">
        <v>18</v>
      </c>
      <c r="C1" s="3" t="s">
        <v>47</v>
      </c>
      <c r="D1" s="3" t="s">
        <v>17</v>
      </c>
      <c r="E1" s="3" t="s">
        <v>50</v>
      </c>
      <c r="F1" s="3" t="s">
        <v>51</v>
      </c>
      <c r="G1" s="3" t="s">
        <v>1</v>
      </c>
      <c r="H1" s="3" t="s">
        <v>3</v>
      </c>
    </row>
    <row r="2" spans="1:8">
      <c r="A2" t="s">
        <v>19</v>
      </c>
      <c r="B2">
        <v>8</v>
      </c>
      <c r="C2">
        <v>0</v>
      </c>
      <c r="D2">
        <v>0</v>
      </c>
      <c r="E2">
        <v>0</v>
      </c>
      <c r="F2">
        <v>0</v>
      </c>
      <c r="G2">
        <v>93</v>
      </c>
      <c r="H2">
        <v>93</v>
      </c>
    </row>
    <row r="3" spans="1:8">
      <c r="A3" t="s">
        <v>20</v>
      </c>
      <c r="B3">
        <v>7</v>
      </c>
      <c r="C3">
        <v>0</v>
      </c>
      <c r="D3">
        <v>0</v>
      </c>
      <c r="E3">
        <v>0</v>
      </c>
      <c r="F3">
        <v>0</v>
      </c>
      <c r="G3">
        <v>59</v>
      </c>
      <c r="H3">
        <v>59</v>
      </c>
    </row>
    <row r="4" spans="1:8">
      <c r="A4" t="s">
        <v>21</v>
      </c>
      <c r="B4">
        <v>25</v>
      </c>
      <c r="C4">
        <v>0</v>
      </c>
      <c r="D4">
        <v>0</v>
      </c>
      <c r="E4">
        <v>0</v>
      </c>
      <c r="F4">
        <v>0</v>
      </c>
      <c r="G4">
        <v>168</v>
      </c>
      <c r="H4">
        <v>168</v>
      </c>
    </row>
    <row r="5" spans="1:8">
      <c r="A5" t="s">
        <v>22</v>
      </c>
      <c r="B5">
        <v>30</v>
      </c>
      <c r="C5">
        <v>0</v>
      </c>
      <c r="D5">
        <v>0</v>
      </c>
      <c r="E5">
        <v>0</v>
      </c>
      <c r="F5">
        <v>0</v>
      </c>
      <c r="G5">
        <v>157</v>
      </c>
      <c r="H5">
        <v>156</v>
      </c>
    </row>
    <row r="6" spans="1:8">
      <c r="A6" t="s">
        <v>23</v>
      </c>
      <c r="B6">
        <v>13</v>
      </c>
      <c r="C6">
        <v>1</v>
      </c>
      <c r="D6">
        <v>0</v>
      </c>
      <c r="E6">
        <v>0</v>
      </c>
      <c r="F6">
        <v>0</v>
      </c>
      <c r="G6">
        <v>77</v>
      </c>
      <c r="H6">
        <v>77</v>
      </c>
    </row>
    <row r="7" spans="1:8">
      <c r="A7" t="s">
        <v>24</v>
      </c>
      <c r="B7">
        <v>15</v>
      </c>
      <c r="C7">
        <v>0</v>
      </c>
      <c r="D7">
        <v>1</v>
      </c>
      <c r="E7">
        <v>0</v>
      </c>
      <c r="F7">
        <v>0</v>
      </c>
      <c r="G7">
        <v>61</v>
      </c>
      <c r="H7">
        <v>61</v>
      </c>
    </row>
    <row r="8" spans="1:8">
      <c r="A8" t="s">
        <v>25</v>
      </c>
      <c r="B8">
        <v>7</v>
      </c>
      <c r="C8">
        <v>0</v>
      </c>
      <c r="D8">
        <v>0</v>
      </c>
      <c r="E8">
        <v>0</v>
      </c>
      <c r="F8">
        <v>0</v>
      </c>
      <c r="G8">
        <v>46</v>
      </c>
      <c r="H8">
        <v>46</v>
      </c>
    </row>
    <row r="9" spans="1:8">
      <c r="A9" t="s">
        <v>4</v>
      </c>
      <c r="B9">
        <v>17</v>
      </c>
      <c r="C9">
        <v>0</v>
      </c>
      <c r="D9">
        <v>2</v>
      </c>
      <c r="E9">
        <v>0</v>
      </c>
      <c r="F9">
        <v>0</v>
      </c>
      <c r="G9">
        <v>43</v>
      </c>
      <c r="H9">
        <v>43</v>
      </c>
    </row>
    <row r="10" spans="1:8">
      <c r="A10" t="s">
        <v>5</v>
      </c>
      <c r="B10">
        <v>17</v>
      </c>
      <c r="C10">
        <v>0</v>
      </c>
      <c r="D10">
        <v>1</v>
      </c>
      <c r="E10">
        <v>0</v>
      </c>
      <c r="F10">
        <v>0</v>
      </c>
      <c r="G10">
        <v>33</v>
      </c>
      <c r="H10">
        <v>33</v>
      </c>
    </row>
    <row r="11" spans="1:8">
      <c r="A11" t="s">
        <v>6</v>
      </c>
      <c r="B11">
        <v>26</v>
      </c>
      <c r="C11">
        <v>0</v>
      </c>
      <c r="D11">
        <v>0</v>
      </c>
      <c r="E11">
        <v>0</v>
      </c>
      <c r="F11">
        <v>0</v>
      </c>
      <c r="G11">
        <v>25</v>
      </c>
      <c r="H11">
        <v>25</v>
      </c>
    </row>
    <row r="12" spans="1:8">
      <c r="A12" t="s">
        <v>7</v>
      </c>
      <c r="B12">
        <v>14</v>
      </c>
      <c r="C12">
        <v>0</v>
      </c>
      <c r="D12">
        <v>0</v>
      </c>
      <c r="E12">
        <v>0</v>
      </c>
      <c r="F12">
        <v>0</v>
      </c>
      <c r="G12">
        <v>56</v>
      </c>
      <c r="H12">
        <v>56</v>
      </c>
    </row>
    <row r="13" spans="1:8">
      <c r="A13" t="s">
        <v>8</v>
      </c>
      <c r="B13">
        <v>10</v>
      </c>
      <c r="C13">
        <v>0</v>
      </c>
      <c r="D13">
        <v>0</v>
      </c>
      <c r="E13">
        <v>0</v>
      </c>
      <c r="F13">
        <v>0</v>
      </c>
      <c r="G13">
        <v>40</v>
      </c>
      <c r="H13">
        <v>40</v>
      </c>
    </row>
    <row r="14" spans="1:8">
      <c r="A14" t="s">
        <v>9</v>
      </c>
      <c r="B14">
        <v>6</v>
      </c>
      <c r="C14">
        <v>0</v>
      </c>
      <c r="D14">
        <v>0</v>
      </c>
      <c r="E14">
        <v>0</v>
      </c>
      <c r="F14">
        <v>0</v>
      </c>
      <c r="G14">
        <v>33</v>
      </c>
      <c r="H14">
        <v>33</v>
      </c>
    </row>
    <row r="15" spans="1:8">
      <c r="A15" t="s">
        <v>10</v>
      </c>
      <c r="B15">
        <v>11</v>
      </c>
      <c r="C15">
        <v>1</v>
      </c>
      <c r="D15">
        <v>0</v>
      </c>
      <c r="E15">
        <v>1</v>
      </c>
      <c r="F15">
        <v>0</v>
      </c>
      <c r="G15">
        <v>28</v>
      </c>
      <c r="H15">
        <v>28</v>
      </c>
    </row>
    <row r="16" spans="1:8">
      <c r="A16" t="s">
        <v>49</v>
      </c>
      <c r="B16">
        <v>2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</row>
    <row r="17" spans="1:8">
      <c r="A17" t="s">
        <v>54</v>
      </c>
      <c r="B17">
        <v>13</v>
      </c>
      <c r="C17">
        <v>0</v>
      </c>
      <c r="D17">
        <v>0</v>
      </c>
      <c r="E17">
        <v>0</v>
      </c>
      <c r="F17">
        <v>0</v>
      </c>
      <c r="G17">
        <v>9</v>
      </c>
      <c r="H17">
        <v>9</v>
      </c>
    </row>
    <row r="18" spans="1:8">
      <c r="A18" t="s">
        <v>55</v>
      </c>
      <c r="B18">
        <v>1</v>
      </c>
      <c r="C18">
        <v>0</v>
      </c>
      <c r="D18">
        <v>0</v>
      </c>
      <c r="E18">
        <v>0</v>
      </c>
      <c r="F18">
        <v>0</v>
      </c>
      <c r="G18">
        <v>12</v>
      </c>
      <c r="H18">
        <v>12</v>
      </c>
    </row>
    <row r="19" spans="1:8">
      <c r="A19" t="s">
        <v>58</v>
      </c>
      <c r="B19">
        <v>5</v>
      </c>
      <c r="C19">
        <v>0</v>
      </c>
      <c r="D19">
        <v>0</v>
      </c>
      <c r="E19">
        <v>0</v>
      </c>
      <c r="F19">
        <v>0</v>
      </c>
      <c r="G19">
        <v>8</v>
      </c>
      <c r="H19">
        <v>8</v>
      </c>
    </row>
    <row r="20" spans="1:8">
      <c r="A20" t="s">
        <v>59</v>
      </c>
      <c r="B20">
        <v>17</v>
      </c>
      <c r="C20">
        <v>0</v>
      </c>
      <c r="D20">
        <v>0</v>
      </c>
      <c r="E20">
        <v>0</v>
      </c>
      <c r="F20">
        <v>0</v>
      </c>
      <c r="G20">
        <v>37</v>
      </c>
      <c r="H20">
        <v>37</v>
      </c>
    </row>
    <row r="21" spans="1:8">
      <c r="A21" t="s">
        <v>61</v>
      </c>
      <c r="B21">
        <v>6</v>
      </c>
      <c r="C21">
        <v>0</v>
      </c>
      <c r="D21">
        <v>0</v>
      </c>
      <c r="E21">
        <v>0</v>
      </c>
      <c r="F21">
        <v>0</v>
      </c>
      <c r="G21">
        <v>36</v>
      </c>
      <c r="H21">
        <v>36</v>
      </c>
    </row>
    <row r="22" spans="1:8">
      <c r="A22" t="s">
        <v>64</v>
      </c>
      <c r="B22">
        <v>10</v>
      </c>
      <c r="C22">
        <v>1</v>
      </c>
      <c r="D22">
        <v>0</v>
      </c>
      <c r="E22">
        <v>0</v>
      </c>
      <c r="F22">
        <v>0</v>
      </c>
      <c r="G22">
        <v>29</v>
      </c>
      <c r="H22">
        <v>32</v>
      </c>
    </row>
    <row r="23" spans="1:8">
      <c r="A23" t="s">
        <v>65</v>
      </c>
      <c r="B23">
        <v>8</v>
      </c>
      <c r="C23">
        <v>0</v>
      </c>
      <c r="D23">
        <v>1</v>
      </c>
      <c r="E23">
        <v>1</v>
      </c>
      <c r="F23">
        <v>0</v>
      </c>
      <c r="G23" s="3"/>
      <c r="H23">
        <v>10</v>
      </c>
    </row>
    <row r="24" spans="1:8">
      <c r="A24" t="s">
        <v>95</v>
      </c>
      <c r="B24">
        <v>0</v>
      </c>
      <c r="C24">
        <v>0</v>
      </c>
      <c r="D24">
        <v>0</v>
      </c>
      <c r="E24">
        <v>0</v>
      </c>
      <c r="F24">
        <v>0</v>
      </c>
      <c r="G24">
        <v>3</v>
      </c>
      <c r="H24">
        <v>1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I23"/>
  <sheetViews>
    <sheetView zoomScaleNormal="100" workbookViewId="0">
      <selection activeCell="K26" sqref="K26"/>
    </sheetView>
  </sheetViews>
  <sheetFormatPr defaultColWidth="11.5546875" defaultRowHeight="15"/>
  <cols>
    <col min="1" max="1" width="18.21875" customWidth="1"/>
    <col min="2" max="2" width="18.44140625" customWidth="1"/>
    <col min="3" max="3" width="23.21875" customWidth="1"/>
    <col min="4" max="4" width="23.109375" customWidth="1"/>
    <col min="5" max="5" width="18.109375" customWidth="1"/>
    <col min="6" max="6" width="29.33203125" customWidth="1"/>
    <col min="7" max="8" width="20.109375" customWidth="1"/>
    <col min="9" max="9" width="14.21875" customWidth="1"/>
  </cols>
  <sheetData>
    <row r="1" spans="1:9" ht="21" thickBot="1">
      <c r="A1" s="6" t="s">
        <v>27</v>
      </c>
      <c r="B1" s="7" t="s">
        <v>28</v>
      </c>
      <c r="C1" s="7" t="s">
        <v>32</v>
      </c>
      <c r="D1" s="7" t="s">
        <v>52</v>
      </c>
      <c r="E1" s="7" t="s">
        <v>30</v>
      </c>
      <c r="F1" s="7" t="s">
        <v>66</v>
      </c>
      <c r="G1" s="7" t="s">
        <v>29</v>
      </c>
      <c r="H1" s="8" t="s">
        <v>31</v>
      </c>
      <c r="I1" s="9" t="s">
        <v>3</v>
      </c>
    </row>
    <row r="2" spans="1:9" ht="18" thickBot="1">
      <c r="A2" s="4" t="s">
        <v>41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20</v>
      </c>
      <c r="H2" s="5">
        <v>3</v>
      </c>
      <c r="I2" s="5">
        <f>SUM(Table5[[#This Row],[To Do (0%)]:[WON''T DO (100%)]])</f>
        <v>23</v>
      </c>
    </row>
    <row r="3" spans="1:9" ht="18" thickBot="1">
      <c r="A3" s="4" t="s">
        <v>42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20</v>
      </c>
      <c r="H3" s="5">
        <v>2</v>
      </c>
      <c r="I3" s="5">
        <f>SUM(Table5[[#This Row],[To Do (0%)]:[WON''T DO (100%)]])</f>
        <v>22</v>
      </c>
    </row>
    <row r="4" spans="1:9" ht="18" thickBot="1">
      <c r="A4" s="4" t="s">
        <v>43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16</v>
      </c>
      <c r="H4" s="5">
        <v>2</v>
      </c>
      <c r="I4" s="5">
        <f>SUM(Table5[[#This Row],[To Do (0%)]:[WON''T DO (100%)]])</f>
        <v>18</v>
      </c>
    </row>
    <row r="5" spans="1:9" ht="18" thickBot="1">
      <c r="A5" s="4" t="s">
        <v>44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16</v>
      </c>
      <c r="H5" s="5">
        <v>2</v>
      </c>
      <c r="I5" s="5">
        <f>SUM(Table5[[#This Row],[To Do (0%)]:[WON''T DO (100%)]])</f>
        <v>18</v>
      </c>
    </row>
    <row r="6" spans="1:9" ht="18" thickBot="1">
      <c r="A6" s="4" t="s">
        <v>45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55</v>
      </c>
      <c r="H6" s="5">
        <v>4</v>
      </c>
      <c r="I6" s="5">
        <f>SUM(Table5[[#This Row],[To Do (0%)]:[WON''T DO (100%)]])</f>
        <v>59</v>
      </c>
    </row>
    <row r="7" spans="1:9" ht="18" thickBot="1">
      <c r="A7" s="4" t="s">
        <v>46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35</v>
      </c>
      <c r="H7" s="5">
        <v>4</v>
      </c>
      <c r="I7" s="5">
        <f>SUM(Table5[[#This Row],[To Do (0%)]:[WON''T DO (100%)]])</f>
        <v>39</v>
      </c>
    </row>
    <row r="8" spans="1:9" ht="18" thickBot="1">
      <c r="A8" s="4" t="s">
        <v>33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39</v>
      </c>
      <c r="H8" s="5">
        <v>2</v>
      </c>
      <c r="I8" s="5">
        <f>SUM(Table5[[#This Row],[To Do (0%)]:[WON''T DO (100%)]])</f>
        <v>42</v>
      </c>
    </row>
    <row r="9" spans="1:9" ht="18" thickBot="1">
      <c r="A9" s="4" t="s">
        <v>34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39</v>
      </c>
      <c r="H9" s="5">
        <v>6</v>
      </c>
      <c r="I9" s="5">
        <f>SUM(Table5[[#This Row],[To Do (0%)]:[WON''T DO (100%)]])</f>
        <v>46</v>
      </c>
    </row>
    <row r="10" spans="1:9" ht="18" thickBot="1">
      <c r="A10" s="4" t="s">
        <v>35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45</v>
      </c>
      <c r="H10" s="5">
        <v>7</v>
      </c>
      <c r="I10" s="5">
        <f>SUM(Table5[[#This Row],[To Do (0%)]:[WON''T DO (100%)]])</f>
        <v>53</v>
      </c>
    </row>
    <row r="11" spans="1:9" ht="18" thickBot="1">
      <c r="A11" s="4" t="s">
        <v>36</v>
      </c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18</v>
      </c>
      <c r="H11" s="5">
        <v>1</v>
      </c>
      <c r="I11" s="5">
        <f>SUM(Table5[[#This Row],[To Do (0%)]:[WON''T DO (100%)]])</f>
        <v>20</v>
      </c>
    </row>
    <row r="12" spans="1:9" ht="18" thickBot="1">
      <c r="A12" s="4" t="s">
        <v>37</v>
      </c>
      <c r="B12" s="5">
        <v>3</v>
      </c>
      <c r="C12" s="5">
        <v>0</v>
      </c>
      <c r="D12" s="5">
        <v>0</v>
      </c>
      <c r="E12" s="5">
        <v>0</v>
      </c>
      <c r="F12" s="5">
        <v>0</v>
      </c>
      <c r="G12" s="5">
        <v>25</v>
      </c>
      <c r="H12" s="5">
        <v>4</v>
      </c>
      <c r="I12" s="5">
        <f>SUM(Table5[[#This Row],[To Do (0%)]:[WON''T DO (100%)]])</f>
        <v>32</v>
      </c>
    </row>
    <row r="13" spans="1:9" ht="18" thickBot="1">
      <c r="A13" s="4" t="s">
        <v>39</v>
      </c>
      <c r="B13" s="5">
        <v>3</v>
      </c>
      <c r="C13" s="5">
        <v>0</v>
      </c>
      <c r="D13" s="5">
        <v>0</v>
      </c>
      <c r="E13" s="5">
        <v>0</v>
      </c>
      <c r="F13" s="5">
        <v>0</v>
      </c>
      <c r="G13" s="5">
        <v>45</v>
      </c>
      <c r="H13" s="5">
        <v>5</v>
      </c>
      <c r="I13" s="5">
        <f>SUM(Table5[[#This Row],[To Do (0%)]:[WON''T DO (100%)]])</f>
        <v>53</v>
      </c>
    </row>
    <row r="14" spans="1:9" ht="18" thickBot="1">
      <c r="A14" s="4" t="s">
        <v>40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24</v>
      </c>
      <c r="H14" s="5">
        <v>1</v>
      </c>
      <c r="I14" s="5">
        <f>SUM(Table5[[#This Row],[To Do (0%)]:[WON''T DO (100%)]])</f>
        <v>25</v>
      </c>
    </row>
    <row r="15" spans="1:9" ht="18" thickBot="1">
      <c r="A15" s="4" t="s">
        <v>53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43</v>
      </c>
      <c r="H15" s="5">
        <v>0</v>
      </c>
      <c r="I15" s="5">
        <f>SUM(Table5[[#This Row],[To Do (0%)]:[WON''T DO (100%)]])</f>
        <v>43</v>
      </c>
    </row>
    <row r="16" spans="1:9" ht="18" thickBot="1">
      <c r="A16" s="4" t="s">
        <v>56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35</v>
      </c>
      <c r="H16" s="5">
        <v>0</v>
      </c>
      <c r="I16" s="5">
        <f>SUM(Table5[[#This Row],[To Do (0%)]:[WON''T DO (100%)]])</f>
        <v>35</v>
      </c>
    </row>
    <row r="17" spans="1:9" ht="18" thickBot="1">
      <c r="A17" s="4" t="s">
        <v>57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29</v>
      </c>
      <c r="H17" s="5">
        <v>0</v>
      </c>
      <c r="I17" s="5">
        <f>SUM(Table5[[#This Row],[To Do (0%)]:[WON''T DO (100%)]])</f>
        <v>29</v>
      </c>
    </row>
    <row r="18" spans="1:9" ht="18" thickBot="1">
      <c r="A18" s="4" t="s">
        <v>60</v>
      </c>
      <c r="B18" s="5">
        <v>6</v>
      </c>
      <c r="C18" s="5">
        <v>0</v>
      </c>
      <c r="D18" s="5">
        <v>0</v>
      </c>
      <c r="E18" s="5">
        <v>0</v>
      </c>
      <c r="F18" s="5">
        <v>0</v>
      </c>
      <c r="G18" s="5">
        <v>37</v>
      </c>
      <c r="H18" s="5">
        <v>1</v>
      </c>
      <c r="I18" s="5">
        <f>SUM(Table5[[#This Row],[To Do (0%)]:[WON''T DO (100%)]])</f>
        <v>44</v>
      </c>
    </row>
    <row r="19" spans="1:9" ht="18" thickBot="1">
      <c r="A19" s="4" t="s">
        <v>62</v>
      </c>
      <c r="B19" s="5">
        <v>6</v>
      </c>
      <c r="C19" s="5">
        <v>0</v>
      </c>
      <c r="D19" s="5">
        <v>0</v>
      </c>
      <c r="E19" s="5">
        <v>0</v>
      </c>
      <c r="F19" s="5">
        <v>0</v>
      </c>
      <c r="G19" s="5">
        <v>30</v>
      </c>
      <c r="H19" s="5">
        <v>0</v>
      </c>
      <c r="I19" s="5">
        <f>SUM(Table5[[#This Row],[To Do (0%)]:[WON''T DO (100%)]])</f>
        <v>36</v>
      </c>
    </row>
    <row r="20" spans="1:9" ht="18" thickBot="1">
      <c r="A20" s="4" t="s">
        <v>63</v>
      </c>
      <c r="B20" s="5">
        <v>9</v>
      </c>
      <c r="C20" s="5">
        <v>0</v>
      </c>
      <c r="D20" s="5">
        <v>0</v>
      </c>
      <c r="E20" s="5">
        <v>0</v>
      </c>
      <c r="F20" s="5">
        <v>0</v>
      </c>
      <c r="G20" s="5">
        <v>28</v>
      </c>
      <c r="H20" s="5">
        <v>0</v>
      </c>
      <c r="I20" s="15">
        <f>SUM(Table5[[#This Row],[To Do (0%)]:[WON''T DO (100%)]])</f>
        <v>37</v>
      </c>
    </row>
    <row r="21" spans="1:9" ht="18" thickBot="1">
      <c r="A21" s="4" t="s">
        <v>67</v>
      </c>
      <c r="B21" s="5">
        <v>13</v>
      </c>
      <c r="C21" s="5">
        <v>1</v>
      </c>
      <c r="D21" s="5">
        <v>0</v>
      </c>
      <c r="E21" s="5">
        <v>0</v>
      </c>
      <c r="F21" s="5">
        <v>0</v>
      </c>
      <c r="G21" s="5">
        <v>17</v>
      </c>
      <c r="H21" s="5">
        <v>5</v>
      </c>
      <c r="I21" s="15">
        <f>SUM(Table5[[#This Row],[To Do (0%)]:[WON''T DO (100%)]])</f>
        <v>36</v>
      </c>
    </row>
    <row r="22" spans="1:9" ht="18" thickBot="1">
      <c r="A22" s="4" t="s">
        <v>96</v>
      </c>
      <c r="B22" s="5">
        <v>12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15">
        <f>SUM(Table5[[#This Row],[To Do (0%)]:[WON''T DO (100%)]])</f>
        <v>12</v>
      </c>
    </row>
    <row r="23" spans="1:9" ht="18" thickBot="1">
      <c r="A23" s="4" t="s">
        <v>97</v>
      </c>
      <c r="B23" s="5">
        <v>1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f>SUM(Table5[[#This Row],[To Do (0%)]:[WON''T DO (100%)]])</f>
        <v>1</v>
      </c>
    </row>
  </sheetData>
  <phoneticPr fontId="1" type="noConversion"/>
  <hyperlinks>
    <hyperlink ref="B2" r:id="rId1" display="https://xrspace.atlassian.net/issues/?jql=created+%3E%3D+2025-02-01+AND+created+%3C%3D+2026-12-31+AND+type+%3D+Bug+AND+project+%3D+SOVA+AND+Sprint+%3D+1463+AND+status+%3D+%22To+Do+%280%25%29%22" xr:uid="{47D7393C-661F-46DF-9BFC-9836660458A2}"/>
    <hyperlink ref="D2" r:id="rId2" display="https://xrspace.atlassian.net/issues/?jql=created+%3E%3D+2025-02-01+AND+created+%3C%3D+2026-12-31+AND+type+%3D+Bug+AND+project+%3D+SOVA+AND+Sprint+%3D+1463+AND+status+%3D+%22IN+REVIEW+%2880%25%29%22" xr:uid="{E05510F9-1647-4535-904E-BDC4997F1AD0}"/>
    <hyperlink ref="C2" r:id="rId3" display="https://xrspace.atlassian.net/issues/?jql=created+%3E%3D+2025-02-01+AND+created+%3C%3D+2026-12-31+AND+type+%3D+Bug+AND+project+%3D+SOVA+AND+Sprint+%3D+1463+AND+status+%3D+%22STARTING+%2810+%7E+40%25%29%22" xr:uid="{A9A92BD7-0402-498C-A9D7-264C79858CF7}"/>
    <hyperlink ref="B3" r:id="rId4" display="https://xrspace.atlassian.net/issues/?jql=created+%3E%3D+2025-02-01+AND+created+%3C%3D+2026-12-31+AND+type+%3D+Bug+AND+project+%3D+SOVA+AND+Sprint+%3D+1466+AND+status+%3D+%22To+Do+%280%25%29%22" xr:uid="{72E6E222-8658-42A7-B2A5-1493F8C415BB}"/>
    <hyperlink ref="D3" r:id="rId5" display="https://xrspace.atlassian.net/issues/?jql=created+%3E%3D+2025-02-01+AND+created+%3C%3D+2026-12-31+AND+type+%3D+Bug+AND+project+%3D+SOVA+AND+Sprint+%3D+1466+AND+status+%3D+%22IN+REVIEW+%2880%25%29%22" xr:uid="{5910F8F5-B294-4E70-92FA-D03C6944CF4D}"/>
    <hyperlink ref="C3" r:id="rId6" display="https://xrspace.atlassian.net/issues/?jql=created+%3E%3D+2025-02-01+AND+created+%3C%3D+2026-12-31+AND+type+%3D+Bug+AND+project+%3D+SOVA+AND+Sprint+%3D+1466+AND+status+%3D+%22STARTING+%2810+%7E+40%25%29%22" xr:uid="{17E0B3BB-8340-4224-BB9D-6AE87EE86011}"/>
    <hyperlink ref="B4" r:id="rId7" display="https://xrspace.atlassian.net/issues/?jql=created+%3E%3D+2025-02-01+AND+created+%3C%3D+2026-12-31+AND+type+%3D+Bug+AND+project+%3D+SOVA+AND+Sprint+%3D+1496+AND+status+%3D+%22To+Do+%280%25%29%22" xr:uid="{975F713D-FCFB-4015-9193-463BB2FA8D78}"/>
    <hyperlink ref="D4" r:id="rId8" display="https://xrspace.atlassian.net/issues/?jql=created+%3E%3D+2025-02-01+AND+created+%3C%3D+2026-12-31+AND+type+%3D+Bug+AND+project+%3D+SOVA+AND+Sprint+%3D+1496+AND+status+%3D+%22IN+REVIEW+%2880%25%29%22" xr:uid="{473AC91C-0C11-4631-BBB5-E08A208F8DAA}"/>
    <hyperlink ref="C4" r:id="rId9" display="https://xrspace.atlassian.net/issues/?jql=created+%3E%3D+2025-02-01+AND+created+%3C%3D+2026-12-31+AND+type+%3D+Bug+AND+project+%3D+SOVA+AND+Sprint+%3D+1496+AND+status+%3D+%22STARTING+%2810+%7E+40%25%29%22" xr:uid="{D6E012F5-6A95-4AF7-92C1-B81E5F0923AD}"/>
    <hyperlink ref="B5" r:id="rId10" display="https://xrspace.atlassian.net/issues/?jql=created+%3E%3D+2025-02-01+AND+created+%3C%3D+2026-12-31+AND+type+%3D+Bug+AND+project+%3D+SOVA+AND+Sprint+%3D+1497+AND+status+%3D+%22To+Do+%280%25%29%22" xr:uid="{942C52A0-906A-4AE8-8E11-293FA4E800D1}"/>
    <hyperlink ref="D5" r:id="rId11" display="https://xrspace.atlassian.net/issues/?jql=created+%3E%3D+2025-02-01+AND+created+%3C%3D+2026-12-31+AND+type+%3D+Bug+AND+project+%3D+SOVA+AND+Sprint+%3D+1497+AND+status+%3D+%22IN+REVIEW+%2880%25%29%22" xr:uid="{B1F4A29D-FAF5-4934-B267-913C3B854FDF}"/>
    <hyperlink ref="C5" r:id="rId12" display="https://xrspace.atlassian.net/issues/?jql=created+%3E%3D+2025-02-01+AND+created+%3C%3D+2026-12-31+AND+type+%3D+Bug+AND+project+%3D+SOVA+AND+Sprint+%3D+1497+AND+status+%3D+%22STARTING+%2810+%7E+40%25%29%22" xr:uid="{F8D7083C-BCC2-4FDD-B87B-49B6A4920459}"/>
    <hyperlink ref="B6" r:id="rId13" display="https://xrspace.atlassian.net/issues/?jql=created+%3E%3D+2025-02-01+AND+created+%3C%3D+2026-12-31+AND+type+%3D+Bug+AND+project+%3D+SOVA+AND+Sprint+%3D+1498+AND+status+%3D+%22To+Do+%280%25%29%22" xr:uid="{7C748F08-CFD1-4B82-BE3B-180E26750718}"/>
    <hyperlink ref="D6" r:id="rId14" display="https://xrspace.atlassian.net/issues/?jql=created+%3E%3D+2025-02-01+AND+created+%3C%3D+2026-12-31+AND+type+%3D+Bug+AND+project+%3D+SOVA+AND+Sprint+%3D+1498+AND+status+%3D+%22IN+REVIEW+%2880%25%29%22" xr:uid="{34E8A2C5-CF8A-4329-8E8D-45C9C38B19E5}"/>
    <hyperlink ref="C6" r:id="rId15" display="https://xrspace.atlassian.net/issues/?jql=created+%3E%3D+2025-02-01+AND+created+%3C%3D+2026-12-31+AND+type+%3D+Bug+AND+project+%3D+SOVA+AND+Sprint+%3D+1498+AND+status+%3D+%22STARTING+%2810+%7E+40%25%29%22" xr:uid="{610C0A64-4D26-4750-9420-334DF8B3A2DC}"/>
    <hyperlink ref="B7" r:id="rId16" display="https://xrspace.atlassian.net/issues/?jql=created+%3E%3D+2025-02-01+AND+created+%3C%3D+2026-12-31+AND+type+%3D+Bug+AND+project+%3D+SOVA+AND+Sprint+%3D+1499+AND+status+%3D+%22To+Do+%280%25%29%22" xr:uid="{98E8AA16-7E00-46BB-80E2-4F6B009EF569}"/>
    <hyperlink ref="D7" r:id="rId17" display="https://xrspace.atlassian.net/issues/?jql=created+%3E%3D+2025-02-01+AND+created+%3C%3D+2026-12-31+AND+type+%3D+Bug+AND+project+%3D+SOVA+AND+Sprint+%3D+1499+AND+status+%3D+%22IN+REVIEW+%2880%25%29%22" xr:uid="{A3E4720F-7CD4-406D-A455-04391A4E0D83}"/>
    <hyperlink ref="C7" r:id="rId18" display="https://xrspace.atlassian.net/issues/?jql=created+%3E%3D+2025-02-01+AND+created+%3C%3D+2026-12-31+AND+type+%3D+Bug+AND+project+%3D+SOVA+AND+Sprint+%3D+1499+AND+status+%3D+%22STARTING+%2810+%7E+40%25%29%22" xr:uid="{E81D49A5-AF38-4447-873B-0F6474E217EE}"/>
    <hyperlink ref="B8" r:id="rId19" display="https://xrspace.atlassian.net/issues/?jql=created+%3E%3D+2025-02-01+AND+created+%3C%3D+2026-12-31+AND+type+%3D+Bug+AND+project+%3D+SOVA+AND+Sprint+%3D+2156+AND+status+%3D+%22To+Do+%280%25%29%22" xr:uid="{E77CAE59-9FC5-4085-80B7-C916E0867181}"/>
    <hyperlink ref="D8" r:id="rId20" display="https://xrspace.atlassian.net/issues/?jql=created+%3E%3D+2025-02-01+AND+created+%3C%3D+2026-12-31+AND+type+%3D+Bug+AND+project+%3D+SOVA+AND+Sprint+%3D+2156+AND+status+%3D+%22IN+REVIEW+%2880%25%29%22" xr:uid="{CA728238-2A73-4BB3-8D07-D24D9AF27CC0}"/>
    <hyperlink ref="C8" r:id="rId21" display="https://xrspace.atlassian.net/issues/?jql=created+%3E%3D+2025-02-01+AND+created+%3C%3D+2026-12-31+AND+type+%3D+Bug+AND+project+%3D+SOVA+AND+Sprint+%3D+2156+AND+status+%3D+%22STARTING+%2810+%7E+40%25%29%22" xr:uid="{DCFD2137-7737-4C2E-B581-435E847B967B}"/>
    <hyperlink ref="B9" r:id="rId22" display="https://xrspace.atlassian.net/issues/?jql=created+%3E%3D+2025-02-01+AND+created+%3C%3D+2026-12-31+AND+type+%3D+Bug+AND+project+%3D+SOVA+AND+Sprint+%3D+2157+AND+status+%3D+%22To+Do+%280%25%29%22" xr:uid="{D87E7ADD-A560-44A8-9C9B-A0C26781111E}"/>
    <hyperlink ref="D9" r:id="rId23" display="https://xrspace.atlassian.net/issues/?jql=created+%3E%3D+2025-02-01+AND+created+%3C%3D+2026-12-31+AND+type+%3D+Bug+AND+project+%3D+SOVA+AND+Sprint+%3D+2157+AND+status+%3D+%22IN+REVIEW+%2880%25%29%22" xr:uid="{94462C91-5957-4775-91BF-C6CA65EC10EF}"/>
    <hyperlink ref="C9" r:id="rId24" display="https://xrspace.atlassian.net/issues/?jql=created+%3E%3D+2025-02-01+AND+created+%3C%3D+2026-12-31+AND+type+%3D+Bug+AND+project+%3D+SOVA+AND+Sprint+%3D+2157+AND+status+%3D+%22STARTING+%2810+%7E+40%25%29%22" xr:uid="{597C44B5-6D1E-40C8-919B-1455C1B143C9}"/>
    <hyperlink ref="B10" r:id="rId25" display="https://xrspace.atlassian.net/issues/?jql=created+%3E%3D+2025-02-01+AND+created+%3C%3D+2026-12-31+AND+type+%3D+Bug+AND+project+%3D+SOVA+AND+Sprint+%3D+2618+AND+status+%3D+%22To+Do+%280%25%29%22" xr:uid="{D774B7F1-1546-48E6-9649-EFA321A7B016}"/>
    <hyperlink ref="D10" r:id="rId26" display="https://xrspace.atlassian.net/issues/?jql=created+%3E%3D+2025-02-01+AND+created+%3C%3D+2026-12-31+AND+type+%3D+Bug+AND+project+%3D+SOVA+AND+Sprint+%3D+2618+AND+status+%3D+%22IN+REVIEW+%2880%25%29%22" xr:uid="{F1396ECF-76D3-40C3-A69A-DB88F489855B}"/>
    <hyperlink ref="C10" r:id="rId27" display="https://xrspace.atlassian.net/issues/?jql=created+%3E%3D+2025-02-01+AND+created+%3C%3D+2026-12-31+AND+type+%3D+Bug+AND+project+%3D+SOVA+AND+Sprint+%3D+2618+AND+status+%3D+%22STARTING+%2810+%7E+40%25%29%22" xr:uid="{24A776D4-A174-403A-B7C5-DFECA476D894}"/>
    <hyperlink ref="B11" r:id="rId28" display="https://xrspace.atlassian.net/issues/?jql=created+%3E%3D+2025-02-01+AND+created+%3C%3D+2026-12-31+AND+type+%3D+Bug+AND+project+%3D+SOVA+AND+Sprint+%3D+2619+AND+status+%3D+%22To+Do+%280%25%29%22" xr:uid="{242431DC-8FDE-4E5C-9420-9330A8C2E41F}"/>
    <hyperlink ref="D11" r:id="rId29" display="https://xrspace.atlassian.net/issues/?jql=created+%3E%3D+2025-02-01+AND+created+%3C%3D+2026-12-31+AND+type+%3D+Bug+AND+project+%3D+SOVA+AND+Sprint+%3D+2619+AND+status+%3D+%22IN+REVIEW+%2880%25%29%22" xr:uid="{CE955474-5A03-42B1-AF6D-1B8076ECF2A5}"/>
    <hyperlink ref="C11" r:id="rId30" display="https://xrspace.atlassian.net/issues/?jql=created+%3E%3D+2025-02-01+AND+created+%3C%3D+2026-12-31+AND+type+%3D+Bug+AND+project+%3D+SOVA+AND+Sprint+%3D+2619+AND+status+%3D+%22STARTING+%2810+%7E+40%25%29%22" xr:uid="{95E6DACE-ADA6-4C53-8C7C-B82FB0D45D36}"/>
    <hyperlink ref="B12" r:id="rId31" display="https://xrspace.atlassian.net/issues/?jql=created+%3E%3D+2025-02-01+AND+created+%3C%3D+2026-12-31+AND+type+%3D+Bug+AND+project+%3D+SOVA+AND+Sprint+%3D+2882+AND+status+%3D+%22To+Do+%280%25%29%22" xr:uid="{347FB432-8A13-45A9-8B9B-757673F2D1CE}"/>
    <hyperlink ref="D12" r:id="rId32" display="https://xrspace.atlassian.net/issues/?jql=created+%3E%3D+2025-02-01+AND+created+%3C%3D+2026-12-31+AND+type+%3D+Bug+AND+project+%3D+SOVA+AND+Sprint+%3D+2882+AND+status+%3D+%22IN+REVIEW+%2880%25%29%22" xr:uid="{3B1EB513-0BDA-4BF5-BC57-D0339A46AE91}"/>
    <hyperlink ref="C12" r:id="rId33" display="https://xrspace.atlassian.net/issues/?jql=created+%3E%3D+2025-02-01+AND+created+%3C%3D+2026-12-31+AND+type+%3D+Bug+AND+project+%3D+SOVA+AND+Sprint+%3D+2882+AND+status+%3D+%22STARTING+%2810+%7E+40%25%29%22" xr:uid="{0E1716BF-C2FF-42D9-B708-B7859A52C29C}"/>
    <hyperlink ref="B13" r:id="rId34" display="https://xrspace.atlassian.net/issues/?jql=created+%3E%3D+2025-02-01+AND+created+%3C%3D+2026-12-31+AND+type+%3D+Bug+AND+project+%3D+SOVA+AND+Sprint+%3D+3213+AND+status+%3D+%22To+Do+%280%25%29%22" xr:uid="{0C7C6ED7-8EE3-4805-BF83-667380D75FF8}"/>
    <hyperlink ref="D13" r:id="rId35" display="https://xrspace.atlassian.net/issues/?jql=created+%3E%3D+2025-02-01+AND+created+%3C%3D+2026-12-31+AND+type+%3D+Bug+AND+project+%3D+SOVA+AND+Sprint+%3D+3213+AND+status+%3D+%22IN+REVIEW+%2880%25%29%22" xr:uid="{2B11E722-1C07-4D37-8E39-E20B76B3BCB7}"/>
    <hyperlink ref="C13" r:id="rId36" display="https://xrspace.atlassian.net/issues/?jql=created+%3E%3D+2025-02-01+AND+created+%3C%3D+2026-12-31+AND+type+%3D+Bug+AND+project+%3D+SOVA+AND+Sprint+%3D+3213+AND+status+%3D+%22STARTING+%2810+%7E+40%25%29%22" xr:uid="{C47178F1-67EA-4EC4-A537-1F1F2AE03085}"/>
    <hyperlink ref="B14" r:id="rId37" display="https://xrspace.atlassian.net/issues/?jql=created+%3E%3D+2025-02-01+AND+created+%3C%3D+2026-12-31+AND+type+%3D+Bug+AND+project+%3D+SOVA+AND+Sprint+%3D+3245+AND+status+%3D+%22To+Do+%280%25%29%22" xr:uid="{ECE52FC7-FAE5-41FD-B999-50C882E9F7CA}"/>
    <hyperlink ref="D14" r:id="rId38" display="https://xrspace.atlassian.net/issues/?jql=created+%3E%3D+2025-02-01+AND+created+%3C%3D+2026-12-31+AND+type+%3D+Bug+AND+project+%3D+SOVA+AND+Sprint+%3D+3245+AND+status+%3D+%22IN+REVIEW+%2880%25%29%22" xr:uid="{6BEAF574-6E85-4475-A064-94E3B116578D}"/>
    <hyperlink ref="C14" r:id="rId39" display="https://xrspace.atlassian.net/issues/?jql=created+%3E%3D+2025-02-01+AND+created+%3C%3D+2026-12-31+AND+type+%3D+Bug+AND+project+%3D+SOVA+AND+Sprint+%3D+3245+AND+status+%3D+%22STARTING+%2810+%7E+40%25%29%22" xr:uid="{508045A9-89B1-409D-85CB-3FEF6A03E08C}"/>
    <hyperlink ref="B15" r:id="rId40" display="https://xrspace.atlassian.net/issues/?jql=created+%3E%3D+2025-02-01+AND+created+%3C%3D+2026-12-31+AND+type+%3D+Bug+AND+project+%3D+SOVA+AND+Sprint+%3D+3246+AND+status+%3D+%22To+Do+%280%25%29%22" xr:uid="{01A8F2AB-B032-4920-A06C-C53B44ABDD6A}"/>
    <hyperlink ref="D15" r:id="rId41" display="https://xrspace.atlassian.net/issues/?jql=created+%3E%3D+2025-02-01+AND+created+%3C%3D+2026-12-31+AND+type+%3D+Bug+AND+project+%3D+SOVA+AND+Sprint+%3D+3246+AND+status+%3D+%22IN+REVIEW+%2880%25%29%22" xr:uid="{3C856816-2FCF-4436-A516-0EFB1D8270BA}"/>
    <hyperlink ref="C15" r:id="rId42" display="https://xrspace.atlassian.net/issues/?jql=created+%3E%3D+2025-02-01+AND+created+%3C%3D+2026-12-31+AND+type+%3D+Bug+AND+project+%3D+SOVA+AND+Sprint+%3D+3246+AND+status+%3D+%22STARTING+%2810+%7E+40%25%29%22" xr:uid="{60EA99D1-5DAE-4F69-9892-BE227144018C}"/>
    <hyperlink ref="B16" r:id="rId43" display="https://xrspace.atlassian.net/issues/?jql=created+%3E%3D+2025-02-01+AND+created+%3C%3D+2026-12-31+AND+type+%3D+Bug+AND+project+%3D+SOVA+AND+Sprint+%3D+3575+AND+status+%3D+%22To+Do+%280%25%29%22" xr:uid="{902DB93F-6A68-40C1-A503-4EE7CFA76AED}"/>
    <hyperlink ref="D16" r:id="rId44" display="https://xrspace.atlassian.net/issues/?jql=created+%3E%3D+2025-02-01+AND+created+%3C%3D+2026-12-31+AND+type+%3D+Bug+AND+project+%3D+SOVA+AND+Sprint+%3D+3575+AND+status+%3D+%22IN+REVIEW+%2880%25%29%22" xr:uid="{BE00193D-C295-4200-B288-62A35DB19699}"/>
    <hyperlink ref="C16" r:id="rId45" display="https://xrspace.atlassian.net/issues/?jql=created+%3E%3D+2025-02-01+AND+created+%3C%3D+2026-12-31+AND+type+%3D+Bug+AND+project+%3D+SOVA+AND+Sprint+%3D+3575+AND+status+%3D+%22STARTING+%2810+%7E+40%25%29%22" xr:uid="{03C978B4-7E68-4E23-AE28-78651968511C}"/>
    <hyperlink ref="B17" r:id="rId46" display="https://xrspace.atlassian.net/issues/?jql=created+%3E%3D+2025-02-01+AND+created+%3C%3D+2026-12-31+AND+type+%3D+Bug+AND+project+%3D+SOVA+AND+Sprint+%3D+3608+AND+status+%3D+%22To+Do+%280%25%29%22" xr:uid="{9344C84D-34F7-427B-A272-F50E70187EB2}"/>
    <hyperlink ref="D17" r:id="rId47" display="https://xrspace.atlassian.net/issues/?jql=created+%3E%3D+2025-02-01+AND+created+%3C%3D+2026-12-31+AND+type+%3D+Bug+AND+project+%3D+SOVA+AND+Sprint+%3D+3608+AND+status+%3D+%22IN+REVIEW+%2880%25%29%22" xr:uid="{C9B7D83A-3736-496B-A16F-FD25A6961B4D}"/>
    <hyperlink ref="C17" r:id="rId48" display="https://xrspace.atlassian.net/issues/?jql=created+%3E%3D+2025-02-01+AND+created+%3C%3D+2026-12-31+AND+type+%3D+Bug+AND+project+%3D+SOVA+AND+Sprint+%3D+3608+AND+status+%3D+%22STARTING+%2810+%7E+40%25%29%22" xr:uid="{BB3A6E1F-2871-4276-94A1-824B053E3089}"/>
    <hyperlink ref="B18" r:id="rId49" display="https://xrspace.atlassian.net/issues/?jql=created+%3E%3D+2025-02-01+AND+created+%3C%3D+2026-12-31+AND+type+%3D+Bug+AND+project+%3D+SOVA+AND+Sprint+%3D+3872+AND+status+%3D+%22To+Do+%280%25%29%22" xr:uid="{3F1E6FEA-5925-4F5A-8FFE-BB5644C04C29}"/>
    <hyperlink ref="D18" r:id="rId50" display="https://xrspace.atlassian.net/issues/?jql=created+%3E%3D+2025-02-01+AND+created+%3C%3D+2026-12-31+AND+type+%3D+Bug+AND+project+%3D+SOVA+AND+Sprint+%3D+3872+AND+status+%3D+%22IN+REVIEW+%2880%25%29%22" xr:uid="{F9D48F4E-3D07-48A4-9B7A-DAA3C1201A32}"/>
    <hyperlink ref="C18" r:id="rId51" display="https://xrspace.atlassian.net/issues/?jql=created+%3E%3D+2025-02-01+AND+created+%3C%3D+2026-12-31+AND+type+%3D+Bug+AND+project+%3D+SOVA+AND+Sprint+%3D+3872+AND+status+%3D+%22STARTING+%2810+%7E+40%25%29%22" xr:uid="{7D232B47-7F5C-4F40-8515-BFCA5E94064E}"/>
    <hyperlink ref="B19" r:id="rId52" display="https://xrspace.atlassian.net/issues/?jql=created+%3E%3D+2025-02-01+AND+created+%3C%3D+2026-12-31+AND+type+%3D+Bug+AND+project+%3D+SOVA+AND+Sprint+%3D+3873+AND+status+%3D+%22To+Do+%280%25%29%22" xr:uid="{8F3E8FE5-4F83-4F76-AACF-2BBEF2C5FA93}"/>
    <hyperlink ref="D19" r:id="rId53" display="https://xrspace.atlassian.net/issues/?jql=created+%3E%3D+2025-02-01+AND+created+%3C%3D+2026-12-31+AND+type+%3D+Bug+AND+project+%3D+SOVA+AND+Sprint+%3D+3873+AND+status+%3D+%22IN+REVIEW+%2880%25%29%22" xr:uid="{72A112F6-AC0F-470D-B869-D58BFA345D9F}"/>
    <hyperlink ref="C19" r:id="rId54" display="https://xrspace.atlassian.net/issues/?jql=created+%3E%3D+2025-02-01+AND+created+%3C%3D+2026-12-31+AND+type+%3D+Bug+AND+project+%3D+SOVA+AND+Sprint+%3D+3873+AND+status+%3D+%22STARTING+%2810+%7E+40%25%29%22" xr:uid="{0F8512BF-0AA9-459C-8BFF-12465871A9B6}"/>
    <hyperlink ref="B20" r:id="rId55" display="https://xrspace.atlassian.net/issues/?jql=created+%3E%3D+2025-02-01+AND+created+%3C%3D+2026-12-31+AND+type+%3D+Bug+AND+project+%3D+SOVA+AND+Sprint+%3D+4140+AND+status+%3D+%22To+Do+%280%25%29%22" xr:uid="{2D928B43-76F2-41DE-BF4B-CD86145CFA4B}"/>
    <hyperlink ref="D20" r:id="rId56" display="https://xrspace.atlassian.net/issues/?jql=created+%3E%3D+2025-02-01+AND+created+%3C%3D+2026-12-31+AND+type+%3D+Bug+AND+project+%3D+SOVA+AND+Sprint+%3D+4140+AND+status+%3D+%22IN+REVIEW+%2880%25%29%22" xr:uid="{8D704CA1-1B8B-46CC-A6A5-F494E2C6D663}"/>
    <hyperlink ref="C20" r:id="rId57" display="https://xrspace.atlassian.net/issues/?jql=created+%3E%3D+2025-02-01+AND+created+%3C%3D+2026-12-31+AND+type+%3D+Bug+AND+project+%3D+SOVA+AND+Sprint+%3D+4140+AND+status+%3D+%22STARTING+%2810+%7E+40%25%29%22" xr:uid="{0D0D26B1-07D0-4366-B9D2-93185ED8DEF6}"/>
    <hyperlink ref="B21" r:id="rId58" display="https://xrspace.atlassian.net/issues/?jql=created+%3E%3D+2025-02-01+AND+created+%3C%3D+2026-12-31+AND+type+%3D+Bug+AND+project+%3D+SOVA+AND+Sprint+%3D+4206+AND+status+%3D+%22To+Do+%280%25%29%22" xr:uid="{C6BC3339-5477-4EC7-98EA-A1E5406C0D25}"/>
    <hyperlink ref="D21" r:id="rId59" display="https://xrspace.atlassian.net/issues/?jql=created+%3E%3D+2025-02-01+AND+created+%3C%3D+2026-12-31+AND+type+%3D+Bug+AND+project+%3D+SOVA+AND+Sprint+%3D+4206+AND+status+%3D+%22IN+REVIEW+%2880%25%29%22" xr:uid="{606393E5-D9F4-475D-86ED-4A236EB53855}"/>
    <hyperlink ref="C21" r:id="rId60" display="https://xrspace.atlassian.net/issues/?jql=created+%3E%3D+2025-02-01+AND+created+%3C%3D+2026-12-31+AND+type+%3D+Bug+AND+project+%3D+SOVA+AND+Sprint+%3D+4206+AND+status+%3D+%22STARTING+%2810+%7E+40%25%29%22" xr:uid="{409E45BC-6265-4CDD-9521-9665665D465F}"/>
    <hyperlink ref="B22" r:id="rId61" display="https://xrspace.atlassian.net/issues/?jql=created+%3E%3D+2025-02-01+AND+created+%3C%3D+2026-12-31+AND+type+%3D+Bug+AND+project+%3D+SOVA+AND+Sprint+%3D+4477+AND+status+%3D+%22To+Do+%280%25%29%22" xr:uid="{7C88672C-DC77-4A33-9AB9-F83083C2A5BB}"/>
    <hyperlink ref="D22" r:id="rId62" display="https://xrspace.atlassian.net/issues/?jql=created+%3E%3D+2025-02-01+AND+created+%3C%3D+2026-12-31+AND+type+%3D+Bug+AND+project+%3D+SOVA+AND+Sprint+%3D+4477+AND+status+%3D+%22IN+REVIEW+%2880%25%29%22" xr:uid="{495BED15-8FAE-490A-A3A1-588EE0FD2009}"/>
    <hyperlink ref="C22" r:id="rId63" display="https://xrspace.atlassian.net/issues/?jql=created+%3E%3D+2025-02-01+AND+created+%3C%3D+2026-12-31+AND+type+%3D+Bug+AND+project+%3D+SOVA+AND+Sprint+%3D+4477+AND+status+%3D+%22STARTING+%2810+%7E+40%25%29%22" xr:uid="{4D2006F8-3708-4A13-B4B6-A1569FB0E448}"/>
    <hyperlink ref="B23" r:id="rId64" display="https://xrspace.atlassian.net/issues/?jql=created+%3E%3D+2025-02-01+AND+created+%3C%3D+2026-12-31+AND+type+%3D+Bug+AND+project+%3D+SOVA+AND+Sprint+%3D+4478+AND+status+%3D+%22To+Do+%280%25%29%22" xr:uid="{8A9FBDD9-6F33-4646-A45A-450F05EAB771}"/>
    <hyperlink ref="D23" r:id="rId65" display="https://xrspace.atlassian.net/issues/?jql=created+%3E%3D+2025-02-01+AND+created+%3C%3D+2026-12-31+AND+type+%3D+Bug+AND+project+%3D+SOVA+AND+Sprint+%3D+4478+AND+status+%3D+%22IN+REVIEW+%2880%25%29%22" xr:uid="{A9D57B3C-0E02-433C-BC1F-E1941B500D56}"/>
    <hyperlink ref="C23" r:id="rId66" display="https://xrspace.atlassian.net/issues/?jql=created+%3E%3D+2025-02-01+AND+created+%3C%3D+2026-12-31+AND+type+%3D+Bug+AND+project+%3D+SOVA+AND+Sprint+%3D+4478+AND+status+%3D+%22STARTING+%2810+%7E+40%25%29%22" xr:uid="{E291A1F0-18F2-4894-8C80-069475C8043D}"/>
    <hyperlink ref="E2" r:id="rId67" display="https://xrspace.atlassian.net/issues/?jql=created+%3E%3D+2025-02-01+AND+created+%3C%3D+2026-12-31+AND+type+%3D+Bug+AND+project+%3D+SOVA+AND+Sprint+%3D+1463+AND+status+%3D+%22IN+REVIEW+%2880%25%29%22" xr:uid="{E8855D6F-8714-46BF-A259-763F8466B629}"/>
    <hyperlink ref="E3" r:id="rId68" display="https://xrspace.atlassian.net/issues/?jql=created+%3E%3D+2025-02-01+AND+created+%3C%3D+2026-12-31+AND+type+%3D+Bug+AND+project+%3D+SOVA+AND+Sprint+%3D+1466+AND+status+%3D+%22IN+REVIEW+%2880%25%29%22" xr:uid="{A53E6882-79DA-4BD7-84BE-761CA2F15BB8}"/>
    <hyperlink ref="E4" r:id="rId69" display="https://xrspace.atlassian.net/issues/?jql=created+%3E%3D+2025-02-01+AND+created+%3C%3D+2026-12-31+AND+type+%3D+Bug+AND+project+%3D+SOVA+AND+Sprint+%3D+1496+AND+status+%3D+%22IN+REVIEW+%2880%25%29%22" xr:uid="{4D8C03C8-1F54-40F3-852A-D7A6E6F84394}"/>
    <hyperlink ref="E5" r:id="rId70" display="https://xrspace.atlassian.net/issues/?jql=created+%3E%3D+2025-02-01+AND+created+%3C%3D+2026-12-31+AND+type+%3D+Bug+AND+project+%3D+SOVA+AND+Sprint+%3D+1497+AND+status+%3D+%22IN+REVIEW+%2880%25%29%22" xr:uid="{43340811-4CF0-4F97-A7FE-857F249878EC}"/>
    <hyperlink ref="E6" r:id="rId71" display="https://xrspace.atlassian.net/issues/?jql=created+%3E%3D+2025-02-01+AND+created+%3C%3D+2026-12-31+AND+type+%3D+Bug+AND+project+%3D+SOVA+AND+Sprint+%3D+1498+AND+status+%3D+%22IN+REVIEW+%2880%25%29%22" xr:uid="{26BD8AAC-F507-4C62-9467-08576D440D08}"/>
    <hyperlink ref="E7" r:id="rId72" display="https://xrspace.atlassian.net/issues/?jql=created+%3E%3D+2025-02-01+AND+created+%3C%3D+2026-12-31+AND+type+%3D+Bug+AND+project+%3D+SOVA+AND+Sprint+%3D+1499+AND+status+%3D+%22IN+REVIEW+%2880%25%29%22" xr:uid="{80FEE8BF-738D-4ABE-9AD9-21B6DE253B75}"/>
    <hyperlink ref="E8" r:id="rId73" display="https://xrspace.atlassian.net/issues/?jql=created+%3E%3D+2025-02-01+AND+created+%3C%3D+2026-12-31+AND+type+%3D+Bug+AND+project+%3D+SOVA+AND+Sprint+%3D+2156+AND+status+%3D+%22IN+REVIEW+%2880%25%29%22" xr:uid="{E75F2EA9-392F-42B9-B672-8AEA9BAF8E48}"/>
    <hyperlink ref="E9" r:id="rId74" display="https://xrspace.atlassian.net/issues/?jql=created+%3E%3D+2025-02-01+AND+created+%3C%3D+2026-12-31+AND+type+%3D+Bug+AND+project+%3D+SOVA+AND+Sprint+%3D+2157+AND+status+%3D+%22IN+REVIEW+%2880%25%29%22" xr:uid="{385A69D6-9625-4DFC-AF1D-21301D8AF179}"/>
    <hyperlink ref="E10" r:id="rId75" display="https://xrspace.atlassian.net/issues/?jql=created+%3E%3D+2025-02-01+AND+created+%3C%3D+2026-12-31+AND+type+%3D+Bug+AND+project+%3D+SOVA+AND+Sprint+%3D+2618+AND+status+%3D+%22IN+REVIEW+%2880%25%29%22" xr:uid="{19B87399-0A34-41A6-8650-982EBD4A34B7}"/>
    <hyperlink ref="E11" r:id="rId76" display="https://xrspace.atlassian.net/issues/?jql=created+%3E%3D+2025-02-01+AND+created+%3C%3D+2026-12-31+AND+type+%3D+Bug+AND+project+%3D+SOVA+AND+Sprint+%3D+2619+AND+status+%3D+%22IN+REVIEW+%2880%25%29%22" xr:uid="{05778935-2EF9-4111-8CB7-71A95ED52BA0}"/>
    <hyperlink ref="E12" r:id="rId77" display="https://xrspace.atlassian.net/issues/?jql=created+%3E%3D+2025-02-01+AND+created+%3C%3D+2026-12-31+AND+type+%3D+Bug+AND+project+%3D+SOVA+AND+Sprint+%3D+2882+AND+status+%3D+%22IN+REVIEW+%2880%25%29%22" xr:uid="{56CF3E15-33E4-4967-B6C8-0254830C3757}"/>
    <hyperlink ref="E13" r:id="rId78" display="https://xrspace.atlassian.net/issues/?jql=created+%3E%3D+2025-02-01+AND+created+%3C%3D+2026-12-31+AND+type+%3D+Bug+AND+project+%3D+SOVA+AND+Sprint+%3D+3213+AND+status+%3D+%22IN+REVIEW+%2880%25%29%22" xr:uid="{AF8CC443-3303-4B78-BE93-986431810571}"/>
    <hyperlink ref="E14" r:id="rId79" display="https://xrspace.atlassian.net/issues/?jql=created+%3E%3D+2025-02-01+AND+created+%3C%3D+2026-12-31+AND+type+%3D+Bug+AND+project+%3D+SOVA+AND+Sprint+%3D+3245+AND+status+%3D+%22IN+REVIEW+%2880%25%29%22" xr:uid="{ABB153F5-D73C-436A-975B-41C6AB813F40}"/>
    <hyperlink ref="E15" r:id="rId80" display="https://xrspace.atlassian.net/issues/?jql=created+%3E%3D+2025-02-01+AND+created+%3C%3D+2026-12-31+AND+type+%3D+Bug+AND+project+%3D+SOVA+AND+Sprint+%3D+3246+AND+status+%3D+%22IN+REVIEW+%2880%25%29%22" xr:uid="{6C5511B9-1797-41FF-A3B6-A3345032D935}"/>
    <hyperlink ref="E16" r:id="rId81" display="https://xrspace.atlassian.net/issues/?jql=created+%3E%3D+2025-02-01+AND+created+%3C%3D+2026-12-31+AND+type+%3D+Bug+AND+project+%3D+SOVA+AND+Sprint+%3D+3575+AND+status+%3D+%22IN+REVIEW+%2880%25%29%22" xr:uid="{E6F0A9BC-DA5E-43E8-A7A7-2B0D6F92CD47}"/>
    <hyperlink ref="E17" r:id="rId82" display="https://xrspace.atlassian.net/issues/?jql=created+%3E%3D+2025-02-01+AND+created+%3C%3D+2026-12-31+AND+type+%3D+Bug+AND+project+%3D+SOVA+AND+Sprint+%3D+3608+AND+status+%3D+%22IN+REVIEW+%2880%25%29%22" xr:uid="{4A47E472-83AC-41EA-8D52-CCC9C49E700C}"/>
    <hyperlink ref="E18" r:id="rId83" display="https://xrspace.atlassian.net/issues/?jql=created+%3E%3D+2025-02-01+AND+created+%3C%3D+2026-12-31+AND+type+%3D+Bug+AND+project+%3D+SOVA+AND+Sprint+%3D+3872+AND+status+%3D+%22IN+REVIEW+%2880%25%29%22" xr:uid="{5478DA10-1081-46F7-ABED-7B121AF010A6}"/>
    <hyperlink ref="E19" r:id="rId84" display="https://xrspace.atlassian.net/issues/?jql=created+%3E%3D+2025-02-01+AND+created+%3C%3D+2026-12-31+AND+type+%3D+Bug+AND+project+%3D+SOVA+AND+Sprint+%3D+3873+AND+status+%3D+%22IN+REVIEW+%2880%25%29%22" xr:uid="{7C94B5B5-C710-4557-87E7-1E5B0128A5B5}"/>
    <hyperlink ref="E20" r:id="rId85" display="https://xrspace.atlassian.net/issues/?jql=created+%3E%3D+2025-02-01+AND+created+%3C%3D+2026-12-31+AND+type+%3D+Bug+AND+project+%3D+SOVA+AND+Sprint+%3D+4140+AND+status+%3D+%22IN+REVIEW+%2880%25%29%22" xr:uid="{9E325223-B8BF-4287-BF76-6D74C8B0E8D8}"/>
    <hyperlink ref="E21" r:id="rId86" display="https://xrspace.atlassian.net/issues/?jql=created+%3E%3D+2025-02-01+AND+created+%3C%3D+2026-12-31+AND+type+%3D+Bug+AND+project+%3D+SOVA+AND+Sprint+%3D+4206+AND+status+%3D+%22IN+REVIEW+%2880%25%29%22" xr:uid="{795EF281-D5CE-49AF-88A2-DE1D945FD98C}"/>
    <hyperlink ref="E22" r:id="rId87" display="https://xrspace.atlassian.net/issues/?jql=created+%3E%3D+2025-02-01+AND+created+%3C%3D+2026-12-31+AND+type+%3D+Bug+AND+project+%3D+SOVA+AND+Sprint+%3D+4477+AND+status+%3D+%22IN+REVIEW+%2880%25%29%22" xr:uid="{9EAD6685-A977-4D32-A4A6-74FE6F1BB6DB}"/>
    <hyperlink ref="E23" r:id="rId88" display="https://xrspace.atlassian.net/issues/?jql=created+%3E%3D+2025-02-01+AND+created+%3C%3D+2026-12-31+AND+type+%3D+Bug+AND+project+%3D+SOVA+AND+Sprint+%3D+4478+AND+status+%3D+%22IN+REVIEW+%2880%25%29%22" xr:uid="{F9608723-CB85-459B-815B-2DFC803EF68F}"/>
    <hyperlink ref="G2" r:id="rId89" display="https://xrspace.atlassian.net/issues/?jql=created+%3E%3D+2025-02-01+AND+created+%3C%3D+2026-12-31+AND+type+%3D+Bug+AND+project+%3D+SOVA+AND+Sprint+%3D+1463+AND+status+%3D+%22Done+%28100%25%29%22" xr:uid="{C45BDE21-D4BC-4904-8D07-AA7502D31E52}"/>
    <hyperlink ref="G3" r:id="rId90" display="https://xrspace.atlassian.net/issues/?jql=created+%3E%3D+2025-02-01+AND+created+%3C%3D+2026-12-31+AND+type+%3D+Bug+AND+project+%3D+SOVA+AND+Sprint+%3D+1466+AND+status+%3D+%22Done+%28100%25%29%22" xr:uid="{A526ED18-2329-4B7B-A1FD-BD4532304E60}"/>
    <hyperlink ref="G4" r:id="rId91" display="https://xrspace.atlassian.net/issues/?jql=created+%3E%3D+2025-02-01+AND+created+%3C%3D+2026-12-31+AND+type+%3D+Bug+AND+project+%3D+SOVA+AND+Sprint+%3D+1496+AND+status+%3D+%22Done+%28100%25%29%22" xr:uid="{622F0DA2-2040-4DCD-94C9-347B6361D2C0}"/>
    <hyperlink ref="G5" r:id="rId92" display="https://xrspace.atlassian.net/issues/?jql=created+%3E%3D+2025-02-01+AND+created+%3C%3D+2026-12-31+AND+type+%3D+Bug+AND+project+%3D+SOVA+AND+Sprint+%3D+1497+AND+status+%3D+%22Done+%28100%25%29%22" xr:uid="{21BCC228-5D12-4D07-BC9A-5A12C0B63416}"/>
    <hyperlink ref="G6" r:id="rId93" display="https://xrspace.atlassian.net/issues/?jql=created+%3E%3D+2025-02-01+AND+created+%3C%3D+2026-12-31+AND+type+%3D+Bug+AND+project+%3D+SOVA+AND+Sprint+%3D+1498+AND+status+%3D+%22Done+%28100%25%29%22" xr:uid="{324A84BA-2AB3-4529-B441-E26FA5140E62}"/>
    <hyperlink ref="G7" r:id="rId94" display="https://xrspace.atlassian.net/issues/?jql=created+%3E%3D+2025-02-01+AND+created+%3C%3D+2026-12-31+AND+type+%3D+Bug+AND+project+%3D+SOVA+AND+Sprint+%3D+1499+AND+status+%3D+%22Done+%28100%25%29%22" xr:uid="{BA385DC4-6514-4822-BACD-B01DE8BB6729}"/>
    <hyperlink ref="G8" r:id="rId95" display="https://xrspace.atlassian.net/issues/?jql=created+%3E%3D+2025-02-01+AND+created+%3C%3D+2026-12-31+AND+type+%3D+Bug+AND+project+%3D+SOVA+AND+Sprint+%3D+2156+AND+status+%3D+%22Done+%28100%25%29%22" xr:uid="{A8B2D60C-16F0-47B0-8E3C-254E7A19EF01}"/>
    <hyperlink ref="G9" r:id="rId96" display="https://xrspace.atlassian.net/issues/?jql=created+%3E%3D+2025-02-01+AND+created+%3C%3D+2026-12-31+AND+type+%3D+Bug+AND+project+%3D+SOVA+AND+Sprint+%3D+2157+AND+status+%3D+%22Done+%28100%25%29%22" xr:uid="{FE81029C-FE6E-4EA1-B792-983AF03F0D55}"/>
    <hyperlink ref="G10" r:id="rId97" display="https://xrspace.atlassian.net/issues/?jql=created+%3E%3D+2025-02-01+AND+created+%3C%3D+2026-12-31+AND+type+%3D+Bug+AND+project+%3D+SOVA+AND+Sprint+%3D+2618+AND+status+%3D+%22Done+%28100%25%29%22" xr:uid="{490019D6-7DA5-4315-ABE6-9591695BDFF0}"/>
    <hyperlink ref="G11" r:id="rId98" display="https://xrspace.atlassian.net/issues/?jql=created+%3E%3D+2025-02-01+AND+created+%3C%3D+2026-12-31+AND+type+%3D+Bug+AND+project+%3D+SOVA+AND+Sprint+%3D+2619+AND+status+%3D+%22Done+%28100%25%29%22" xr:uid="{1C2777E2-317E-4EEE-AB5F-2DAF39412074}"/>
    <hyperlink ref="G12" r:id="rId99" display="https://xrspace.atlassian.net/issues/?jql=created+%3E%3D+2025-02-01+AND+created+%3C%3D+2026-12-31+AND+type+%3D+Bug+AND+project+%3D+SOVA+AND+Sprint+%3D+2882+AND+status+%3D+%22Done+%28100%25%29%22" xr:uid="{52B2DDB7-2D0B-45F2-830F-52137A300AF1}"/>
    <hyperlink ref="G13" r:id="rId100" display="https://xrspace.atlassian.net/issues/?jql=created+%3E%3D+2025-02-01+AND+created+%3C%3D+2026-12-31+AND+type+%3D+Bug+AND+project+%3D+SOVA+AND+Sprint+%3D+3213+AND+status+%3D+%22Done+%28100%25%29%22" xr:uid="{0F10BD7C-69F3-4D8E-B4AF-3FDCF167D947}"/>
    <hyperlink ref="G14" r:id="rId101" display="https://xrspace.atlassian.net/issues/?jql=created+%3E%3D+2025-02-01+AND+created+%3C%3D+2026-12-31+AND+type+%3D+Bug+AND+project+%3D+SOVA+AND+Sprint+%3D+3245+AND+status+%3D+%22Done+%28100%25%29%22" xr:uid="{816E2917-E752-4436-BAAC-4717C5B4EAB8}"/>
    <hyperlink ref="G15" r:id="rId102" display="https://xrspace.atlassian.net/issues/?jql=created+%3E%3D+2025-02-01+AND+created+%3C%3D+2026-12-31+AND+type+%3D+Bug+AND+project+%3D+SOVA+AND+Sprint+%3D+3246+AND+status+%3D+%22Done+%28100%25%29%22" xr:uid="{5AD4E102-C987-4E2F-88E3-DA0B7E922FBD}"/>
    <hyperlink ref="G16" r:id="rId103" display="https://xrspace.atlassian.net/issues/?jql=created+%3E%3D+2025-02-01+AND+created+%3C%3D+2026-12-31+AND+type+%3D+Bug+AND+project+%3D+SOVA+AND+Sprint+%3D+3575+AND+status+%3D+%22Done+%28100%25%29%22" xr:uid="{16D0708B-DE4F-42F9-9557-EC55E867CD7A}"/>
    <hyperlink ref="G17" r:id="rId104" display="https://xrspace.atlassian.net/issues/?jql=created+%3E%3D+2025-02-01+AND+created+%3C%3D+2026-12-31+AND+type+%3D+Bug+AND+project+%3D+SOVA+AND+Sprint+%3D+3608+AND+status+%3D+%22Done+%28100%25%29%22" xr:uid="{04C86E3B-B569-42A6-A022-2783F1E8CDBB}"/>
    <hyperlink ref="G18" r:id="rId105" display="https://xrspace.atlassian.net/issues/?jql=created+%3E%3D+2025-02-01+AND+created+%3C%3D+2026-12-31+AND+type+%3D+Bug+AND+project+%3D+SOVA+AND+Sprint+%3D+3872+AND+status+%3D+%22Done+%28100%25%29%22" xr:uid="{B88E2ECA-6B25-41C1-9B42-7E23975AE6ED}"/>
    <hyperlink ref="G19" r:id="rId106" display="https://xrspace.atlassian.net/issues/?jql=created+%3E%3D+2025-02-01+AND+created+%3C%3D+2026-12-31+AND+type+%3D+Bug+AND+project+%3D+SOVA+AND+Sprint+%3D+3873+AND+status+%3D+%22Done+%28100%25%29%22" xr:uid="{19D16FB3-375E-47FB-AEC3-6646EC3C318F}"/>
    <hyperlink ref="G20" r:id="rId107" display="https://xrspace.atlassian.net/issues/?jql=created+%3E%3D+2025-02-01+AND+created+%3C%3D+2026-12-31+AND+type+%3D+Bug+AND+project+%3D+SOVA+AND+Sprint+%3D+4140+AND+status+%3D+%22Done+%28100%25%29%22" xr:uid="{0F9D44E4-3F96-41E4-A3E1-8D08DD4E376F}"/>
    <hyperlink ref="G21" r:id="rId108" display="https://xrspace.atlassian.net/issues/?jql=created+%3E%3D+2025-02-01+AND+created+%3C%3D+2026-12-31+AND+type+%3D+Bug+AND+project+%3D+SOVA+AND+Sprint+%3D+4206+AND+status+%3D+%22Done+%28100%25%29%22" xr:uid="{49A226DB-2668-41E1-9830-F38A2955877C}"/>
    <hyperlink ref="G22" r:id="rId109" display="https://xrspace.atlassian.net/issues/?jql=created+%3E%3D+2025-02-01+AND+created+%3C%3D+2026-12-31+AND+type+%3D+Bug+AND+project+%3D+SOVA+AND+Sprint+%3D+4477+AND+status+%3D+%22Done+%28100%25%29%22" xr:uid="{7CB5F3FC-DB76-4AB5-B1B9-EEE80B502933}"/>
    <hyperlink ref="G23" r:id="rId110" display="https://xrspace.atlassian.net/issues/?jql=created+%3E%3D+2025-02-01+AND+created+%3C%3D+2026-12-31+AND+type+%3D+Bug+AND+project+%3D+SOVA+AND+Sprint+%3D+4478+AND+status+%3D+%22Done+%28100%25%29%22" xr:uid="{E6F7106A-883A-48C8-B28F-095557CEB676}"/>
    <hyperlink ref="H2" r:id="rId111" display="https://xrspace.atlassian.net/issues/?jql=created+%3E%3D+2025-02-01+AND+created+%3C%3D+2026-12-31+AND+type+%3D+Bug+AND+project+%3D+SOVA+AND+Sprint+%3D+1463+AND+status+%3D+%22WON%27T+DO+%28100%25%29%22" xr:uid="{D6CA0BD6-C3A7-49C2-8CD0-3CC6266CFD3C}"/>
    <hyperlink ref="H3" r:id="rId112" display="https://xrspace.atlassian.net/issues/?jql=created+%3E%3D+2025-02-01+AND+created+%3C%3D+2026-12-31+AND+type+%3D+Bug+AND+project+%3D+SOVA+AND+Sprint+%3D+1466+AND+status+%3D+%22WON%27T+DO+%28100%25%29%22" xr:uid="{3415F28F-3753-47A6-989E-AE23A9CC29D5}"/>
    <hyperlink ref="H4" r:id="rId113" display="https://xrspace.atlassian.net/issues/?jql=created+%3E%3D+2025-02-01+AND+created+%3C%3D+2026-12-31+AND+type+%3D+Bug+AND+project+%3D+SOVA+AND+Sprint+%3D+1496+AND+status+%3D+%22WON%27T+DO+%28100%25%29%22" xr:uid="{5596DE86-0929-43F9-87CD-72F8300DD198}"/>
    <hyperlink ref="H5" r:id="rId114" display="https://xrspace.atlassian.net/issues/?jql=created+%3E%3D+2025-02-01+AND+created+%3C%3D+2026-12-31+AND+type+%3D+Bug+AND+project+%3D+SOVA+AND+Sprint+%3D+1497+AND+status+%3D+%22WON%27T+DO+%28100%25%29%22" xr:uid="{B581EB43-DE3C-46B5-B0A5-6B738D9F3364}"/>
    <hyperlink ref="H6" r:id="rId115" display="https://xrspace.atlassian.net/issues/?jql=created+%3E%3D+2025-02-01+AND+created+%3C%3D+2026-12-31+AND+type+%3D+Bug+AND+project+%3D+SOVA+AND+Sprint+%3D+1498+AND+status+%3D+%22WON%27T+DO+%28100%25%29%22" xr:uid="{12EB98D5-A057-46F5-9071-8199E8632963}"/>
    <hyperlink ref="H7" r:id="rId116" display="https://xrspace.atlassian.net/issues/?jql=created+%3E%3D+2025-02-01+AND+created+%3C%3D+2026-12-31+AND+type+%3D+Bug+AND+project+%3D+SOVA+AND+Sprint+%3D+1499+AND+status+%3D+%22WON%27T+DO+%28100%25%29%22" xr:uid="{BF646275-E30A-4C6C-898D-BE8635110428}"/>
    <hyperlink ref="H8" r:id="rId117" display="https://xrspace.atlassian.net/issues/?jql=created+%3E%3D+2025-02-01+AND+created+%3C%3D+2026-12-31+AND+type+%3D+Bug+AND+project+%3D+SOVA+AND+Sprint+%3D+2156+AND+status+%3D+%22WON%27T+DO+%28100%25%29%22" xr:uid="{208B3CA5-4876-46B0-BD28-23F119F2D419}"/>
    <hyperlink ref="H9" r:id="rId118" display="https://xrspace.atlassian.net/issues/?jql=created+%3E%3D+2025-02-01+AND+created+%3C%3D+2026-12-31+AND+type+%3D+Bug+AND+project+%3D+SOVA+AND+Sprint+%3D+2157+AND+status+%3D+%22WON%27T+DO+%28100%25%29%22" xr:uid="{F1A6B9AB-F4C6-41B9-AB70-A98BC48DEBF3}"/>
    <hyperlink ref="H10" r:id="rId119" display="https://xrspace.atlassian.net/issues/?jql=created+%3E%3D+2025-02-01+AND+created+%3C%3D+2026-12-31+AND+type+%3D+Bug+AND+project+%3D+SOVA+AND+Sprint+%3D+2618+AND+status+%3D+%22WON%27T+DO+%28100%25%29%22" xr:uid="{7EE53B81-55EE-420B-A7F6-7CFDCB8F686C}"/>
    <hyperlink ref="H11" r:id="rId120" display="https://xrspace.atlassian.net/issues/?jql=created+%3E%3D+2025-02-01+AND+created+%3C%3D+2026-12-31+AND+type+%3D+Bug+AND+project+%3D+SOVA+AND+Sprint+%3D+2619+AND+status+%3D+%22WON%27T+DO+%28100%25%29%22" xr:uid="{63D2BDCE-E302-457F-A43F-61FE836C0EE6}"/>
    <hyperlink ref="H12" r:id="rId121" display="https://xrspace.atlassian.net/issues/?jql=created+%3E%3D+2025-02-01+AND+created+%3C%3D+2026-12-31+AND+type+%3D+Bug+AND+project+%3D+SOVA+AND+Sprint+%3D+2882+AND+status+%3D+%22WON%27T+DO+%28100%25%29%22" xr:uid="{4F09F5D0-CFF0-4C7D-B7A6-49032EFA480A}"/>
    <hyperlink ref="H13" r:id="rId122" display="https://xrspace.atlassian.net/issues/?jql=created+%3E%3D+2025-02-01+AND+created+%3C%3D+2026-12-31+AND+type+%3D+Bug+AND+project+%3D+SOVA+AND+Sprint+%3D+3213+AND+status+%3D+%22WON%27T+DO+%28100%25%29%22" xr:uid="{370E2FA6-C3A9-4A08-8637-D75A1937B10F}"/>
    <hyperlink ref="H14" r:id="rId123" display="https://xrspace.atlassian.net/issues/?jql=created+%3E%3D+2025-02-01+AND+created+%3C%3D+2026-12-31+AND+type+%3D+Bug+AND+project+%3D+SOVA+AND+Sprint+%3D+3245+AND+status+%3D+%22WON%27T+DO+%28100%25%29%22" xr:uid="{7971D608-C831-4B71-BAC6-CD6ADB78504F}"/>
    <hyperlink ref="H15" r:id="rId124" display="https://xrspace.atlassian.net/issues/?jql=created+%3E%3D+2025-02-01+AND+created+%3C%3D+2026-12-31+AND+type+%3D+Bug+AND+project+%3D+SOVA+AND+Sprint+%3D+3246+AND+status+%3D+%22WON%27T+DO+%28100%25%29%22" xr:uid="{4991A749-D239-4CD0-AE97-58D3785721E5}"/>
    <hyperlink ref="H16" r:id="rId125" display="https://xrspace.atlassian.net/issues/?jql=created+%3E%3D+2025-02-01+AND+created+%3C%3D+2026-12-31+AND+type+%3D+Bug+AND+project+%3D+SOVA+AND+Sprint+%3D+3575+AND+status+%3D+%22WON%27T+DO+%28100%25%29%22" xr:uid="{C570E3C9-D355-459A-86BC-3F074539FADF}"/>
    <hyperlink ref="H17" r:id="rId126" display="https://xrspace.atlassian.net/issues/?jql=created+%3E%3D+2025-02-01+AND+created+%3C%3D+2026-12-31+AND+type+%3D+Bug+AND+project+%3D+SOVA+AND+Sprint+%3D+3608+AND+status+%3D+%22WON%27T+DO+%28100%25%29%22" xr:uid="{935E6A28-3696-42EE-BE9A-875F59AC3306}"/>
    <hyperlink ref="H18" r:id="rId127" display="https://xrspace.atlassian.net/issues/?jql=created+%3E%3D+2025-02-01+AND+created+%3C%3D+2026-12-31+AND+type+%3D+Bug+AND+project+%3D+SOVA+AND+Sprint+%3D+3872+AND+status+%3D+%22WON%27T+DO+%28100%25%29%22" xr:uid="{A1A00600-0F0C-4C9D-B3DC-FAC76298239D}"/>
    <hyperlink ref="H19" r:id="rId128" display="https://xrspace.atlassian.net/issues/?jql=created+%3E%3D+2025-02-01+AND+created+%3C%3D+2026-12-31+AND+type+%3D+Bug+AND+project+%3D+SOVA+AND+Sprint+%3D+3873+AND+status+%3D+%22WON%27T+DO+%28100%25%29%22" xr:uid="{F13FB2C4-04D2-4AE0-AE1D-C22766CADAAA}"/>
    <hyperlink ref="H20" r:id="rId129" display="https://xrspace.atlassian.net/issues/?jql=created+%3E%3D+2025-02-01+AND+created+%3C%3D+2026-12-31+AND+type+%3D+Bug+AND+project+%3D+SOVA+AND+Sprint+%3D+4140+AND+status+%3D+%22WON%27T+DO+%28100%25%29%22" xr:uid="{4E49A302-9915-4F4C-AAC6-8B5677FDB5B2}"/>
    <hyperlink ref="H21" r:id="rId130" display="https://xrspace.atlassian.net/issues/?jql=created+%3E%3D+2025-02-01+AND+created+%3C%3D+2026-12-31+AND+type+%3D+Bug+AND+project+%3D+SOVA+AND+Sprint+%3D+4206+AND+status+%3D+%22WON%27T+DO+%28100%25%29%22" xr:uid="{846CD0E9-8F7B-4FD9-9250-EC0762D609F5}"/>
    <hyperlink ref="H22" r:id="rId131" display="https://xrspace.atlassian.net/issues/?jql=created+%3E%3D+2025-02-01+AND+created+%3C%3D+2026-12-31+AND+type+%3D+Bug+AND+project+%3D+SOVA+AND+Sprint+%3D+4477+AND+status+%3D+%22WON%27T+DO+%28100%25%29%22" xr:uid="{AF5480CF-E769-45C1-8DF1-5BF8CCC70E80}"/>
    <hyperlink ref="H23" r:id="rId132" display="https://xrspace.atlassian.net/issues/?jql=created+%3E%3D+2025-02-01+AND+created+%3C%3D+2026-12-31+AND+type+%3D+Bug+AND+project+%3D+SOVA+AND+Sprint+%3D+4478+AND+status+%3D+%22WON%27T+DO+%28100%25%29%22" xr:uid="{B7BF2E29-8557-4625-B629-864A07DB95EE}"/>
  </hyperlinks>
  <pageMargins left="0.7" right="0.7" top="0.75" bottom="0.75" header="0.3" footer="0.3"/>
  <pageSetup orientation="portrait" r:id="rId133"/>
  <drawing r:id="rId134"/>
  <tableParts count="1">
    <tablePart r:id="rId13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16"/>
  <sheetViews>
    <sheetView workbookViewId="0">
      <selection activeCell="E20" sqref="E20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48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0.100000000000001" customHeight="1">
      <c r="A2" s="2" t="s">
        <v>69</v>
      </c>
      <c r="B2" s="13">
        <v>0</v>
      </c>
      <c r="C2" s="13">
        <v>0</v>
      </c>
      <c r="D2" s="13">
        <v>91</v>
      </c>
      <c r="E2" s="13">
        <f>SUM(Table25[[#This Row],[Done]:[TODO (P1)]])</f>
        <v>91</v>
      </c>
    </row>
    <row r="3" spans="1:5" ht="20.100000000000001" customHeight="1">
      <c r="A3" s="3" t="s">
        <v>70</v>
      </c>
      <c r="B3" s="14">
        <v>0</v>
      </c>
      <c r="C3" s="14">
        <v>1</v>
      </c>
      <c r="D3" s="14">
        <v>90</v>
      </c>
      <c r="E3" s="14">
        <f>SUM(Table25[[#This Row],[Done]:[TODO (P1)]])</f>
        <v>91</v>
      </c>
    </row>
    <row r="4" spans="1:5" ht="20.100000000000001" customHeight="1">
      <c r="A4" s="2" t="s">
        <v>71</v>
      </c>
      <c r="B4" s="14">
        <v>0</v>
      </c>
      <c r="C4" s="14">
        <v>1</v>
      </c>
      <c r="D4" s="14">
        <v>90</v>
      </c>
      <c r="E4" s="14">
        <f>SUM(Table25[[#This Row],[Done]:[TODO (P1)]])</f>
        <v>91</v>
      </c>
    </row>
    <row r="5" spans="1:5" ht="20.100000000000001" customHeight="1">
      <c r="A5" s="3" t="s">
        <v>72</v>
      </c>
      <c r="B5" s="14">
        <v>0</v>
      </c>
      <c r="C5" s="14">
        <v>1</v>
      </c>
      <c r="D5" s="14">
        <v>90</v>
      </c>
      <c r="E5" s="14">
        <f>SUM(Table25[[#This Row],[Done]:[TODO (P1)]])</f>
        <v>91</v>
      </c>
    </row>
    <row r="6" spans="1:5" ht="20.100000000000001" customHeight="1">
      <c r="A6" s="3" t="s">
        <v>73</v>
      </c>
      <c r="B6" s="14">
        <v>5</v>
      </c>
      <c r="C6" s="14">
        <v>0</v>
      </c>
      <c r="D6" s="14">
        <v>77</v>
      </c>
      <c r="E6" s="14">
        <f>SUM(Table25[[#This Row],[Done]:[TODO (P1)]])</f>
        <v>82</v>
      </c>
    </row>
    <row r="7" spans="1:5" ht="20.100000000000001" customHeight="1">
      <c r="A7" s="3" t="s">
        <v>74</v>
      </c>
      <c r="B7" s="14">
        <v>5</v>
      </c>
      <c r="C7" s="14">
        <v>0</v>
      </c>
      <c r="D7" s="14">
        <v>77</v>
      </c>
      <c r="E7" s="14">
        <f>SUM(Table25[[#This Row],[Done]:[TODO (P1)]])</f>
        <v>82</v>
      </c>
    </row>
    <row r="8" spans="1:5" ht="20.100000000000001" customHeight="1">
      <c r="A8" s="3" t="s">
        <v>75</v>
      </c>
      <c r="B8" s="14">
        <v>5</v>
      </c>
      <c r="C8" s="14">
        <v>1</v>
      </c>
      <c r="D8" s="14">
        <v>76</v>
      </c>
      <c r="E8" s="14">
        <f>SUM(Table25[[#This Row],[Done]:[TODO (P1)]])</f>
        <v>82</v>
      </c>
    </row>
    <row r="9" spans="1:5" ht="20.100000000000001" customHeight="1">
      <c r="A9" s="3" t="s">
        <v>76</v>
      </c>
      <c r="B9" s="14">
        <v>6</v>
      </c>
      <c r="C9" s="14">
        <v>1</v>
      </c>
      <c r="D9" s="14">
        <v>76</v>
      </c>
      <c r="E9" s="14">
        <f>SUM(Table25[[#This Row],[Done]:[TODO (P1)]])</f>
        <v>83</v>
      </c>
    </row>
    <row r="10" spans="1:5" ht="20.100000000000001" customHeight="1">
      <c r="A10" s="3" t="s">
        <v>77</v>
      </c>
      <c r="B10" s="14">
        <v>6</v>
      </c>
      <c r="C10" s="14">
        <v>1</v>
      </c>
      <c r="D10" s="14">
        <v>76</v>
      </c>
      <c r="E10" s="14">
        <f>SUM(Table25[[#This Row],[Done]:[TODO (P1)]])</f>
        <v>83</v>
      </c>
    </row>
    <row r="11" spans="1:5" ht="20.100000000000001" customHeight="1">
      <c r="A11" s="3" t="s">
        <v>78</v>
      </c>
      <c r="B11" s="14">
        <v>12</v>
      </c>
      <c r="C11" s="14">
        <v>0</v>
      </c>
      <c r="D11" s="14">
        <v>77</v>
      </c>
      <c r="E11" s="14">
        <v>89</v>
      </c>
    </row>
    <row r="12" spans="1:5" ht="20.100000000000001" customHeight="1">
      <c r="A12" s="3" t="s">
        <v>79</v>
      </c>
      <c r="B12" s="14">
        <v>22</v>
      </c>
      <c r="C12" s="14">
        <v>0</v>
      </c>
      <c r="D12" s="14">
        <v>74</v>
      </c>
      <c r="E12" s="14">
        <f>SUM(Table25[[#This Row],[Done]:[TODO (P1)]])</f>
        <v>96</v>
      </c>
    </row>
    <row r="13" spans="1:5" ht="20.100000000000001" customHeight="1">
      <c r="A13" s="3" t="s">
        <v>80</v>
      </c>
      <c r="B13" s="14">
        <v>27</v>
      </c>
      <c r="C13" s="14">
        <v>0</v>
      </c>
      <c r="D13" s="14">
        <v>69</v>
      </c>
      <c r="E13" s="14">
        <f>SUM(Table25[[#This Row],[Done]:[TODO (P1)]])</f>
        <v>96</v>
      </c>
    </row>
    <row r="14" spans="1:5" ht="20.100000000000001" customHeight="1">
      <c r="A14" s="3" t="s">
        <v>68</v>
      </c>
      <c r="B14" s="14">
        <v>27</v>
      </c>
      <c r="C14" s="14">
        <v>2</v>
      </c>
      <c r="D14" s="14">
        <v>67</v>
      </c>
      <c r="E14" s="14">
        <f>SUM(Table25[[#This Row],[Done]:[TODO (P1)]])</f>
        <v>96</v>
      </c>
    </row>
    <row r="15" spans="1:5" ht="20.100000000000001" customHeight="1">
      <c r="A15" s="3" t="s">
        <v>81</v>
      </c>
      <c r="B15" s="14">
        <v>44</v>
      </c>
      <c r="C15" s="14">
        <v>3</v>
      </c>
      <c r="D15" s="14">
        <v>50</v>
      </c>
      <c r="E15" s="14">
        <f>SUM(Table25[[#This Row],[Done]:[TODO (P1)]])</f>
        <v>97</v>
      </c>
    </row>
    <row r="16" spans="1:5" ht="20.100000000000001" customHeight="1">
      <c r="A16" s="3" t="s">
        <v>98</v>
      </c>
      <c r="B16" s="14">
        <v>57</v>
      </c>
      <c r="C16" s="14">
        <v>0</v>
      </c>
      <c r="D16" s="14">
        <v>41</v>
      </c>
      <c r="E16" s="14">
        <f>SUM(Table25[[#This Row],[Done]:[TODO (P1)]])</f>
        <v>98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2026-01-16T05:45:34Z</dcterms:modified>
</cp:coreProperties>
</file>