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WHSU\Desktop\Workspace\CycleView\data\"/>
    </mc:Choice>
  </mc:AlternateContent>
  <xr:revisionPtr revIDLastSave="0" documentId="13_ncr:1_{9E66F38C-6694-4EB2-BAF4-90083EEB6E97}" xr6:coauthVersionLast="47" xr6:coauthVersionMax="47" xr10:uidLastSave="{00000000-0000-0000-0000-000000000000}"/>
  <bookViews>
    <workbookView xWindow="-120" yWindow="-120" windowWidth="29040" windowHeight="15720" xr2:uid="{EB11FF79-EF06-B64E-AA6A-0CFF391A8BD1}"/>
  </bookViews>
  <sheets>
    <sheet name="TestAutomationProgress" sheetId="1" r:id="rId1"/>
    <sheet name="Humi-TestResult" sheetId="4" r:id="rId2"/>
    <sheet name="SOVA-TestResult" sheetId="2" r:id="rId3"/>
    <sheet name="Humi-BugTrend" sheetId="3" r:id="rId4"/>
    <sheet name="SOVA-BugTrend" sheetId="5" r:id="rId5"/>
    <sheet name="SOVA-UIAutomation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39" i="2" l="1"/>
  <c r="E27" i="6"/>
  <c r="H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1" i="4"/>
  <c r="H18" i="4"/>
  <c r="H19" i="4"/>
  <c r="H20" i="4"/>
  <c r="B20" i="4"/>
  <c r="H38" i="2"/>
  <c r="I22" i="5"/>
  <c r="I23" i="5"/>
  <c r="I24" i="5"/>
  <c r="E26" i="6"/>
  <c r="E25" i="6"/>
  <c r="H37" i="2"/>
  <c r="H36" i="2"/>
  <c r="E24" i="6"/>
  <c r="E23" i="6"/>
  <c r="H35" i="2"/>
  <c r="E22" i="6"/>
  <c r="I21" i="5"/>
  <c r="E21" i="1"/>
  <c r="H34" i="2"/>
  <c r="E21" i="6"/>
  <c r="E20" i="1"/>
  <c r="H40" i="2"/>
  <c r="H32" i="2"/>
  <c r="H33" i="2"/>
  <c r="E20" i="6"/>
  <c r="E19" i="6"/>
  <c r="E19" i="1"/>
  <c r="H31" i="2"/>
  <c r="E18" i="1"/>
  <c r="H2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30" i="2"/>
  <c r="E28" i="6"/>
  <c r="E18" i="6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" i="5"/>
  <c r="E17" i="1"/>
  <c r="E17" i="6"/>
  <c r="H29" i="2"/>
  <c r="E16" i="1"/>
  <c r="E16" i="6"/>
  <c r="H28" i="2"/>
  <c r="H27" i="2"/>
  <c r="E15" i="1"/>
  <c r="E15" i="6"/>
  <c r="E14" i="1"/>
  <c r="E14" i="6"/>
  <c r="E13" i="6"/>
  <c r="H25" i="2"/>
  <c r="E13" i="1"/>
  <c r="E12" i="6"/>
  <c r="E12" i="1"/>
  <c r="E11" i="1"/>
  <c r="H24" i="2"/>
  <c r="H23" i="2"/>
  <c r="E10" i="1"/>
  <c r="E10" i="6"/>
  <c r="E9" i="1"/>
  <c r="H26" i="2"/>
  <c r="E9" i="6"/>
  <c r="H22" i="2"/>
  <c r="H21" i="2"/>
  <c r="E8" i="6"/>
  <c r="H19" i="2"/>
  <c r="E6" i="6"/>
  <c r="E7" i="1"/>
  <c r="E5" i="6"/>
  <c r="E8" i="1"/>
  <c r="H18" i="2"/>
  <c r="E7" i="6"/>
  <c r="E6" i="1"/>
  <c r="H20" i="2"/>
  <c r="E5" i="1"/>
  <c r="E4" i="1"/>
  <c r="E3" i="6"/>
  <c r="E2" i="6"/>
  <c r="E4" i="6"/>
  <c r="H16" i="2"/>
  <c r="E2" i="1"/>
  <c r="E3" i="1"/>
  <c r="H14" i="2"/>
  <c r="H6" i="2"/>
  <c r="H2" i="2"/>
  <c r="H4" i="2"/>
  <c r="H8" i="2"/>
  <c r="H10" i="2"/>
  <c r="H12" i="2"/>
</calcChain>
</file>

<file path=xl/sharedStrings.xml><?xml version="1.0" encoding="utf-8"?>
<sst xmlns="http://schemas.openxmlformats.org/spreadsheetml/2006/main" count="202" uniqueCount="113">
  <si>
    <t>TODO (P1)</t>
  </si>
  <si>
    <t>Done</t>
  </si>
  <si>
    <t>In Review/Progress</t>
  </si>
  <si>
    <t>Total</t>
  </si>
  <si>
    <t>v1.22</t>
  </si>
  <si>
    <t>v1.23</t>
  </si>
  <si>
    <t>v1.24</t>
  </si>
  <si>
    <t>v1.25</t>
  </si>
  <si>
    <t>v1.26</t>
  </si>
  <si>
    <t>v1.27</t>
  </si>
  <si>
    <t>v1.28</t>
  </si>
  <si>
    <t>Passed</t>
  </si>
  <si>
    <t>Known Issue</t>
  </si>
  <si>
    <t>Failed</t>
  </si>
  <si>
    <t>Partially Failed</t>
  </si>
  <si>
    <t>Untested</t>
  </si>
  <si>
    <t>Blocked</t>
  </si>
  <si>
    <t>In Review</t>
  </si>
  <si>
    <t>To Do</t>
  </si>
  <si>
    <t>v1.20</t>
  </si>
  <si>
    <t>v1.21</t>
  </si>
  <si>
    <t>Version</t>
  </si>
  <si>
    <t>Sprint</t>
  </si>
  <si>
    <t>To Do (0%)</t>
  </si>
  <si>
    <t>Done (100%)</t>
  </si>
  <si>
    <t>IN REVIEW (80%)</t>
  </si>
  <si>
    <t>WON'T DO (100%)</t>
  </si>
  <si>
    <t>STARTING (10 ~ 40%)</t>
  </si>
  <si>
    <t>y25w30</t>
  </si>
  <si>
    <t>y25w32</t>
  </si>
  <si>
    <t>y25w34</t>
  </si>
  <si>
    <t>y25w36</t>
  </si>
  <si>
    <t>Versions</t>
  </si>
  <si>
    <t>y25w38</t>
  </si>
  <si>
    <t>y25w40</t>
  </si>
  <si>
    <t>In Progress</t>
  </si>
  <si>
    <t>Week</t>
  </si>
  <si>
    <t>v1.29</t>
  </si>
  <si>
    <t>In QA</t>
  </si>
  <si>
    <t>Internal Test</t>
  </si>
  <si>
    <t>In Progress (50 ~ 70%)</t>
  </si>
  <si>
    <t>y25w42</t>
  </si>
  <si>
    <t>v1.30</t>
  </si>
  <si>
    <t>v1.31</t>
  </si>
  <si>
    <t>y25w44</t>
  </si>
  <si>
    <t>y25w46</t>
  </si>
  <si>
    <t>v1.32</t>
  </si>
  <si>
    <t>v1.33</t>
  </si>
  <si>
    <t>y25w48</t>
  </si>
  <si>
    <t>v1.34</t>
  </si>
  <si>
    <t>y25w50</t>
  </si>
  <si>
    <t>y25w52</t>
  </si>
  <si>
    <t>v1.35</t>
  </si>
  <si>
    <t>v1.36</t>
  </si>
  <si>
    <t>READY FOR TESTING (90%)</t>
  </si>
  <si>
    <t>26W01</t>
  </si>
  <si>
    <t>25W41</t>
  </si>
  <si>
    <t>25W42</t>
  </si>
  <si>
    <t>25W43</t>
  </si>
  <si>
    <t>25W44</t>
  </si>
  <si>
    <t>25W45</t>
  </si>
  <si>
    <t>25W46</t>
  </si>
  <si>
    <t>25W47</t>
  </si>
  <si>
    <t>25W48</t>
  </si>
  <si>
    <t>25W49</t>
  </si>
  <si>
    <t>25W50</t>
  </si>
  <si>
    <t>25W51</t>
  </si>
  <si>
    <t>25W52</t>
  </si>
  <si>
    <t>26W02</t>
  </si>
  <si>
    <t>25W32</t>
  </si>
  <si>
    <t>25W33</t>
  </si>
  <si>
    <t>25W34</t>
  </si>
  <si>
    <t>25W35</t>
  </si>
  <si>
    <t>25W36</t>
  </si>
  <si>
    <t>25W37</t>
  </si>
  <si>
    <t>25W38</t>
  </si>
  <si>
    <t>25W39</t>
  </si>
  <si>
    <t>25W40</t>
  </si>
  <si>
    <t>25W28</t>
  </si>
  <si>
    <t>25W29</t>
  </si>
  <si>
    <t>25W30</t>
  </si>
  <si>
    <t>25W31</t>
  </si>
  <si>
    <t>v1.37</t>
  </si>
  <si>
    <t>26W03</t>
  </si>
  <si>
    <t>26W04</t>
  </si>
  <si>
    <t>26W05</t>
  </si>
  <si>
    <t>v1.38</t>
  </si>
  <si>
    <t>v1.39</t>
  </si>
  <si>
    <t>y26w10</t>
  </si>
  <si>
    <t>26W06</t>
  </si>
  <si>
    <t>26W07</t>
  </si>
  <si>
    <t>26W10</t>
  </si>
  <si>
    <t>26W08</t>
  </si>
  <si>
    <t>v1.40</t>
  </si>
  <si>
    <t>y26w2</t>
  </si>
  <si>
    <t>y26w4</t>
  </si>
  <si>
    <t>y26w6</t>
  </si>
  <si>
    <t>y26w8</t>
  </si>
  <si>
    <t>y26w12</t>
  </si>
  <si>
    <t>Candidate</t>
  </si>
  <si>
    <t>26W11</t>
  </si>
  <si>
    <t>y26w14</t>
  </si>
  <si>
    <t>26W12</t>
  </si>
  <si>
    <t>y26w16</t>
  </si>
  <si>
    <t>26W13</t>
  </si>
  <si>
    <t>v1.41</t>
  </si>
  <si>
    <t>y25w28</t>
  </si>
  <si>
    <t>26W14</t>
  </si>
  <si>
    <t>26W15</t>
  </si>
  <si>
    <t>26W16</t>
  </si>
  <si>
    <t>y26w18</t>
  </si>
  <si>
    <t>v1.42</t>
  </si>
  <si>
    <t>26W17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</si>
</sst>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color rgb="FF292A2E"/>
      <name val="Segoe UI"/>
      <family val="2"/>
    </font>
    <font>
      <sz val="16"/>
      <color theme="0"/>
      <name val="Helvetica Neue"/>
      <family val="2"/>
    </font>
    <font>
      <sz val="11"/>
      <color theme="0"/>
      <name val="Helvetica Neue"/>
      <family val="2"/>
    </font>
    <font>
      <sz val="12"/>
      <color theme="0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6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>
      <alignment horizontal="center" vertical="center"/>
    </xf>
    <xf numFmtId="0" fontId="3" fillId="2" borderId="4" xfId="0" applyFont="1" applyFill="1" applyBorder="1" applyAlignment="1">
      <alignment horizontal="left" vertical="center" wrapText="1"/>
    </xf>
    <xf numFmtId="0" fontId="2" fillId="2" borderId="4" xfId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0" xfId="0" applyNumberFormat="1" applyAlignment="1">
      <alignment horizontal="right" vertical="center"/>
    </xf>
    <xf numFmtId="0" fontId="0" fillId="0" borderId="0" xfId="0" applyNumberFormat="1"/>
    <xf numFmtId="0" fontId="0" fillId="0" borderId="0" xfId="0" applyNumberFormat="1" applyAlignment="1" applyProtection="1">
      <alignment horizontal="center" vertical="center"/>
      <protection locked="0"/>
    </xf>
    <xf numFmtId="0" fontId="0" fillId="0" borderId="0" xfId="0" applyNumberFormat="1" applyAlignment="1">
      <alignment horizontal="center" vertical="center"/>
    </xf>
    <xf numFmtId="0" fontId="2" fillId="2" borderId="4" xfId="1" applyNumberFormat="1" applyFill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36">
    <dxf>
      <numFmt numFmtId="0" formatCode="General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protection locked="0" hidden="0"/>
    </dxf>
    <dxf>
      <numFmt numFmtId="0" formatCode="General"/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292A2E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0"/>
        <name val="Helvetica Neue"/>
        <family val="2"/>
        <scheme val="none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</dxf>
    <dxf>
      <numFmt numFmtId="1" formatCode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</dxf>
    <dxf>
      <alignment horizontal="center" vertical="center" textRotation="0" wrapText="0" indent="0" justifyLastLine="0" shrinkToFit="0" readingOrder="0"/>
      <protection locked="0" hidden="0"/>
    </dxf>
    <dxf>
      <numFmt numFmtId="0" formatCode="General"/>
    </dxf>
    <dxf>
      <alignment horizontal="center" vertical="center" textRotation="0" wrapText="0" indent="0" justifyLastLine="0" shrinkToFit="0" readingOrder="0"/>
      <protection locked="0" hidden="0"/>
    </dxf>
    <dxf>
      <numFmt numFmtId="0" formatCode="General"/>
    </dxf>
    <dxf>
      <alignment horizontal="center" vertical="center" textRotation="0" wrapText="0" indent="0" justifyLastLine="0" shrinkToFit="0" readingOrder="0"/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P1 Test Case - Automation Progress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TestAutomationProgress!$B$1</c:f>
              <c:strCache>
                <c:ptCount val="1"/>
                <c:pt idx="0">
                  <c:v>Done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TestAutomationProgress!$A$2:$A$28</c:f>
              <c:strCache>
                <c:ptCount val="27"/>
                <c:pt idx="0">
                  <c:v>25W40</c:v>
                </c:pt>
                <c:pt idx="1">
                  <c:v>25W41</c:v>
                </c:pt>
                <c:pt idx="2">
                  <c:v>25W42</c:v>
                </c:pt>
                <c:pt idx="3">
                  <c:v>25W43</c:v>
                </c:pt>
                <c:pt idx="4">
                  <c:v>25W44</c:v>
                </c:pt>
                <c:pt idx="5">
                  <c:v>25W45</c:v>
                </c:pt>
                <c:pt idx="6">
                  <c:v>25W46</c:v>
                </c:pt>
                <c:pt idx="7">
                  <c:v>25W47</c:v>
                </c:pt>
                <c:pt idx="8">
                  <c:v>25W49</c:v>
                </c:pt>
                <c:pt idx="9">
                  <c:v>25W50</c:v>
                </c:pt>
                <c:pt idx="10">
                  <c:v>25W51</c:v>
                </c:pt>
                <c:pt idx="11">
                  <c:v>25W52</c:v>
                </c:pt>
                <c:pt idx="12">
                  <c:v>26W01</c:v>
                </c:pt>
                <c:pt idx="13">
                  <c:v>26W02</c:v>
                </c:pt>
                <c:pt idx="14">
                  <c:v>26W03</c:v>
                </c:pt>
                <c:pt idx="15">
                  <c:v>26W04</c:v>
                </c:pt>
                <c:pt idx="16">
                  <c:v>26W05</c:v>
                </c:pt>
                <c:pt idx="17">
                  <c:v>26W06</c:v>
                </c:pt>
                <c:pt idx="18">
                  <c:v>26W07</c:v>
                </c:pt>
                <c:pt idx="19">
                  <c:v>26W10</c:v>
                </c:pt>
                <c:pt idx="20">
                  <c:v>26W11</c:v>
                </c:pt>
                <c:pt idx="21">
                  <c:v>26W12</c:v>
                </c:pt>
                <c:pt idx="22">
                  <c:v>26W13</c:v>
                </c:pt>
                <c:pt idx="23">
                  <c:v>26W14</c:v>
                </c:pt>
                <c:pt idx="24">
                  <c:v>26W15</c:v>
                </c:pt>
                <c:pt idx="25">
                  <c:v>26W16</c:v>
                </c:pt>
                <c:pt idx="26">
                  <c:v>26W17</c:v>
                </c:pt>
              </c:strCache>
            </c:strRef>
          </c:cat>
          <c:val>
            <c:numRef>
              <c:f>TestAutomationProgress!$B$2:$B$28</c:f>
              <c:numCache>
                <c:formatCode>General</c:formatCode>
                <c:ptCount val="27"/>
                <c:pt idx="0">
                  <c:v>15</c:v>
                </c:pt>
                <c:pt idx="1">
                  <c:v>12</c:v>
                </c:pt>
                <c:pt idx="2">
                  <c:v>13</c:v>
                </c:pt>
                <c:pt idx="3">
                  <c:v>15</c:v>
                </c:pt>
                <c:pt idx="4">
                  <c:v>18</c:v>
                </c:pt>
                <c:pt idx="5">
                  <c:v>21</c:v>
                </c:pt>
                <c:pt idx="6">
                  <c:v>22</c:v>
                </c:pt>
                <c:pt idx="7">
                  <c:v>25</c:v>
                </c:pt>
                <c:pt idx="8">
                  <c:v>28</c:v>
                </c:pt>
                <c:pt idx="9">
                  <c:v>30</c:v>
                </c:pt>
                <c:pt idx="10">
                  <c:v>32</c:v>
                </c:pt>
                <c:pt idx="11">
                  <c:v>32</c:v>
                </c:pt>
                <c:pt idx="12">
                  <c:v>32</c:v>
                </c:pt>
                <c:pt idx="13">
                  <c:v>32</c:v>
                </c:pt>
                <c:pt idx="14">
                  <c:v>32</c:v>
                </c:pt>
                <c:pt idx="15">
                  <c:v>32</c:v>
                </c:pt>
                <c:pt idx="16">
                  <c:v>32</c:v>
                </c:pt>
                <c:pt idx="17">
                  <c:v>31</c:v>
                </c:pt>
                <c:pt idx="18">
                  <c:v>31</c:v>
                </c:pt>
                <c:pt idx="19">
                  <c:v>31</c:v>
                </c:pt>
                <c:pt idx="20">
                  <c:v>37</c:v>
                </c:pt>
                <c:pt idx="21">
                  <c:v>37</c:v>
                </c:pt>
                <c:pt idx="22">
                  <c:v>37</c:v>
                </c:pt>
                <c:pt idx="23">
                  <c:v>37</c:v>
                </c:pt>
                <c:pt idx="24">
                  <c:v>37</c:v>
                </c:pt>
                <c:pt idx="25">
                  <c:v>37</c:v>
                </c:pt>
                <c:pt idx="26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0B-2048-A315-E1CB7BE52497}"/>
            </c:ext>
          </c:extLst>
        </c:ser>
        <c:ser>
          <c:idx val="1"/>
          <c:order val="1"/>
          <c:tx>
            <c:strRef>
              <c:f>TestAutomationProgress!$C$1</c:f>
              <c:strCache>
                <c:ptCount val="1"/>
                <c:pt idx="0">
                  <c:v>In Review/Progress</c:v>
                </c:pt>
              </c:strCache>
            </c:strRef>
          </c:tx>
          <c:spPr>
            <a:solidFill>
              <a:schemeClr val="tx2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TestAutomationProgress!$A$2:$A$28</c:f>
              <c:strCache>
                <c:ptCount val="27"/>
                <c:pt idx="0">
                  <c:v>25W40</c:v>
                </c:pt>
                <c:pt idx="1">
                  <c:v>25W41</c:v>
                </c:pt>
                <c:pt idx="2">
                  <c:v>25W42</c:v>
                </c:pt>
                <c:pt idx="3">
                  <c:v>25W43</c:v>
                </c:pt>
                <c:pt idx="4">
                  <c:v>25W44</c:v>
                </c:pt>
                <c:pt idx="5">
                  <c:v>25W45</c:v>
                </c:pt>
                <c:pt idx="6">
                  <c:v>25W46</c:v>
                </c:pt>
                <c:pt idx="7">
                  <c:v>25W47</c:v>
                </c:pt>
                <c:pt idx="8">
                  <c:v>25W49</c:v>
                </c:pt>
                <c:pt idx="9">
                  <c:v>25W50</c:v>
                </c:pt>
                <c:pt idx="10">
                  <c:v>25W51</c:v>
                </c:pt>
                <c:pt idx="11">
                  <c:v>25W52</c:v>
                </c:pt>
                <c:pt idx="12">
                  <c:v>26W01</c:v>
                </c:pt>
                <c:pt idx="13">
                  <c:v>26W02</c:v>
                </c:pt>
                <c:pt idx="14">
                  <c:v>26W03</c:v>
                </c:pt>
                <c:pt idx="15">
                  <c:v>26W04</c:v>
                </c:pt>
                <c:pt idx="16">
                  <c:v>26W05</c:v>
                </c:pt>
                <c:pt idx="17">
                  <c:v>26W06</c:v>
                </c:pt>
                <c:pt idx="18">
                  <c:v>26W07</c:v>
                </c:pt>
                <c:pt idx="19">
                  <c:v>26W10</c:v>
                </c:pt>
                <c:pt idx="20">
                  <c:v>26W11</c:v>
                </c:pt>
                <c:pt idx="21">
                  <c:v>26W12</c:v>
                </c:pt>
                <c:pt idx="22">
                  <c:v>26W13</c:v>
                </c:pt>
                <c:pt idx="23">
                  <c:v>26W14</c:v>
                </c:pt>
                <c:pt idx="24">
                  <c:v>26W15</c:v>
                </c:pt>
                <c:pt idx="25">
                  <c:v>26W16</c:v>
                </c:pt>
                <c:pt idx="26">
                  <c:v>26W17</c:v>
                </c:pt>
              </c:strCache>
            </c:strRef>
          </c:cat>
          <c:val>
            <c:numRef>
              <c:f>TestAutomationProgress!$C$2:$C$28</c:f>
              <c:numCache>
                <c:formatCode>General</c:formatCode>
                <c:ptCount val="27"/>
                <c:pt idx="0">
                  <c:v>14</c:v>
                </c:pt>
                <c:pt idx="1">
                  <c:v>11</c:v>
                </c:pt>
                <c:pt idx="2">
                  <c:v>11</c:v>
                </c:pt>
                <c:pt idx="3">
                  <c:v>12</c:v>
                </c:pt>
                <c:pt idx="4">
                  <c:v>11</c:v>
                </c:pt>
                <c:pt idx="5">
                  <c:v>14</c:v>
                </c:pt>
                <c:pt idx="6">
                  <c:v>14</c:v>
                </c:pt>
                <c:pt idx="7">
                  <c:v>10</c:v>
                </c:pt>
                <c:pt idx="8">
                  <c:v>8</c:v>
                </c:pt>
                <c:pt idx="9">
                  <c:v>6</c:v>
                </c:pt>
                <c:pt idx="10">
                  <c:v>5</c:v>
                </c:pt>
                <c:pt idx="11">
                  <c:v>5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1</c:v>
                </c:pt>
                <c:pt idx="16">
                  <c:v>2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60B-2048-A315-E1CB7BE52497}"/>
            </c:ext>
          </c:extLst>
        </c:ser>
        <c:ser>
          <c:idx val="2"/>
          <c:order val="2"/>
          <c:tx>
            <c:strRef>
              <c:f>TestAutomationProgress!$D$1</c:f>
              <c:strCache>
                <c:ptCount val="1"/>
                <c:pt idx="0">
                  <c:v>TODO (P1)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TestAutomationProgress!$A$2:$A$28</c:f>
              <c:strCache>
                <c:ptCount val="27"/>
                <c:pt idx="0">
                  <c:v>25W40</c:v>
                </c:pt>
                <c:pt idx="1">
                  <c:v>25W41</c:v>
                </c:pt>
                <c:pt idx="2">
                  <c:v>25W42</c:v>
                </c:pt>
                <c:pt idx="3">
                  <c:v>25W43</c:v>
                </c:pt>
                <c:pt idx="4">
                  <c:v>25W44</c:v>
                </c:pt>
                <c:pt idx="5">
                  <c:v>25W45</c:v>
                </c:pt>
                <c:pt idx="6">
                  <c:v>25W46</c:v>
                </c:pt>
                <c:pt idx="7">
                  <c:v>25W47</c:v>
                </c:pt>
                <c:pt idx="8">
                  <c:v>25W49</c:v>
                </c:pt>
                <c:pt idx="9">
                  <c:v>25W50</c:v>
                </c:pt>
                <c:pt idx="10">
                  <c:v>25W51</c:v>
                </c:pt>
                <c:pt idx="11">
                  <c:v>25W52</c:v>
                </c:pt>
                <c:pt idx="12">
                  <c:v>26W01</c:v>
                </c:pt>
                <c:pt idx="13">
                  <c:v>26W02</c:v>
                </c:pt>
                <c:pt idx="14">
                  <c:v>26W03</c:v>
                </c:pt>
                <c:pt idx="15">
                  <c:v>26W04</c:v>
                </c:pt>
                <c:pt idx="16">
                  <c:v>26W05</c:v>
                </c:pt>
                <c:pt idx="17">
                  <c:v>26W06</c:v>
                </c:pt>
                <c:pt idx="18">
                  <c:v>26W07</c:v>
                </c:pt>
                <c:pt idx="19">
                  <c:v>26W10</c:v>
                </c:pt>
                <c:pt idx="20">
                  <c:v>26W11</c:v>
                </c:pt>
                <c:pt idx="21">
                  <c:v>26W12</c:v>
                </c:pt>
                <c:pt idx="22">
                  <c:v>26W13</c:v>
                </c:pt>
                <c:pt idx="23">
                  <c:v>26W14</c:v>
                </c:pt>
                <c:pt idx="24">
                  <c:v>26W15</c:v>
                </c:pt>
                <c:pt idx="25">
                  <c:v>26W16</c:v>
                </c:pt>
                <c:pt idx="26">
                  <c:v>26W17</c:v>
                </c:pt>
              </c:strCache>
            </c:strRef>
          </c:cat>
          <c:val>
            <c:numRef>
              <c:f>TestAutomationProgress!$D$2:$D$28</c:f>
              <c:numCache>
                <c:formatCode>General</c:formatCode>
                <c:ptCount val="27"/>
                <c:pt idx="0">
                  <c:v>219</c:v>
                </c:pt>
                <c:pt idx="1">
                  <c:v>173</c:v>
                </c:pt>
                <c:pt idx="2">
                  <c:v>172</c:v>
                </c:pt>
                <c:pt idx="3">
                  <c:v>168</c:v>
                </c:pt>
                <c:pt idx="4">
                  <c:v>166</c:v>
                </c:pt>
                <c:pt idx="5">
                  <c:v>160</c:v>
                </c:pt>
                <c:pt idx="6">
                  <c:v>160</c:v>
                </c:pt>
                <c:pt idx="7">
                  <c:v>161</c:v>
                </c:pt>
                <c:pt idx="8">
                  <c:v>160</c:v>
                </c:pt>
                <c:pt idx="9">
                  <c:v>160</c:v>
                </c:pt>
                <c:pt idx="10">
                  <c:v>160</c:v>
                </c:pt>
                <c:pt idx="11">
                  <c:v>160</c:v>
                </c:pt>
                <c:pt idx="12">
                  <c:v>162</c:v>
                </c:pt>
                <c:pt idx="13">
                  <c:v>162</c:v>
                </c:pt>
                <c:pt idx="14">
                  <c:v>162</c:v>
                </c:pt>
                <c:pt idx="15">
                  <c:v>162</c:v>
                </c:pt>
                <c:pt idx="16">
                  <c:v>161</c:v>
                </c:pt>
                <c:pt idx="17">
                  <c:v>161</c:v>
                </c:pt>
                <c:pt idx="18">
                  <c:v>161</c:v>
                </c:pt>
                <c:pt idx="19">
                  <c:v>161</c:v>
                </c:pt>
                <c:pt idx="20">
                  <c:v>160</c:v>
                </c:pt>
                <c:pt idx="21">
                  <c:v>160</c:v>
                </c:pt>
                <c:pt idx="22">
                  <c:v>160</c:v>
                </c:pt>
                <c:pt idx="23">
                  <c:v>160</c:v>
                </c:pt>
                <c:pt idx="24">
                  <c:v>160</c:v>
                </c:pt>
                <c:pt idx="25">
                  <c:v>160</c:v>
                </c:pt>
                <c:pt idx="26">
                  <c:v>160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60B-2048-A315-E1CB7BE524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82470416"/>
        <c:axId val="382472128"/>
      </c:barChart>
      <c:catAx>
        <c:axId val="382470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2472128"/>
        <c:crosses val="autoZero"/>
        <c:auto val="1"/>
        <c:lblAlgn val="ctr"/>
        <c:lblOffset val="100"/>
        <c:noMultiLvlLbl val="0"/>
      </c:catAx>
      <c:valAx>
        <c:axId val="382472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2470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[Humi] Test</a:t>
            </a:r>
            <a:r>
              <a:rPr lang="en-US" baseline="0"/>
              <a:t> Result - Per Version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'Humi-TestResult'!$B$1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6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'Humi-TestResult'!$A$2:$A$21</c:f>
              <c:strCache>
                <c:ptCount val="20"/>
                <c:pt idx="0">
                  <c:v>v1.22</c:v>
                </c:pt>
                <c:pt idx="1">
                  <c:v>v1.23</c:v>
                </c:pt>
                <c:pt idx="2">
                  <c:v>v1.24</c:v>
                </c:pt>
                <c:pt idx="3">
                  <c:v>v1.25</c:v>
                </c:pt>
                <c:pt idx="4">
                  <c:v>v1.26</c:v>
                </c:pt>
                <c:pt idx="5">
                  <c:v>v1.27</c:v>
                </c:pt>
                <c:pt idx="6">
                  <c:v>v1.28</c:v>
                </c:pt>
                <c:pt idx="7">
                  <c:v>v1.29</c:v>
                </c:pt>
                <c:pt idx="8">
                  <c:v>v1.30</c:v>
                </c:pt>
                <c:pt idx="9">
                  <c:v>v1.31</c:v>
                </c:pt>
                <c:pt idx="10">
                  <c:v>v1.32</c:v>
                </c:pt>
                <c:pt idx="11">
                  <c:v>v1.33</c:v>
                </c:pt>
                <c:pt idx="12">
                  <c:v>v1.34</c:v>
                </c:pt>
                <c:pt idx="13">
                  <c:v>v1.35</c:v>
                </c:pt>
                <c:pt idx="14">
                  <c:v>v1.36</c:v>
                </c:pt>
                <c:pt idx="15">
                  <c:v>v1.37</c:v>
                </c:pt>
                <c:pt idx="16">
                  <c:v>v1.39</c:v>
                </c:pt>
                <c:pt idx="17">
                  <c:v>v1.40</c:v>
                </c:pt>
                <c:pt idx="18">
                  <c:v>v1.41</c:v>
                </c:pt>
                <c:pt idx="19">
                  <c:v>v1.42</c:v>
                </c:pt>
              </c:strCache>
            </c:strRef>
          </c:cat>
          <c:val>
            <c:numRef>
              <c:f>'Humi-TestResult'!$B$2:$B$21</c:f>
              <c:numCache>
                <c:formatCode>General</c:formatCode>
                <c:ptCount val="20"/>
                <c:pt idx="0">
                  <c:v>421</c:v>
                </c:pt>
                <c:pt idx="1">
                  <c:v>402</c:v>
                </c:pt>
                <c:pt idx="2">
                  <c:v>1195</c:v>
                </c:pt>
                <c:pt idx="3">
                  <c:v>2583</c:v>
                </c:pt>
                <c:pt idx="4">
                  <c:v>2263</c:v>
                </c:pt>
                <c:pt idx="5">
                  <c:v>2719</c:v>
                </c:pt>
                <c:pt idx="6">
                  <c:v>2515</c:v>
                </c:pt>
                <c:pt idx="7">
                  <c:v>1399</c:v>
                </c:pt>
                <c:pt idx="8">
                  <c:v>1271</c:v>
                </c:pt>
                <c:pt idx="9">
                  <c:v>1333</c:v>
                </c:pt>
                <c:pt idx="10">
                  <c:v>1475</c:v>
                </c:pt>
                <c:pt idx="11">
                  <c:v>2031</c:v>
                </c:pt>
                <c:pt idx="12">
                  <c:v>1755</c:v>
                </c:pt>
                <c:pt idx="13">
                  <c:v>1892</c:v>
                </c:pt>
                <c:pt idx="14">
                  <c:v>1642</c:v>
                </c:pt>
                <c:pt idx="15">
                  <c:v>1350</c:v>
                </c:pt>
                <c:pt idx="16">
                  <c:v>860</c:v>
                </c:pt>
                <c:pt idx="17">
                  <c:v>572</c:v>
                </c:pt>
                <c:pt idx="18">
                  <c:v>246</c:v>
                </c:pt>
                <c:pt idx="19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92-504A-9943-B371AA86C87B}"/>
            </c:ext>
          </c:extLst>
        </c:ser>
        <c:ser>
          <c:idx val="1"/>
          <c:order val="1"/>
          <c:tx>
            <c:strRef>
              <c:f>'Humi-TestResult'!$C$1</c:f>
              <c:strCache>
                <c:ptCount val="1"/>
                <c:pt idx="0">
                  <c:v>Blocked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'Humi-TestResult'!$A$2:$A$21</c:f>
              <c:strCache>
                <c:ptCount val="20"/>
                <c:pt idx="0">
                  <c:v>v1.22</c:v>
                </c:pt>
                <c:pt idx="1">
                  <c:v>v1.23</c:v>
                </c:pt>
                <c:pt idx="2">
                  <c:v>v1.24</c:v>
                </c:pt>
                <c:pt idx="3">
                  <c:v>v1.25</c:v>
                </c:pt>
                <c:pt idx="4">
                  <c:v>v1.26</c:v>
                </c:pt>
                <c:pt idx="5">
                  <c:v>v1.27</c:v>
                </c:pt>
                <c:pt idx="6">
                  <c:v>v1.28</c:v>
                </c:pt>
                <c:pt idx="7">
                  <c:v>v1.29</c:v>
                </c:pt>
                <c:pt idx="8">
                  <c:v>v1.30</c:v>
                </c:pt>
                <c:pt idx="9">
                  <c:v>v1.31</c:v>
                </c:pt>
                <c:pt idx="10">
                  <c:v>v1.32</c:v>
                </c:pt>
                <c:pt idx="11">
                  <c:v>v1.33</c:v>
                </c:pt>
                <c:pt idx="12">
                  <c:v>v1.34</c:v>
                </c:pt>
                <c:pt idx="13">
                  <c:v>v1.35</c:v>
                </c:pt>
                <c:pt idx="14">
                  <c:v>v1.36</c:v>
                </c:pt>
                <c:pt idx="15">
                  <c:v>v1.37</c:v>
                </c:pt>
                <c:pt idx="16">
                  <c:v>v1.39</c:v>
                </c:pt>
                <c:pt idx="17">
                  <c:v>v1.40</c:v>
                </c:pt>
                <c:pt idx="18">
                  <c:v>v1.41</c:v>
                </c:pt>
                <c:pt idx="19">
                  <c:v>v1.42</c:v>
                </c:pt>
              </c:strCache>
            </c:strRef>
          </c:cat>
          <c:val>
            <c:numRef>
              <c:f>'Humi-TestResult'!$C$2:$C$21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8</c:v>
                </c:pt>
                <c:pt idx="15">
                  <c:v>8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92-504A-9943-B371AA86C87B}"/>
            </c:ext>
          </c:extLst>
        </c:ser>
        <c:ser>
          <c:idx val="2"/>
          <c:order val="2"/>
          <c:tx>
            <c:strRef>
              <c:f>'Humi-TestResult'!$D$1</c:f>
              <c:strCache>
                <c:ptCount val="1"/>
                <c:pt idx="0">
                  <c:v>Known Issue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>
              <a:outerShdw blurRad="50800" dist="50800" dir="5400000" algn="ctr" rotWithShape="0">
                <a:schemeClr val="accent4">
                  <a:lumMod val="75000"/>
                </a:schemeClr>
              </a:outerShdw>
            </a:effectLst>
          </c:spPr>
          <c:invertIfNegative val="0"/>
          <c:cat>
            <c:strRef>
              <c:f>'Humi-TestResult'!$A$2:$A$21</c:f>
              <c:strCache>
                <c:ptCount val="20"/>
                <c:pt idx="0">
                  <c:v>v1.22</c:v>
                </c:pt>
                <c:pt idx="1">
                  <c:v>v1.23</c:v>
                </c:pt>
                <c:pt idx="2">
                  <c:v>v1.24</c:v>
                </c:pt>
                <c:pt idx="3">
                  <c:v>v1.25</c:v>
                </c:pt>
                <c:pt idx="4">
                  <c:v>v1.26</c:v>
                </c:pt>
                <c:pt idx="5">
                  <c:v>v1.27</c:v>
                </c:pt>
                <c:pt idx="6">
                  <c:v>v1.28</c:v>
                </c:pt>
                <c:pt idx="7">
                  <c:v>v1.29</c:v>
                </c:pt>
                <c:pt idx="8">
                  <c:v>v1.30</c:v>
                </c:pt>
                <c:pt idx="9">
                  <c:v>v1.31</c:v>
                </c:pt>
                <c:pt idx="10">
                  <c:v>v1.32</c:v>
                </c:pt>
                <c:pt idx="11">
                  <c:v>v1.33</c:v>
                </c:pt>
                <c:pt idx="12">
                  <c:v>v1.34</c:v>
                </c:pt>
                <c:pt idx="13">
                  <c:v>v1.35</c:v>
                </c:pt>
                <c:pt idx="14">
                  <c:v>v1.36</c:v>
                </c:pt>
                <c:pt idx="15">
                  <c:v>v1.37</c:v>
                </c:pt>
                <c:pt idx="16">
                  <c:v>v1.39</c:v>
                </c:pt>
                <c:pt idx="17">
                  <c:v>v1.40</c:v>
                </c:pt>
                <c:pt idx="18">
                  <c:v>v1.41</c:v>
                </c:pt>
                <c:pt idx="19">
                  <c:v>v1.42</c:v>
                </c:pt>
              </c:strCache>
            </c:strRef>
          </c:cat>
          <c:val>
            <c:numRef>
              <c:f>'Humi-TestResult'!$D$2:$D$21</c:f>
              <c:numCache>
                <c:formatCode>General</c:formatCode>
                <c:ptCount val="20"/>
                <c:pt idx="0">
                  <c:v>12</c:v>
                </c:pt>
                <c:pt idx="1">
                  <c:v>10</c:v>
                </c:pt>
                <c:pt idx="2">
                  <c:v>16</c:v>
                </c:pt>
                <c:pt idx="3">
                  <c:v>13</c:v>
                </c:pt>
                <c:pt idx="4">
                  <c:v>3</c:v>
                </c:pt>
                <c:pt idx="5">
                  <c:v>4</c:v>
                </c:pt>
                <c:pt idx="6">
                  <c:v>16</c:v>
                </c:pt>
                <c:pt idx="7">
                  <c:v>1</c:v>
                </c:pt>
                <c:pt idx="8">
                  <c:v>2</c:v>
                </c:pt>
                <c:pt idx="9">
                  <c:v>7</c:v>
                </c:pt>
                <c:pt idx="10">
                  <c:v>6</c:v>
                </c:pt>
                <c:pt idx="11">
                  <c:v>0</c:v>
                </c:pt>
                <c:pt idx="12">
                  <c:v>6</c:v>
                </c:pt>
                <c:pt idx="13">
                  <c:v>9</c:v>
                </c:pt>
                <c:pt idx="14">
                  <c:v>3</c:v>
                </c:pt>
                <c:pt idx="15">
                  <c:v>10</c:v>
                </c:pt>
                <c:pt idx="16">
                  <c:v>4</c:v>
                </c:pt>
                <c:pt idx="17">
                  <c:v>1</c:v>
                </c:pt>
                <c:pt idx="18">
                  <c:v>2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192-504A-9943-B371AA86C87B}"/>
            </c:ext>
          </c:extLst>
        </c:ser>
        <c:ser>
          <c:idx val="3"/>
          <c:order val="3"/>
          <c:tx>
            <c:strRef>
              <c:f>'Humi-TestResult'!$E$1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C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'Humi-TestResult'!$A$2:$A$21</c:f>
              <c:strCache>
                <c:ptCount val="20"/>
                <c:pt idx="0">
                  <c:v>v1.22</c:v>
                </c:pt>
                <c:pt idx="1">
                  <c:v>v1.23</c:v>
                </c:pt>
                <c:pt idx="2">
                  <c:v>v1.24</c:v>
                </c:pt>
                <c:pt idx="3">
                  <c:v>v1.25</c:v>
                </c:pt>
                <c:pt idx="4">
                  <c:v>v1.26</c:v>
                </c:pt>
                <c:pt idx="5">
                  <c:v>v1.27</c:v>
                </c:pt>
                <c:pt idx="6">
                  <c:v>v1.28</c:v>
                </c:pt>
                <c:pt idx="7">
                  <c:v>v1.29</c:v>
                </c:pt>
                <c:pt idx="8">
                  <c:v>v1.30</c:v>
                </c:pt>
                <c:pt idx="9">
                  <c:v>v1.31</c:v>
                </c:pt>
                <c:pt idx="10">
                  <c:v>v1.32</c:v>
                </c:pt>
                <c:pt idx="11">
                  <c:v>v1.33</c:v>
                </c:pt>
                <c:pt idx="12">
                  <c:v>v1.34</c:v>
                </c:pt>
                <c:pt idx="13">
                  <c:v>v1.35</c:v>
                </c:pt>
                <c:pt idx="14">
                  <c:v>v1.36</c:v>
                </c:pt>
                <c:pt idx="15">
                  <c:v>v1.37</c:v>
                </c:pt>
                <c:pt idx="16">
                  <c:v>v1.39</c:v>
                </c:pt>
                <c:pt idx="17">
                  <c:v>v1.40</c:v>
                </c:pt>
                <c:pt idx="18">
                  <c:v>v1.41</c:v>
                </c:pt>
                <c:pt idx="19">
                  <c:v>v1.42</c:v>
                </c:pt>
              </c:strCache>
            </c:strRef>
          </c:cat>
          <c:val>
            <c:numRef>
              <c:f>'Humi-TestResult'!$E$2:$E$21</c:f>
              <c:numCache>
                <c:formatCode>General</c:formatCode>
                <c:ptCount val="20"/>
                <c:pt idx="0">
                  <c:v>8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</c:v>
                </c:pt>
                <c:pt idx="16">
                  <c:v>2</c:v>
                </c:pt>
                <c:pt idx="17">
                  <c:v>4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192-504A-9943-B371AA86C87B}"/>
            </c:ext>
          </c:extLst>
        </c:ser>
        <c:ser>
          <c:idx val="4"/>
          <c:order val="4"/>
          <c:tx>
            <c:strRef>
              <c:f>'Humi-TestResult'!$F$1</c:f>
              <c:strCache>
                <c:ptCount val="1"/>
                <c:pt idx="0">
                  <c:v>Partially Failed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'Humi-TestResult'!$A$2:$A$21</c:f>
              <c:strCache>
                <c:ptCount val="20"/>
                <c:pt idx="0">
                  <c:v>v1.22</c:v>
                </c:pt>
                <c:pt idx="1">
                  <c:v>v1.23</c:v>
                </c:pt>
                <c:pt idx="2">
                  <c:v>v1.24</c:v>
                </c:pt>
                <c:pt idx="3">
                  <c:v>v1.25</c:v>
                </c:pt>
                <c:pt idx="4">
                  <c:v>v1.26</c:v>
                </c:pt>
                <c:pt idx="5">
                  <c:v>v1.27</c:v>
                </c:pt>
                <c:pt idx="6">
                  <c:v>v1.28</c:v>
                </c:pt>
                <c:pt idx="7">
                  <c:v>v1.29</c:v>
                </c:pt>
                <c:pt idx="8">
                  <c:v>v1.30</c:v>
                </c:pt>
                <c:pt idx="9">
                  <c:v>v1.31</c:v>
                </c:pt>
                <c:pt idx="10">
                  <c:v>v1.32</c:v>
                </c:pt>
                <c:pt idx="11">
                  <c:v>v1.33</c:v>
                </c:pt>
                <c:pt idx="12">
                  <c:v>v1.34</c:v>
                </c:pt>
                <c:pt idx="13">
                  <c:v>v1.35</c:v>
                </c:pt>
                <c:pt idx="14">
                  <c:v>v1.36</c:v>
                </c:pt>
                <c:pt idx="15">
                  <c:v>v1.37</c:v>
                </c:pt>
                <c:pt idx="16">
                  <c:v>v1.39</c:v>
                </c:pt>
                <c:pt idx="17">
                  <c:v>v1.40</c:v>
                </c:pt>
                <c:pt idx="18">
                  <c:v>v1.41</c:v>
                </c:pt>
                <c:pt idx="19">
                  <c:v>v1.42</c:v>
                </c:pt>
              </c:strCache>
            </c:strRef>
          </c:cat>
          <c:val>
            <c:numRef>
              <c:f>'Humi-TestResult'!$F$2:$F$21</c:f>
              <c:numCache>
                <c:formatCode>General</c:formatCode>
                <c:ptCount val="20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4</c:v>
                </c:pt>
                <c:pt idx="11">
                  <c:v>5</c:v>
                </c:pt>
                <c:pt idx="12">
                  <c:v>0</c:v>
                </c:pt>
                <c:pt idx="13">
                  <c:v>3</c:v>
                </c:pt>
                <c:pt idx="14">
                  <c:v>23</c:v>
                </c:pt>
                <c:pt idx="15">
                  <c:v>4</c:v>
                </c:pt>
                <c:pt idx="16">
                  <c:v>0</c:v>
                </c:pt>
                <c:pt idx="17">
                  <c:v>6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192-504A-9943-B371AA86C87B}"/>
            </c:ext>
          </c:extLst>
        </c:ser>
        <c:ser>
          <c:idx val="5"/>
          <c:order val="5"/>
          <c:tx>
            <c:strRef>
              <c:f>'Humi-TestResult'!$G$1</c:f>
              <c:strCache>
                <c:ptCount val="1"/>
                <c:pt idx="0">
                  <c:v>Untested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'Humi-TestResult'!$A$2:$A$21</c:f>
              <c:strCache>
                <c:ptCount val="20"/>
                <c:pt idx="0">
                  <c:v>v1.22</c:v>
                </c:pt>
                <c:pt idx="1">
                  <c:v>v1.23</c:v>
                </c:pt>
                <c:pt idx="2">
                  <c:v>v1.24</c:v>
                </c:pt>
                <c:pt idx="3">
                  <c:v>v1.25</c:v>
                </c:pt>
                <c:pt idx="4">
                  <c:v>v1.26</c:v>
                </c:pt>
                <c:pt idx="5">
                  <c:v>v1.27</c:v>
                </c:pt>
                <c:pt idx="6">
                  <c:v>v1.28</c:v>
                </c:pt>
                <c:pt idx="7">
                  <c:v>v1.29</c:v>
                </c:pt>
                <c:pt idx="8">
                  <c:v>v1.30</c:v>
                </c:pt>
                <c:pt idx="9">
                  <c:v>v1.31</c:v>
                </c:pt>
                <c:pt idx="10">
                  <c:v>v1.32</c:v>
                </c:pt>
                <c:pt idx="11">
                  <c:v>v1.33</c:v>
                </c:pt>
                <c:pt idx="12">
                  <c:v>v1.34</c:v>
                </c:pt>
                <c:pt idx="13">
                  <c:v>v1.35</c:v>
                </c:pt>
                <c:pt idx="14">
                  <c:v>v1.36</c:v>
                </c:pt>
                <c:pt idx="15">
                  <c:v>v1.37</c:v>
                </c:pt>
                <c:pt idx="16">
                  <c:v>v1.39</c:v>
                </c:pt>
                <c:pt idx="17">
                  <c:v>v1.40</c:v>
                </c:pt>
                <c:pt idx="18">
                  <c:v>v1.41</c:v>
                </c:pt>
                <c:pt idx="19">
                  <c:v>v1.42</c:v>
                </c:pt>
              </c:strCache>
            </c:strRef>
          </c:cat>
          <c:val>
            <c:numRef>
              <c:f>'Humi-TestResult'!$G$2:$G$21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9</c:v>
                </c:pt>
                <c:pt idx="18">
                  <c:v>0</c:v>
                </c:pt>
                <c:pt idx="19">
                  <c:v>506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192-504A-9943-B371AA86C8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14019631"/>
        <c:axId val="2014101087"/>
      </c:barChart>
      <c:lineChart>
        <c:grouping val="standard"/>
        <c:varyColors val="0"/>
        <c:ser>
          <c:idx val="6"/>
          <c:order val="6"/>
          <c:tx>
            <c:strRef>
              <c:f>'Humi-TestResult'!$H$1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'Humi-TestResult'!$A$2:$A$21</c:f>
              <c:strCache>
                <c:ptCount val="20"/>
                <c:pt idx="0">
                  <c:v>v1.22</c:v>
                </c:pt>
                <c:pt idx="1">
                  <c:v>v1.23</c:v>
                </c:pt>
                <c:pt idx="2">
                  <c:v>v1.24</c:v>
                </c:pt>
                <c:pt idx="3">
                  <c:v>v1.25</c:v>
                </c:pt>
                <c:pt idx="4">
                  <c:v>v1.26</c:v>
                </c:pt>
                <c:pt idx="5">
                  <c:v>v1.27</c:v>
                </c:pt>
                <c:pt idx="6">
                  <c:v>v1.28</c:v>
                </c:pt>
                <c:pt idx="7">
                  <c:v>v1.29</c:v>
                </c:pt>
                <c:pt idx="8">
                  <c:v>v1.30</c:v>
                </c:pt>
                <c:pt idx="9">
                  <c:v>v1.31</c:v>
                </c:pt>
                <c:pt idx="10">
                  <c:v>v1.32</c:v>
                </c:pt>
                <c:pt idx="11">
                  <c:v>v1.33</c:v>
                </c:pt>
                <c:pt idx="12">
                  <c:v>v1.34</c:v>
                </c:pt>
                <c:pt idx="13">
                  <c:v>v1.35</c:v>
                </c:pt>
                <c:pt idx="14">
                  <c:v>v1.36</c:v>
                </c:pt>
                <c:pt idx="15">
                  <c:v>v1.37</c:v>
                </c:pt>
                <c:pt idx="16">
                  <c:v>v1.39</c:v>
                </c:pt>
                <c:pt idx="17">
                  <c:v>v1.40</c:v>
                </c:pt>
                <c:pt idx="18">
                  <c:v>v1.41</c:v>
                </c:pt>
                <c:pt idx="19">
                  <c:v>v1.42</c:v>
                </c:pt>
              </c:strCache>
            </c:strRef>
          </c:cat>
          <c:val>
            <c:numRef>
              <c:f>'Humi-TestResult'!$H$2:$H$21</c:f>
              <c:numCache>
                <c:formatCode>General</c:formatCode>
                <c:ptCount val="20"/>
                <c:pt idx="0">
                  <c:v>442</c:v>
                </c:pt>
                <c:pt idx="1">
                  <c:v>414</c:v>
                </c:pt>
                <c:pt idx="2">
                  <c:v>1211</c:v>
                </c:pt>
                <c:pt idx="3">
                  <c:v>2596</c:v>
                </c:pt>
                <c:pt idx="4">
                  <c:v>2266</c:v>
                </c:pt>
                <c:pt idx="5">
                  <c:v>2723</c:v>
                </c:pt>
                <c:pt idx="6">
                  <c:v>2531</c:v>
                </c:pt>
                <c:pt idx="7">
                  <c:v>1401</c:v>
                </c:pt>
                <c:pt idx="8">
                  <c:v>1273</c:v>
                </c:pt>
                <c:pt idx="9">
                  <c:v>1341</c:v>
                </c:pt>
                <c:pt idx="10">
                  <c:v>1485</c:v>
                </c:pt>
                <c:pt idx="11">
                  <c:v>2037</c:v>
                </c:pt>
                <c:pt idx="12">
                  <c:v>1761</c:v>
                </c:pt>
                <c:pt idx="13">
                  <c:v>1904</c:v>
                </c:pt>
                <c:pt idx="14">
                  <c:v>1676</c:v>
                </c:pt>
                <c:pt idx="15">
                  <c:v>1374</c:v>
                </c:pt>
                <c:pt idx="16">
                  <c:v>866</c:v>
                </c:pt>
                <c:pt idx="17">
                  <c:v>592</c:v>
                </c:pt>
                <c:pt idx="18">
                  <c:v>248</c:v>
                </c:pt>
                <c:pt idx="19">
                  <c:v>527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192-504A-9943-B371AA86C8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14019631"/>
        <c:axId val="2014101087"/>
      </c:lineChart>
      <c:catAx>
        <c:axId val="2014019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4101087"/>
        <c:crosses val="autoZero"/>
        <c:auto val="1"/>
        <c:lblAlgn val="ctr"/>
        <c:lblOffset val="100"/>
        <c:noMultiLvlLbl val="0"/>
      </c:catAx>
      <c:valAx>
        <c:axId val="2014101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40196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[SOVA] Test Result - Per Week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'SOVA-TestResult'!$B$1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6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'SOVA-TestResult'!$A$2:$A$40</c:f>
              <c:strCache>
                <c:ptCount val="39"/>
                <c:pt idx="0">
                  <c:v>25W28</c:v>
                </c:pt>
                <c:pt idx="1">
                  <c:v>25W29</c:v>
                </c:pt>
                <c:pt idx="2">
                  <c:v>25W30</c:v>
                </c:pt>
                <c:pt idx="3">
                  <c:v>25W31</c:v>
                </c:pt>
                <c:pt idx="4">
                  <c:v>25W32</c:v>
                </c:pt>
                <c:pt idx="5">
                  <c:v>25W33</c:v>
                </c:pt>
                <c:pt idx="6">
                  <c:v>25W34</c:v>
                </c:pt>
                <c:pt idx="7">
                  <c:v>25W35</c:v>
                </c:pt>
                <c:pt idx="8">
                  <c:v>25W36</c:v>
                </c:pt>
                <c:pt idx="9">
                  <c:v>25W37</c:v>
                </c:pt>
                <c:pt idx="10">
                  <c:v>25W38</c:v>
                </c:pt>
                <c:pt idx="11">
                  <c:v>25W39</c:v>
                </c:pt>
                <c:pt idx="12">
                  <c:v>25W40</c:v>
                </c:pt>
                <c:pt idx="13">
                  <c:v>25W41</c:v>
                </c:pt>
                <c:pt idx="14">
                  <c:v>25W42</c:v>
                </c:pt>
                <c:pt idx="15">
                  <c:v>25W43</c:v>
                </c:pt>
                <c:pt idx="16">
                  <c:v>25W44</c:v>
                </c:pt>
                <c:pt idx="17">
                  <c:v>25W45</c:v>
                </c:pt>
                <c:pt idx="18">
                  <c:v>25W46</c:v>
                </c:pt>
                <c:pt idx="19">
                  <c:v>25W47</c:v>
                </c:pt>
                <c:pt idx="20">
                  <c:v>25W48</c:v>
                </c:pt>
                <c:pt idx="21">
                  <c:v>25W49</c:v>
                </c:pt>
                <c:pt idx="22">
                  <c:v>25W50</c:v>
                </c:pt>
                <c:pt idx="23">
                  <c:v>25W51</c:v>
                </c:pt>
                <c:pt idx="24">
                  <c:v>25W52</c:v>
                </c:pt>
                <c:pt idx="25">
                  <c:v>26W01</c:v>
                </c:pt>
                <c:pt idx="26">
                  <c:v>26W02</c:v>
                </c:pt>
                <c:pt idx="27">
                  <c:v>26W03</c:v>
                </c:pt>
                <c:pt idx="28">
                  <c:v>26W04</c:v>
                </c:pt>
                <c:pt idx="29">
                  <c:v>26W06</c:v>
                </c:pt>
                <c:pt idx="30">
                  <c:v>26W07</c:v>
                </c:pt>
                <c:pt idx="31">
                  <c:v>26W08</c:v>
                </c:pt>
                <c:pt idx="32">
                  <c:v>26W10</c:v>
                </c:pt>
                <c:pt idx="33">
                  <c:v>26W11</c:v>
                </c:pt>
                <c:pt idx="34">
                  <c:v>26W12</c:v>
                </c:pt>
                <c:pt idx="35">
                  <c:v>26W13</c:v>
                </c:pt>
                <c:pt idx="36">
                  <c:v>26W14</c:v>
                </c:pt>
                <c:pt idx="37">
                  <c:v>26W16</c:v>
                </c:pt>
                <c:pt idx="38">
                  <c:v>26W17</c:v>
                </c:pt>
              </c:strCache>
            </c:strRef>
          </c:cat>
          <c:val>
            <c:numRef>
              <c:f>'SOVA-TestResult'!$B$2:$B$40</c:f>
              <c:numCache>
                <c:formatCode>General</c:formatCode>
                <c:ptCount val="39"/>
                <c:pt idx="0">
                  <c:v>38</c:v>
                </c:pt>
                <c:pt idx="2">
                  <c:v>43</c:v>
                </c:pt>
                <c:pt idx="4">
                  <c:v>58</c:v>
                </c:pt>
                <c:pt idx="6">
                  <c:v>76</c:v>
                </c:pt>
                <c:pt idx="8">
                  <c:v>121</c:v>
                </c:pt>
                <c:pt idx="10">
                  <c:v>148</c:v>
                </c:pt>
                <c:pt idx="12">
                  <c:v>148</c:v>
                </c:pt>
                <c:pt idx="14">
                  <c:v>231</c:v>
                </c:pt>
                <c:pt idx="16">
                  <c:v>249</c:v>
                </c:pt>
                <c:pt idx="17">
                  <c:v>155</c:v>
                </c:pt>
                <c:pt idx="18">
                  <c:v>225</c:v>
                </c:pt>
                <c:pt idx="19">
                  <c:v>281</c:v>
                </c:pt>
                <c:pt idx="20">
                  <c:v>291</c:v>
                </c:pt>
                <c:pt idx="21">
                  <c:v>267</c:v>
                </c:pt>
                <c:pt idx="22">
                  <c:v>343</c:v>
                </c:pt>
                <c:pt idx="23">
                  <c:v>351</c:v>
                </c:pt>
                <c:pt idx="24">
                  <c:v>142</c:v>
                </c:pt>
                <c:pt idx="25">
                  <c:v>442</c:v>
                </c:pt>
                <c:pt idx="26">
                  <c:v>518</c:v>
                </c:pt>
                <c:pt idx="27">
                  <c:v>636</c:v>
                </c:pt>
                <c:pt idx="28">
                  <c:v>436</c:v>
                </c:pt>
                <c:pt idx="29">
                  <c:v>171</c:v>
                </c:pt>
                <c:pt idx="30">
                  <c:v>723</c:v>
                </c:pt>
                <c:pt idx="31">
                  <c:v>687</c:v>
                </c:pt>
                <c:pt idx="32">
                  <c:v>218</c:v>
                </c:pt>
                <c:pt idx="33">
                  <c:v>694</c:v>
                </c:pt>
                <c:pt idx="34">
                  <c:v>0</c:v>
                </c:pt>
                <c:pt idx="35">
                  <c:v>481</c:v>
                </c:pt>
                <c:pt idx="36">
                  <c:v>837</c:v>
                </c:pt>
                <c:pt idx="37">
                  <c:v>957</c:v>
                </c:pt>
                <c:pt idx="38">
                  <c:v>1220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B6-0841-9E09-1415898952C6}"/>
            </c:ext>
          </c:extLst>
        </c:ser>
        <c:ser>
          <c:idx val="1"/>
          <c:order val="1"/>
          <c:tx>
            <c:strRef>
              <c:f>'SOVA-TestResult'!$C$1</c:f>
              <c:strCache>
                <c:ptCount val="1"/>
                <c:pt idx="0">
                  <c:v>Blocked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2">
                        <a:lumMod val="60000"/>
                        <a:lumOff val="4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'SOVA-TestResult'!$A$2:$A$40</c:f>
              <c:strCache>
                <c:ptCount val="39"/>
                <c:pt idx="0">
                  <c:v>25W28</c:v>
                </c:pt>
                <c:pt idx="1">
                  <c:v>25W29</c:v>
                </c:pt>
                <c:pt idx="2">
                  <c:v>25W30</c:v>
                </c:pt>
                <c:pt idx="3">
                  <c:v>25W31</c:v>
                </c:pt>
                <c:pt idx="4">
                  <c:v>25W32</c:v>
                </c:pt>
                <c:pt idx="5">
                  <c:v>25W33</c:v>
                </c:pt>
                <c:pt idx="6">
                  <c:v>25W34</c:v>
                </c:pt>
                <c:pt idx="7">
                  <c:v>25W35</c:v>
                </c:pt>
                <c:pt idx="8">
                  <c:v>25W36</c:v>
                </c:pt>
                <c:pt idx="9">
                  <c:v>25W37</c:v>
                </c:pt>
                <c:pt idx="10">
                  <c:v>25W38</c:v>
                </c:pt>
                <c:pt idx="11">
                  <c:v>25W39</c:v>
                </c:pt>
                <c:pt idx="12">
                  <c:v>25W40</c:v>
                </c:pt>
                <c:pt idx="13">
                  <c:v>25W41</c:v>
                </c:pt>
                <c:pt idx="14">
                  <c:v>25W42</c:v>
                </c:pt>
                <c:pt idx="15">
                  <c:v>25W43</c:v>
                </c:pt>
                <c:pt idx="16">
                  <c:v>25W44</c:v>
                </c:pt>
                <c:pt idx="17">
                  <c:v>25W45</c:v>
                </c:pt>
                <c:pt idx="18">
                  <c:v>25W46</c:v>
                </c:pt>
                <c:pt idx="19">
                  <c:v>25W47</c:v>
                </c:pt>
                <c:pt idx="20">
                  <c:v>25W48</c:v>
                </c:pt>
                <c:pt idx="21">
                  <c:v>25W49</c:v>
                </c:pt>
                <c:pt idx="22">
                  <c:v>25W50</c:v>
                </c:pt>
                <c:pt idx="23">
                  <c:v>25W51</c:v>
                </c:pt>
                <c:pt idx="24">
                  <c:v>25W52</c:v>
                </c:pt>
                <c:pt idx="25">
                  <c:v>26W01</c:v>
                </c:pt>
                <c:pt idx="26">
                  <c:v>26W02</c:v>
                </c:pt>
                <c:pt idx="27">
                  <c:v>26W03</c:v>
                </c:pt>
                <c:pt idx="28">
                  <c:v>26W04</c:v>
                </c:pt>
                <c:pt idx="29">
                  <c:v>26W06</c:v>
                </c:pt>
                <c:pt idx="30">
                  <c:v>26W07</c:v>
                </c:pt>
                <c:pt idx="31">
                  <c:v>26W08</c:v>
                </c:pt>
                <c:pt idx="32">
                  <c:v>26W10</c:v>
                </c:pt>
                <c:pt idx="33">
                  <c:v>26W11</c:v>
                </c:pt>
                <c:pt idx="34">
                  <c:v>26W12</c:v>
                </c:pt>
                <c:pt idx="35">
                  <c:v>26W13</c:v>
                </c:pt>
                <c:pt idx="36">
                  <c:v>26W14</c:v>
                </c:pt>
                <c:pt idx="37">
                  <c:v>26W16</c:v>
                </c:pt>
                <c:pt idx="38">
                  <c:v>26W17</c:v>
                </c:pt>
              </c:strCache>
            </c:strRef>
          </c:cat>
          <c:val>
            <c:numRef>
              <c:f>'SOVA-TestResult'!$C$2:$C$40</c:f>
              <c:numCache>
                <c:formatCode>General</c:formatCode>
                <c:ptCount val="39"/>
                <c:pt idx="0">
                  <c:v>1</c:v>
                </c:pt>
                <c:pt idx="2">
                  <c:v>0</c:v>
                </c:pt>
                <c:pt idx="4">
                  <c:v>0</c:v>
                </c:pt>
                <c:pt idx="6">
                  <c:v>0</c:v>
                </c:pt>
                <c:pt idx="8">
                  <c:v>1</c:v>
                </c:pt>
                <c:pt idx="10">
                  <c:v>0</c:v>
                </c:pt>
                <c:pt idx="12">
                  <c:v>1</c:v>
                </c:pt>
                <c:pt idx="14">
                  <c:v>3</c:v>
                </c:pt>
                <c:pt idx="16">
                  <c:v>19</c:v>
                </c:pt>
                <c:pt idx="17">
                  <c:v>0</c:v>
                </c:pt>
                <c:pt idx="18">
                  <c:v>1</c:v>
                </c:pt>
                <c:pt idx="19">
                  <c:v>2</c:v>
                </c:pt>
                <c:pt idx="20">
                  <c:v>20</c:v>
                </c:pt>
                <c:pt idx="21">
                  <c:v>0</c:v>
                </c:pt>
                <c:pt idx="22">
                  <c:v>0</c:v>
                </c:pt>
                <c:pt idx="23">
                  <c:v>3</c:v>
                </c:pt>
                <c:pt idx="24">
                  <c:v>0</c:v>
                </c:pt>
                <c:pt idx="25">
                  <c:v>8</c:v>
                </c:pt>
                <c:pt idx="26">
                  <c:v>4</c:v>
                </c:pt>
                <c:pt idx="27">
                  <c:v>3</c:v>
                </c:pt>
                <c:pt idx="28">
                  <c:v>4</c:v>
                </c:pt>
                <c:pt idx="29">
                  <c:v>6</c:v>
                </c:pt>
                <c:pt idx="30">
                  <c:v>12</c:v>
                </c:pt>
                <c:pt idx="31">
                  <c:v>1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14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1B6-0841-9E09-1415898952C6}"/>
            </c:ext>
          </c:extLst>
        </c:ser>
        <c:ser>
          <c:idx val="2"/>
          <c:order val="2"/>
          <c:tx>
            <c:strRef>
              <c:f>'SOVA-TestResult'!$D$1</c:f>
              <c:strCache>
                <c:ptCount val="1"/>
                <c:pt idx="0">
                  <c:v>Known Issue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'SOVA-TestResult'!$A$2:$A$40</c:f>
              <c:strCache>
                <c:ptCount val="39"/>
                <c:pt idx="0">
                  <c:v>25W28</c:v>
                </c:pt>
                <c:pt idx="1">
                  <c:v>25W29</c:v>
                </c:pt>
                <c:pt idx="2">
                  <c:v>25W30</c:v>
                </c:pt>
                <c:pt idx="3">
                  <c:v>25W31</c:v>
                </c:pt>
                <c:pt idx="4">
                  <c:v>25W32</c:v>
                </c:pt>
                <c:pt idx="5">
                  <c:v>25W33</c:v>
                </c:pt>
                <c:pt idx="6">
                  <c:v>25W34</c:v>
                </c:pt>
                <c:pt idx="7">
                  <c:v>25W35</c:v>
                </c:pt>
                <c:pt idx="8">
                  <c:v>25W36</c:v>
                </c:pt>
                <c:pt idx="9">
                  <c:v>25W37</c:v>
                </c:pt>
                <c:pt idx="10">
                  <c:v>25W38</c:v>
                </c:pt>
                <c:pt idx="11">
                  <c:v>25W39</c:v>
                </c:pt>
                <c:pt idx="12">
                  <c:v>25W40</c:v>
                </c:pt>
                <c:pt idx="13">
                  <c:v>25W41</c:v>
                </c:pt>
                <c:pt idx="14">
                  <c:v>25W42</c:v>
                </c:pt>
                <c:pt idx="15">
                  <c:v>25W43</c:v>
                </c:pt>
                <c:pt idx="16">
                  <c:v>25W44</c:v>
                </c:pt>
                <c:pt idx="17">
                  <c:v>25W45</c:v>
                </c:pt>
                <c:pt idx="18">
                  <c:v>25W46</c:v>
                </c:pt>
                <c:pt idx="19">
                  <c:v>25W47</c:v>
                </c:pt>
                <c:pt idx="20">
                  <c:v>25W48</c:v>
                </c:pt>
                <c:pt idx="21">
                  <c:v>25W49</c:v>
                </c:pt>
                <c:pt idx="22">
                  <c:v>25W50</c:v>
                </c:pt>
                <c:pt idx="23">
                  <c:v>25W51</c:v>
                </c:pt>
                <c:pt idx="24">
                  <c:v>25W52</c:v>
                </c:pt>
                <c:pt idx="25">
                  <c:v>26W01</c:v>
                </c:pt>
                <c:pt idx="26">
                  <c:v>26W02</c:v>
                </c:pt>
                <c:pt idx="27">
                  <c:v>26W03</c:v>
                </c:pt>
                <c:pt idx="28">
                  <c:v>26W04</c:v>
                </c:pt>
                <c:pt idx="29">
                  <c:v>26W06</c:v>
                </c:pt>
                <c:pt idx="30">
                  <c:v>26W07</c:v>
                </c:pt>
                <c:pt idx="31">
                  <c:v>26W08</c:v>
                </c:pt>
                <c:pt idx="32">
                  <c:v>26W10</c:v>
                </c:pt>
                <c:pt idx="33">
                  <c:v>26W11</c:v>
                </c:pt>
                <c:pt idx="34">
                  <c:v>26W12</c:v>
                </c:pt>
                <c:pt idx="35">
                  <c:v>26W13</c:v>
                </c:pt>
                <c:pt idx="36">
                  <c:v>26W14</c:v>
                </c:pt>
                <c:pt idx="37">
                  <c:v>26W16</c:v>
                </c:pt>
                <c:pt idx="38">
                  <c:v>26W17</c:v>
                </c:pt>
              </c:strCache>
            </c:strRef>
          </c:cat>
          <c:val>
            <c:numRef>
              <c:f>'SOVA-TestResult'!$D$2:$D$40</c:f>
              <c:numCache>
                <c:formatCode>General</c:formatCode>
                <c:ptCount val="39"/>
                <c:pt idx="0">
                  <c:v>0</c:v>
                </c:pt>
                <c:pt idx="2">
                  <c:v>10</c:v>
                </c:pt>
                <c:pt idx="4">
                  <c:v>2</c:v>
                </c:pt>
                <c:pt idx="6">
                  <c:v>7</c:v>
                </c:pt>
                <c:pt idx="8">
                  <c:v>9</c:v>
                </c:pt>
                <c:pt idx="10">
                  <c:v>6</c:v>
                </c:pt>
                <c:pt idx="12">
                  <c:v>15</c:v>
                </c:pt>
                <c:pt idx="14">
                  <c:v>16</c:v>
                </c:pt>
                <c:pt idx="16">
                  <c:v>8</c:v>
                </c:pt>
                <c:pt idx="17">
                  <c:v>2</c:v>
                </c:pt>
                <c:pt idx="18">
                  <c:v>7</c:v>
                </c:pt>
                <c:pt idx="19">
                  <c:v>10</c:v>
                </c:pt>
                <c:pt idx="20">
                  <c:v>1</c:v>
                </c:pt>
                <c:pt idx="21">
                  <c:v>3</c:v>
                </c:pt>
                <c:pt idx="22">
                  <c:v>8</c:v>
                </c:pt>
                <c:pt idx="23">
                  <c:v>8</c:v>
                </c:pt>
                <c:pt idx="24">
                  <c:v>0</c:v>
                </c:pt>
                <c:pt idx="25">
                  <c:v>10</c:v>
                </c:pt>
                <c:pt idx="26">
                  <c:v>9</c:v>
                </c:pt>
                <c:pt idx="27">
                  <c:v>4</c:v>
                </c:pt>
                <c:pt idx="28">
                  <c:v>4</c:v>
                </c:pt>
                <c:pt idx="29">
                  <c:v>0</c:v>
                </c:pt>
                <c:pt idx="30">
                  <c:v>3</c:v>
                </c:pt>
                <c:pt idx="31">
                  <c:v>1</c:v>
                </c:pt>
                <c:pt idx="32">
                  <c:v>0</c:v>
                </c:pt>
                <c:pt idx="33">
                  <c:v>2</c:v>
                </c:pt>
                <c:pt idx="34">
                  <c:v>0</c:v>
                </c:pt>
                <c:pt idx="35">
                  <c:v>0</c:v>
                </c:pt>
                <c:pt idx="36">
                  <c:v>2</c:v>
                </c:pt>
                <c:pt idx="37">
                  <c:v>2</c:v>
                </c:pt>
                <c:pt idx="38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1B6-0841-9E09-1415898952C6}"/>
            </c:ext>
          </c:extLst>
        </c:ser>
        <c:ser>
          <c:idx val="3"/>
          <c:order val="3"/>
          <c:tx>
            <c:strRef>
              <c:f>'SOVA-TestResult'!$E$1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'SOVA-TestResult'!$A$2:$A$40</c:f>
              <c:strCache>
                <c:ptCount val="39"/>
                <c:pt idx="0">
                  <c:v>25W28</c:v>
                </c:pt>
                <c:pt idx="1">
                  <c:v>25W29</c:v>
                </c:pt>
                <c:pt idx="2">
                  <c:v>25W30</c:v>
                </c:pt>
                <c:pt idx="3">
                  <c:v>25W31</c:v>
                </c:pt>
                <c:pt idx="4">
                  <c:v>25W32</c:v>
                </c:pt>
                <c:pt idx="5">
                  <c:v>25W33</c:v>
                </c:pt>
                <c:pt idx="6">
                  <c:v>25W34</c:v>
                </c:pt>
                <c:pt idx="7">
                  <c:v>25W35</c:v>
                </c:pt>
                <c:pt idx="8">
                  <c:v>25W36</c:v>
                </c:pt>
                <c:pt idx="9">
                  <c:v>25W37</c:v>
                </c:pt>
                <c:pt idx="10">
                  <c:v>25W38</c:v>
                </c:pt>
                <c:pt idx="11">
                  <c:v>25W39</c:v>
                </c:pt>
                <c:pt idx="12">
                  <c:v>25W40</c:v>
                </c:pt>
                <c:pt idx="13">
                  <c:v>25W41</c:v>
                </c:pt>
                <c:pt idx="14">
                  <c:v>25W42</c:v>
                </c:pt>
                <c:pt idx="15">
                  <c:v>25W43</c:v>
                </c:pt>
                <c:pt idx="16">
                  <c:v>25W44</c:v>
                </c:pt>
                <c:pt idx="17">
                  <c:v>25W45</c:v>
                </c:pt>
                <c:pt idx="18">
                  <c:v>25W46</c:v>
                </c:pt>
                <c:pt idx="19">
                  <c:v>25W47</c:v>
                </c:pt>
                <c:pt idx="20">
                  <c:v>25W48</c:v>
                </c:pt>
                <c:pt idx="21">
                  <c:v>25W49</c:v>
                </c:pt>
                <c:pt idx="22">
                  <c:v>25W50</c:v>
                </c:pt>
                <c:pt idx="23">
                  <c:v>25W51</c:v>
                </c:pt>
                <c:pt idx="24">
                  <c:v>25W52</c:v>
                </c:pt>
                <c:pt idx="25">
                  <c:v>26W01</c:v>
                </c:pt>
                <c:pt idx="26">
                  <c:v>26W02</c:v>
                </c:pt>
                <c:pt idx="27">
                  <c:v>26W03</c:v>
                </c:pt>
                <c:pt idx="28">
                  <c:v>26W04</c:v>
                </c:pt>
                <c:pt idx="29">
                  <c:v>26W06</c:v>
                </c:pt>
                <c:pt idx="30">
                  <c:v>26W07</c:v>
                </c:pt>
                <c:pt idx="31">
                  <c:v>26W08</c:v>
                </c:pt>
                <c:pt idx="32">
                  <c:v>26W10</c:v>
                </c:pt>
                <c:pt idx="33">
                  <c:v>26W11</c:v>
                </c:pt>
                <c:pt idx="34">
                  <c:v>26W12</c:v>
                </c:pt>
                <c:pt idx="35">
                  <c:v>26W13</c:v>
                </c:pt>
                <c:pt idx="36">
                  <c:v>26W14</c:v>
                </c:pt>
                <c:pt idx="37">
                  <c:v>26W16</c:v>
                </c:pt>
                <c:pt idx="38">
                  <c:v>26W17</c:v>
                </c:pt>
              </c:strCache>
            </c:strRef>
          </c:cat>
          <c:val>
            <c:numRef>
              <c:f>'SOVA-TestResult'!$E$2:$E$40</c:f>
              <c:numCache>
                <c:formatCode>General</c:formatCode>
                <c:ptCount val="39"/>
                <c:pt idx="0">
                  <c:v>4</c:v>
                </c:pt>
                <c:pt idx="2">
                  <c:v>0</c:v>
                </c:pt>
                <c:pt idx="4">
                  <c:v>2</c:v>
                </c:pt>
                <c:pt idx="6">
                  <c:v>5</c:v>
                </c:pt>
                <c:pt idx="8">
                  <c:v>10</c:v>
                </c:pt>
                <c:pt idx="10">
                  <c:v>3</c:v>
                </c:pt>
                <c:pt idx="12">
                  <c:v>2</c:v>
                </c:pt>
                <c:pt idx="14">
                  <c:v>8</c:v>
                </c:pt>
                <c:pt idx="16">
                  <c:v>9</c:v>
                </c:pt>
                <c:pt idx="17">
                  <c:v>5</c:v>
                </c:pt>
                <c:pt idx="18">
                  <c:v>11</c:v>
                </c:pt>
                <c:pt idx="19">
                  <c:v>8</c:v>
                </c:pt>
                <c:pt idx="20">
                  <c:v>16</c:v>
                </c:pt>
                <c:pt idx="21">
                  <c:v>8</c:v>
                </c:pt>
                <c:pt idx="22">
                  <c:v>7</c:v>
                </c:pt>
                <c:pt idx="23">
                  <c:v>1</c:v>
                </c:pt>
                <c:pt idx="24">
                  <c:v>0</c:v>
                </c:pt>
                <c:pt idx="25">
                  <c:v>1</c:v>
                </c:pt>
                <c:pt idx="26">
                  <c:v>8</c:v>
                </c:pt>
                <c:pt idx="27">
                  <c:v>2</c:v>
                </c:pt>
                <c:pt idx="28">
                  <c:v>13</c:v>
                </c:pt>
                <c:pt idx="29">
                  <c:v>1</c:v>
                </c:pt>
                <c:pt idx="30">
                  <c:v>7</c:v>
                </c:pt>
                <c:pt idx="31">
                  <c:v>3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4</c:v>
                </c:pt>
                <c:pt idx="36">
                  <c:v>5</c:v>
                </c:pt>
                <c:pt idx="37">
                  <c:v>5</c:v>
                </c:pt>
                <c:pt idx="38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1B6-0841-9E09-141589895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167472959"/>
        <c:axId val="1167191519"/>
      </c:barChart>
      <c:lineChart>
        <c:grouping val="standard"/>
        <c:varyColors val="0"/>
        <c:ser>
          <c:idx val="4"/>
          <c:order val="4"/>
          <c:tx>
            <c:strRef>
              <c:f>'SOVA-TestResult'!$F$1</c:f>
              <c:strCache>
                <c:ptCount val="1"/>
                <c:pt idx="0">
                  <c:v>Partially Failed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'SOVA-TestResult'!$A$2:$A$40</c:f>
              <c:strCache>
                <c:ptCount val="39"/>
                <c:pt idx="0">
                  <c:v>25W28</c:v>
                </c:pt>
                <c:pt idx="1">
                  <c:v>25W29</c:v>
                </c:pt>
                <c:pt idx="2">
                  <c:v>25W30</c:v>
                </c:pt>
                <c:pt idx="3">
                  <c:v>25W31</c:v>
                </c:pt>
                <c:pt idx="4">
                  <c:v>25W32</c:v>
                </c:pt>
                <c:pt idx="5">
                  <c:v>25W33</c:v>
                </c:pt>
                <c:pt idx="6">
                  <c:v>25W34</c:v>
                </c:pt>
                <c:pt idx="7">
                  <c:v>25W35</c:v>
                </c:pt>
                <c:pt idx="8">
                  <c:v>25W36</c:v>
                </c:pt>
                <c:pt idx="9">
                  <c:v>25W37</c:v>
                </c:pt>
                <c:pt idx="10">
                  <c:v>25W38</c:v>
                </c:pt>
                <c:pt idx="11">
                  <c:v>25W39</c:v>
                </c:pt>
                <c:pt idx="12">
                  <c:v>25W40</c:v>
                </c:pt>
                <c:pt idx="13">
                  <c:v>25W41</c:v>
                </c:pt>
                <c:pt idx="14">
                  <c:v>25W42</c:v>
                </c:pt>
                <c:pt idx="15">
                  <c:v>25W43</c:v>
                </c:pt>
                <c:pt idx="16">
                  <c:v>25W44</c:v>
                </c:pt>
                <c:pt idx="17">
                  <c:v>25W45</c:v>
                </c:pt>
                <c:pt idx="18">
                  <c:v>25W46</c:v>
                </c:pt>
                <c:pt idx="19">
                  <c:v>25W47</c:v>
                </c:pt>
                <c:pt idx="20">
                  <c:v>25W48</c:v>
                </c:pt>
                <c:pt idx="21">
                  <c:v>25W49</c:v>
                </c:pt>
                <c:pt idx="22">
                  <c:v>25W50</c:v>
                </c:pt>
                <c:pt idx="23">
                  <c:v>25W51</c:v>
                </c:pt>
                <c:pt idx="24">
                  <c:v>25W52</c:v>
                </c:pt>
                <c:pt idx="25">
                  <c:v>26W01</c:v>
                </c:pt>
                <c:pt idx="26">
                  <c:v>26W02</c:v>
                </c:pt>
                <c:pt idx="27">
                  <c:v>26W03</c:v>
                </c:pt>
                <c:pt idx="28">
                  <c:v>26W04</c:v>
                </c:pt>
                <c:pt idx="29">
                  <c:v>26W06</c:v>
                </c:pt>
                <c:pt idx="30">
                  <c:v>26W07</c:v>
                </c:pt>
                <c:pt idx="31">
                  <c:v>26W08</c:v>
                </c:pt>
                <c:pt idx="32">
                  <c:v>26W10</c:v>
                </c:pt>
                <c:pt idx="33">
                  <c:v>26W11</c:v>
                </c:pt>
                <c:pt idx="34">
                  <c:v>26W12</c:v>
                </c:pt>
                <c:pt idx="35">
                  <c:v>26W13</c:v>
                </c:pt>
                <c:pt idx="36">
                  <c:v>26W14</c:v>
                </c:pt>
                <c:pt idx="37">
                  <c:v>26W16</c:v>
                </c:pt>
                <c:pt idx="38">
                  <c:v>26W17</c:v>
                </c:pt>
              </c:strCache>
            </c:strRef>
          </c:cat>
          <c:val>
            <c:numRef>
              <c:f>'SOVA-TestResult'!$F$2:$F$40</c:f>
              <c:numCache>
                <c:formatCode>General</c:formatCode>
                <c:ptCount val="39"/>
                <c:pt idx="0">
                  <c:v>11</c:v>
                </c:pt>
                <c:pt idx="2">
                  <c:v>1</c:v>
                </c:pt>
                <c:pt idx="4">
                  <c:v>5</c:v>
                </c:pt>
                <c:pt idx="6">
                  <c:v>2</c:v>
                </c:pt>
                <c:pt idx="8">
                  <c:v>4</c:v>
                </c:pt>
                <c:pt idx="10">
                  <c:v>4</c:v>
                </c:pt>
                <c:pt idx="12">
                  <c:v>1</c:v>
                </c:pt>
                <c:pt idx="14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2</c:v>
                </c:pt>
                <c:pt idx="19">
                  <c:v>2</c:v>
                </c:pt>
                <c:pt idx="20">
                  <c:v>3</c:v>
                </c:pt>
                <c:pt idx="21">
                  <c:v>1</c:v>
                </c:pt>
                <c:pt idx="22">
                  <c:v>4</c:v>
                </c:pt>
                <c:pt idx="23">
                  <c:v>15</c:v>
                </c:pt>
                <c:pt idx="24">
                  <c:v>6</c:v>
                </c:pt>
                <c:pt idx="25">
                  <c:v>16</c:v>
                </c:pt>
                <c:pt idx="26">
                  <c:v>3</c:v>
                </c:pt>
                <c:pt idx="27">
                  <c:v>5</c:v>
                </c:pt>
                <c:pt idx="28">
                  <c:v>7</c:v>
                </c:pt>
                <c:pt idx="29">
                  <c:v>6</c:v>
                </c:pt>
                <c:pt idx="30">
                  <c:v>8</c:v>
                </c:pt>
                <c:pt idx="31">
                  <c:v>12</c:v>
                </c:pt>
                <c:pt idx="32">
                  <c:v>0</c:v>
                </c:pt>
                <c:pt idx="33">
                  <c:v>7</c:v>
                </c:pt>
                <c:pt idx="34">
                  <c:v>0</c:v>
                </c:pt>
                <c:pt idx="35">
                  <c:v>9</c:v>
                </c:pt>
                <c:pt idx="36">
                  <c:v>13</c:v>
                </c:pt>
                <c:pt idx="37">
                  <c:v>3</c:v>
                </c:pt>
                <c:pt idx="38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1B6-0841-9E09-1415898952C6}"/>
            </c:ext>
          </c:extLst>
        </c:ser>
        <c:ser>
          <c:idx val="5"/>
          <c:order val="5"/>
          <c:tx>
            <c:strRef>
              <c:f>'SOVA-TestResult'!$G$1</c:f>
              <c:strCache>
                <c:ptCount val="1"/>
                <c:pt idx="0">
                  <c:v>Untested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'SOVA-TestResult'!$A$2:$A$40</c:f>
              <c:strCache>
                <c:ptCount val="39"/>
                <c:pt idx="0">
                  <c:v>25W28</c:v>
                </c:pt>
                <c:pt idx="1">
                  <c:v>25W29</c:v>
                </c:pt>
                <c:pt idx="2">
                  <c:v>25W30</c:v>
                </c:pt>
                <c:pt idx="3">
                  <c:v>25W31</c:v>
                </c:pt>
                <c:pt idx="4">
                  <c:v>25W32</c:v>
                </c:pt>
                <c:pt idx="5">
                  <c:v>25W33</c:v>
                </c:pt>
                <c:pt idx="6">
                  <c:v>25W34</c:v>
                </c:pt>
                <c:pt idx="7">
                  <c:v>25W35</c:v>
                </c:pt>
                <c:pt idx="8">
                  <c:v>25W36</c:v>
                </c:pt>
                <c:pt idx="9">
                  <c:v>25W37</c:v>
                </c:pt>
                <c:pt idx="10">
                  <c:v>25W38</c:v>
                </c:pt>
                <c:pt idx="11">
                  <c:v>25W39</c:v>
                </c:pt>
                <c:pt idx="12">
                  <c:v>25W40</c:v>
                </c:pt>
                <c:pt idx="13">
                  <c:v>25W41</c:v>
                </c:pt>
                <c:pt idx="14">
                  <c:v>25W42</c:v>
                </c:pt>
                <c:pt idx="15">
                  <c:v>25W43</c:v>
                </c:pt>
                <c:pt idx="16">
                  <c:v>25W44</c:v>
                </c:pt>
                <c:pt idx="17">
                  <c:v>25W45</c:v>
                </c:pt>
                <c:pt idx="18">
                  <c:v>25W46</c:v>
                </c:pt>
                <c:pt idx="19">
                  <c:v>25W47</c:v>
                </c:pt>
                <c:pt idx="20">
                  <c:v>25W48</c:v>
                </c:pt>
                <c:pt idx="21">
                  <c:v>25W49</c:v>
                </c:pt>
                <c:pt idx="22">
                  <c:v>25W50</c:v>
                </c:pt>
                <c:pt idx="23">
                  <c:v>25W51</c:v>
                </c:pt>
                <c:pt idx="24">
                  <c:v>25W52</c:v>
                </c:pt>
                <c:pt idx="25">
                  <c:v>26W01</c:v>
                </c:pt>
                <c:pt idx="26">
                  <c:v>26W02</c:v>
                </c:pt>
                <c:pt idx="27">
                  <c:v>26W03</c:v>
                </c:pt>
                <c:pt idx="28">
                  <c:v>26W04</c:v>
                </c:pt>
                <c:pt idx="29">
                  <c:v>26W06</c:v>
                </c:pt>
                <c:pt idx="30">
                  <c:v>26W07</c:v>
                </c:pt>
                <c:pt idx="31">
                  <c:v>26W08</c:v>
                </c:pt>
                <c:pt idx="32">
                  <c:v>26W10</c:v>
                </c:pt>
                <c:pt idx="33">
                  <c:v>26W11</c:v>
                </c:pt>
                <c:pt idx="34">
                  <c:v>26W12</c:v>
                </c:pt>
                <c:pt idx="35">
                  <c:v>26W13</c:v>
                </c:pt>
                <c:pt idx="36">
                  <c:v>26W14</c:v>
                </c:pt>
                <c:pt idx="37">
                  <c:v>26W16</c:v>
                </c:pt>
                <c:pt idx="38">
                  <c:v>26W17</c:v>
                </c:pt>
              </c:strCache>
            </c:strRef>
          </c:cat>
          <c:val>
            <c:numRef>
              <c:f>'SOVA-TestResult'!$G$2:$G$40</c:f>
              <c:numCache>
                <c:formatCode>General</c:formatCode>
                <c:ptCount val="39"/>
                <c:pt idx="0">
                  <c:v>0</c:v>
                </c:pt>
                <c:pt idx="2">
                  <c:v>0</c:v>
                </c:pt>
                <c:pt idx="4">
                  <c:v>0</c:v>
                </c:pt>
                <c:pt idx="6">
                  <c:v>0</c:v>
                </c:pt>
                <c:pt idx="8">
                  <c:v>0</c:v>
                </c:pt>
                <c:pt idx="10">
                  <c:v>0</c:v>
                </c:pt>
                <c:pt idx="12">
                  <c:v>0</c:v>
                </c:pt>
                <c:pt idx="14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508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284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1B6-0841-9E09-1415898952C6}"/>
            </c:ext>
          </c:extLst>
        </c:ser>
        <c:ser>
          <c:idx val="6"/>
          <c:order val="6"/>
          <c:tx>
            <c:strRef>
              <c:f>'SOVA-TestResult'!$H$1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'SOVA-TestResult'!$A$2:$A$40</c:f>
              <c:strCache>
                <c:ptCount val="39"/>
                <c:pt idx="0">
                  <c:v>25W28</c:v>
                </c:pt>
                <c:pt idx="1">
                  <c:v>25W29</c:v>
                </c:pt>
                <c:pt idx="2">
                  <c:v>25W30</c:v>
                </c:pt>
                <c:pt idx="3">
                  <c:v>25W31</c:v>
                </c:pt>
                <c:pt idx="4">
                  <c:v>25W32</c:v>
                </c:pt>
                <c:pt idx="5">
                  <c:v>25W33</c:v>
                </c:pt>
                <c:pt idx="6">
                  <c:v>25W34</c:v>
                </c:pt>
                <c:pt idx="7">
                  <c:v>25W35</c:v>
                </c:pt>
                <c:pt idx="8">
                  <c:v>25W36</c:v>
                </c:pt>
                <c:pt idx="9">
                  <c:v>25W37</c:v>
                </c:pt>
                <c:pt idx="10">
                  <c:v>25W38</c:v>
                </c:pt>
                <c:pt idx="11">
                  <c:v>25W39</c:v>
                </c:pt>
                <c:pt idx="12">
                  <c:v>25W40</c:v>
                </c:pt>
                <c:pt idx="13">
                  <c:v>25W41</c:v>
                </c:pt>
                <c:pt idx="14">
                  <c:v>25W42</c:v>
                </c:pt>
                <c:pt idx="15">
                  <c:v>25W43</c:v>
                </c:pt>
                <c:pt idx="16">
                  <c:v>25W44</c:v>
                </c:pt>
                <c:pt idx="17">
                  <c:v>25W45</c:v>
                </c:pt>
                <c:pt idx="18">
                  <c:v>25W46</c:v>
                </c:pt>
                <c:pt idx="19">
                  <c:v>25W47</c:v>
                </c:pt>
                <c:pt idx="20">
                  <c:v>25W48</c:v>
                </c:pt>
                <c:pt idx="21">
                  <c:v>25W49</c:v>
                </c:pt>
                <c:pt idx="22">
                  <c:v>25W50</c:v>
                </c:pt>
                <c:pt idx="23">
                  <c:v>25W51</c:v>
                </c:pt>
                <c:pt idx="24">
                  <c:v>25W52</c:v>
                </c:pt>
                <c:pt idx="25">
                  <c:v>26W01</c:v>
                </c:pt>
                <c:pt idx="26">
                  <c:v>26W02</c:v>
                </c:pt>
                <c:pt idx="27">
                  <c:v>26W03</c:v>
                </c:pt>
                <c:pt idx="28">
                  <c:v>26W04</c:v>
                </c:pt>
                <c:pt idx="29">
                  <c:v>26W06</c:v>
                </c:pt>
                <c:pt idx="30">
                  <c:v>26W07</c:v>
                </c:pt>
                <c:pt idx="31">
                  <c:v>26W08</c:v>
                </c:pt>
                <c:pt idx="32">
                  <c:v>26W10</c:v>
                </c:pt>
                <c:pt idx="33">
                  <c:v>26W11</c:v>
                </c:pt>
                <c:pt idx="34">
                  <c:v>26W12</c:v>
                </c:pt>
                <c:pt idx="35">
                  <c:v>26W13</c:v>
                </c:pt>
                <c:pt idx="36">
                  <c:v>26W14</c:v>
                </c:pt>
                <c:pt idx="37">
                  <c:v>26W16</c:v>
                </c:pt>
                <c:pt idx="38">
                  <c:v>26W17</c:v>
                </c:pt>
              </c:strCache>
            </c:strRef>
          </c:cat>
          <c:val>
            <c:numRef>
              <c:f>'SOVA-TestResult'!$H$2:$H$40</c:f>
              <c:numCache>
                <c:formatCode>General</c:formatCode>
                <c:ptCount val="39"/>
                <c:pt idx="0">
                  <c:v>54</c:v>
                </c:pt>
                <c:pt idx="2">
                  <c:v>54</c:v>
                </c:pt>
                <c:pt idx="4">
                  <c:v>67</c:v>
                </c:pt>
                <c:pt idx="6">
                  <c:v>90</c:v>
                </c:pt>
                <c:pt idx="8">
                  <c:v>145</c:v>
                </c:pt>
                <c:pt idx="10">
                  <c:v>161</c:v>
                </c:pt>
                <c:pt idx="12">
                  <c:v>167</c:v>
                </c:pt>
                <c:pt idx="14">
                  <c:v>259</c:v>
                </c:pt>
                <c:pt idx="16">
                  <c:v>285</c:v>
                </c:pt>
                <c:pt idx="17">
                  <c:v>162</c:v>
                </c:pt>
                <c:pt idx="18">
                  <c:v>246</c:v>
                </c:pt>
                <c:pt idx="19">
                  <c:v>303</c:v>
                </c:pt>
                <c:pt idx="20">
                  <c:v>331</c:v>
                </c:pt>
                <c:pt idx="21">
                  <c:v>279</c:v>
                </c:pt>
                <c:pt idx="22">
                  <c:v>362</c:v>
                </c:pt>
                <c:pt idx="23">
                  <c:v>378</c:v>
                </c:pt>
                <c:pt idx="24">
                  <c:v>148</c:v>
                </c:pt>
                <c:pt idx="25">
                  <c:v>477</c:v>
                </c:pt>
                <c:pt idx="26">
                  <c:v>542</c:v>
                </c:pt>
                <c:pt idx="27">
                  <c:v>650</c:v>
                </c:pt>
                <c:pt idx="28">
                  <c:v>464</c:v>
                </c:pt>
                <c:pt idx="29">
                  <c:v>184</c:v>
                </c:pt>
                <c:pt idx="30">
                  <c:v>753</c:v>
                </c:pt>
                <c:pt idx="31">
                  <c:v>704</c:v>
                </c:pt>
                <c:pt idx="32">
                  <c:v>218</c:v>
                </c:pt>
                <c:pt idx="33">
                  <c:v>703</c:v>
                </c:pt>
                <c:pt idx="34">
                  <c:v>508</c:v>
                </c:pt>
                <c:pt idx="35">
                  <c:v>508</c:v>
                </c:pt>
                <c:pt idx="36">
                  <c:v>857</c:v>
                </c:pt>
                <c:pt idx="37">
                  <c:v>967</c:v>
                </c:pt>
                <c:pt idx="38">
                  <c:v>1522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964-450E-8791-12BF16343F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67472959"/>
        <c:axId val="1167191519"/>
      </c:lineChart>
      <c:catAx>
        <c:axId val="1167472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7191519"/>
        <c:crosses val="autoZero"/>
        <c:auto val="1"/>
        <c:lblAlgn val="ctr"/>
        <c:lblOffset val="100"/>
        <c:noMultiLvlLbl val="0"/>
      </c:catAx>
      <c:valAx>
        <c:axId val="1167191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7472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Humi - Bug trend (Per version)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'Humi-BugTrend'!$B$1</c:f>
              <c:strCache>
                <c:ptCount val="1"/>
                <c:pt idx="0">
                  <c:v>To Do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'Humi-BugTrend'!$A$2:$A$24</c:f>
              <c:strCache>
                <c:ptCount val="23"/>
                <c:pt idx="0">
                  <c:v>v1.20</c:v>
                </c:pt>
                <c:pt idx="1">
                  <c:v>v1.21</c:v>
                </c:pt>
                <c:pt idx="2">
                  <c:v>v1.22</c:v>
                </c:pt>
                <c:pt idx="3">
                  <c:v>v1.23</c:v>
                </c:pt>
                <c:pt idx="4">
                  <c:v>v1.24</c:v>
                </c:pt>
                <c:pt idx="5">
                  <c:v>v1.25</c:v>
                </c:pt>
                <c:pt idx="6">
                  <c:v>v1.26</c:v>
                </c:pt>
                <c:pt idx="7">
                  <c:v>v1.27</c:v>
                </c:pt>
                <c:pt idx="8">
                  <c:v>v1.28</c:v>
                </c:pt>
                <c:pt idx="9">
                  <c:v>v1.29</c:v>
                </c:pt>
                <c:pt idx="10">
                  <c:v>v1.30</c:v>
                </c:pt>
                <c:pt idx="11">
                  <c:v>v1.31</c:v>
                </c:pt>
                <c:pt idx="12">
                  <c:v>v1.32</c:v>
                </c:pt>
                <c:pt idx="13">
                  <c:v>v1.33</c:v>
                </c:pt>
                <c:pt idx="14">
                  <c:v>v1.34</c:v>
                </c:pt>
                <c:pt idx="15">
                  <c:v>v1.35</c:v>
                </c:pt>
                <c:pt idx="16">
                  <c:v>v1.36</c:v>
                </c:pt>
                <c:pt idx="17">
                  <c:v>v1.37</c:v>
                </c:pt>
                <c:pt idx="18">
                  <c:v>v1.38</c:v>
                </c:pt>
                <c:pt idx="19">
                  <c:v>v1.39</c:v>
                </c:pt>
                <c:pt idx="20">
                  <c:v>v1.40</c:v>
                </c:pt>
                <c:pt idx="21">
                  <c:v>v1.41</c:v>
                </c:pt>
                <c:pt idx="22">
                  <c:v>v1.42</c:v>
                </c:pt>
              </c:strCache>
            </c:strRef>
          </c:cat>
          <c:val>
            <c:numRef>
              <c:f>'Humi-BugTrend'!$B$2:$B$24</c:f>
              <c:numCache>
                <c:formatCode>General</c:formatCode>
                <c:ptCount val="23"/>
                <c:pt idx="0">
                  <c:v>9</c:v>
                </c:pt>
                <c:pt idx="1">
                  <c:v>4</c:v>
                </c:pt>
                <c:pt idx="2">
                  <c:v>14</c:v>
                </c:pt>
                <c:pt idx="3">
                  <c:v>14</c:v>
                </c:pt>
                <c:pt idx="4">
                  <c:v>15</c:v>
                </c:pt>
                <c:pt idx="5">
                  <c:v>12</c:v>
                </c:pt>
                <c:pt idx="6">
                  <c:v>8</c:v>
                </c:pt>
                <c:pt idx="7">
                  <c:v>6</c:v>
                </c:pt>
                <c:pt idx="8">
                  <c:v>7</c:v>
                </c:pt>
                <c:pt idx="9">
                  <c:v>1</c:v>
                </c:pt>
                <c:pt idx="10">
                  <c:v>12</c:v>
                </c:pt>
                <c:pt idx="11">
                  <c:v>0</c:v>
                </c:pt>
                <c:pt idx="12">
                  <c:v>2</c:v>
                </c:pt>
                <c:pt idx="13">
                  <c:v>10</c:v>
                </c:pt>
                <c:pt idx="14">
                  <c:v>0</c:v>
                </c:pt>
                <c:pt idx="15">
                  <c:v>6</c:v>
                </c:pt>
                <c:pt idx="16">
                  <c:v>3</c:v>
                </c:pt>
                <c:pt idx="17">
                  <c:v>0</c:v>
                </c:pt>
                <c:pt idx="18">
                  <c:v>1</c:v>
                </c:pt>
                <c:pt idx="19">
                  <c:v>2</c:v>
                </c:pt>
                <c:pt idx="20">
                  <c:v>9</c:v>
                </c:pt>
                <c:pt idx="21">
                  <c:v>1</c:v>
                </c:pt>
                <c:pt idx="2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00-754E-8A07-C86B0F993C4F}"/>
            </c:ext>
          </c:extLst>
        </c:ser>
        <c:ser>
          <c:idx val="1"/>
          <c:order val="1"/>
          <c:tx>
            <c:strRef>
              <c:f>'Humi-BugTrend'!$C$1</c:f>
              <c:strCache>
                <c:ptCount val="1"/>
                <c:pt idx="0">
                  <c:v>In Progress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'Humi-BugTrend'!$A$2:$A$24</c:f>
              <c:strCache>
                <c:ptCount val="23"/>
                <c:pt idx="0">
                  <c:v>v1.20</c:v>
                </c:pt>
                <c:pt idx="1">
                  <c:v>v1.21</c:v>
                </c:pt>
                <c:pt idx="2">
                  <c:v>v1.22</c:v>
                </c:pt>
                <c:pt idx="3">
                  <c:v>v1.23</c:v>
                </c:pt>
                <c:pt idx="4">
                  <c:v>v1.24</c:v>
                </c:pt>
                <c:pt idx="5">
                  <c:v>v1.25</c:v>
                </c:pt>
                <c:pt idx="6">
                  <c:v>v1.26</c:v>
                </c:pt>
                <c:pt idx="7">
                  <c:v>v1.27</c:v>
                </c:pt>
                <c:pt idx="8">
                  <c:v>v1.28</c:v>
                </c:pt>
                <c:pt idx="9">
                  <c:v>v1.29</c:v>
                </c:pt>
                <c:pt idx="10">
                  <c:v>v1.30</c:v>
                </c:pt>
                <c:pt idx="11">
                  <c:v>v1.31</c:v>
                </c:pt>
                <c:pt idx="12">
                  <c:v>v1.32</c:v>
                </c:pt>
                <c:pt idx="13">
                  <c:v>v1.33</c:v>
                </c:pt>
                <c:pt idx="14">
                  <c:v>v1.34</c:v>
                </c:pt>
                <c:pt idx="15">
                  <c:v>v1.35</c:v>
                </c:pt>
                <c:pt idx="16">
                  <c:v>v1.36</c:v>
                </c:pt>
                <c:pt idx="17">
                  <c:v>v1.37</c:v>
                </c:pt>
                <c:pt idx="18">
                  <c:v>v1.38</c:v>
                </c:pt>
                <c:pt idx="19">
                  <c:v>v1.39</c:v>
                </c:pt>
                <c:pt idx="20">
                  <c:v>v1.40</c:v>
                </c:pt>
                <c:pt idx="21">
                  <c:v>v1.41</c:v>
                </c:pt>
                <c:pt idx="22">
                  <c:v>v1.42</c:v>
                </c:pt>
              </c:strCache>
            </c:strRef>
          </c:cat>
          <c:val>
            <c:numRef>
              <c:f>'Humi-BugTrend'!$C$2:$C$24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300-754E-8A07-C86B0F993C4F}"/>
            </c:ext>
          </c:extLst>
        </c:ser>
        <c:ser>
          <c:idx val="2"/>
          <c:order val="2"/>
          <c:tx>
            <c:strRef>
              <c:f>'Humi-BugTrend'!$D$1</c:f>
              <c:strCache>
                <c:ptCount val="1"/>
                <c:pt idx="0">
                  <c:v>In Review</c:v>
                </c:pt>
              </c:strCache>
            </c:strRef>
          </c:tx>
          <c:spPr>
            <a:solidFill>
              <a:schemeClr val="tx2">
                <a:lumMod val="75000"/>
                <a:lumOff val="25000"/>
              </a:schemeClr>
            </a:solidFill>
            <a:ln>
              <a:noFill/>
            </a:ln>
            <a:effectLst/>
          </c:spPr>
          <c:invertIfNegative val="0"/>
          <c:cat>
            <c:strRef>
              <c:f>'Humi-BugTrend'!$A$2:$A$24</c:f>
              <c:strCache>
                <c:ptCount val="23"/>
                <c:pt idx="0">
                  <c:v>v1.20</c:v>
                </c:pt>
                <c:pt idx="1">
                  <c:v>v1.21</c:v>
                </c:pt>
                <c:pt idx="2">
                  <c:v>v1.22</c:v>
                </c:pt>
                <c:pt idx="3">
                  <c:v>v1.23</c:v>
                </c:pt>
                <c:pt idx="4">
                  <c:v>v1.24</c:v>
                </c:pt>
                <c:pt idx="5">
                  <c:v>v1.25</c:v>
                </c:pt>
                <c:pt idx="6">
                  <c:v>v1.26</c:v>
                </c:pt>
                <c:pt idx="7">
                  <c:v>v1.27</c:v>
                </c:pt>
                <c:pt idx="8">
                  <c:v>v1.28</c:v>
                </c:pt>
                <c:pt idx="9">
                  <c:v>v1.29</c:v>
                </c:pt>
                <c:pt idx="10">
                  <c:v>v1.30</c:v>
                </c:pt>
                <c:pt idx="11">
                  <c:v>v1.31</c:v>
                </c:pt>
                <c:pt idx="12">
                  <c:v>v1.32</c:v>
                </c:pt>
                <c:pt idx="13">
                  <c:v>v1.33</c:v>
                </c:pt>
                <c:pt idx="14">
                  <c:v>v1.34</c:v>
                </c:pt>
                <c:pt idx="15">
                  <c:v>v1.35</c:v>
                </c:pt>
                <c:pt idx="16">
                  <c:v>v1.36</c:v>
                </c:pt>
                <c:pt idx="17">
                  <c:v>v1.37</c:v>
                </c:pt>
                <c:pt idx="18">
                  <c:v>v1.38</c:v>
                </c:pt>
                <c:pt idx="19">
                  <c:v>v1.39</c:v>
                </c:pt>
                <c:pt idx="20">
                  <c:v>v1.40</c:v>
                </c:pt>
                <c:pt idx="21">
                  <c:v>v1.41</c:v>
                </c:pt>
                <c:pt idx="22">
                  <c:v>v1.42</c:v>
                </c:pt>
              </c:strCache>
            </c:strRef>
          </c:cat>
          <c:val>
            <c:numRef>
              <c:f>'Humi-BugTrend'!$D$2:$D$24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300-754E-8A07-C86B0F993C4F}"/>
            </c:ext>
          </c:extLst>
        </c:ser>
        <c:ser>
          <c:idx val="3"/>
          <c:order val="3"/>
          <c:tx>
            <c:strRef>
              <c:f>'Humi-BugTrend'!$E$1</c:f>
              <c:strCache>
                <c:ptCount val="1"/>
                <c:pt idx="0">
                  <c:v>In QA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'Humi-BugTrend'!$A$2:$A$24</c:f>
              <c:strCache>
                <c:ptCount val="23"/>
                <c:pt idx="0">
                  <c:v>v1.20</c:v>
                </c:pt>
                <c:pt idx="1">
                  <c:v>v1.21</c:v>
                </c:pt>
                <c:pt idx="2">
                  <c:v>v1.22</c:v>
                </c:pt>
                <c:pt idx="3">
                  <c:v>v1.23</c:v>
                </c:pt>
                <c:pt idx="4">
                  <c:v>v1.24</c:v>
                </c:pt>
                <c:pt idx="5">
                  <c:v>v1.25</c:v>
                </c:pt>
                <c:pt idx="6">
                  <c:v>v1.26</c:v>
                </c:pt>
                <c:pt idx="7">
                  <c:v>v1.27</c:v>
                </c:pt>
                <c:pt idx="8">
                  <c:v>v1.28</c:v>
                </c:pt>
                <c:pt idx="9">
                  <c:v>v1.29</c:v>
                </c:pt>
                <c:pt idx="10">
                  <c:v>v1.30</c:v>
                </c:pt>
                <c:pt idx="11">
                  <c:v>v1.31</c:v>
                </c:pt>
                <c:pt idx="12">
                  <c:v>v1.32</c:v>
                </c:pt>
                <c:pt idx="13">
                  <c:v>v1.33</c:v>
                </c:pt>
                <c:pt idx="14">
                  <c:v>v1.34</c:v>
                </c:pt>
                <c:pt idx="15">
                  <c:v>v1.35</c:v>
                </c:pt>
                <c:pt idx="16">
                  <c:v>v1.36</c:v>
                </c:pt>
                <c:pt idx="17">
                  <c:v>v1.37</c:v>
                </c:pt>
                <c:pt idx="18">
                  <c:v>v1.38</c:v>
                </c:pt>
                <c:pt idx="19">
                  <c:v>v1.39</c:v>
                </c:pt>
                <c:pt idx="20">
                  <c:v>v1.40</c:v>
                </c:pt>
                <c:pt idx="21">
                  <c:v>v1.41</c:v>
                </c:pt>
                <c:pt idx="22">
                  <c:v>v1.42</c:v>
                </c:pt>
              </c:strCache>
            </c:strRef>
          </c:cat>
          <c:val>
            <c:numRef>
              <c:f>'Humi-BugTrend'!$E$2:$E$24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300-754E-8A07-C86B0F993C4F}"/>
            </c:ext>
          </c:extLst>
        </c:ser>
        <c:ser>
          <c:idx val="4"/>
          <c:order val="4"/>
          <c:tx>
            <c:strRef>
              <c:f>'Humi-BugTrend'!$F$1</c:f>
              <c:strCache>
                <c:ptCount val="1"/>
                <c:pt idx="0">
                  <c:v>Internal Test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'Humi-BugTrend'!$A$2:$A$24</c:f>
              <c:strCache>
                <c:ptCount val="23"/>
                <c:pt idx="0">
                  <c:v>v1.20</c:v>
                </c:pt>
                <c:pt idx="1">
                  <c:v>v1.21</c:v>
                </c:pt>
                <c:pt idx="2">
                  <c:v>v1.22</c:v>
                </c:pt>
                <c:pt idx="3">
                  <c:v>v1.23</c:v>
                </c:pt>
                <c:pt idx="4">
                  <c:v>v1.24</c:v>
                </c:pt>
                <c:pt idx="5">
                  <c:v>v1.25</c:v>
                </c:pt>
                <c:pt idx="6">
                  <c:v>v1.26</c:v>
                </c:pt>
                <c:pt idx="7">
                  <c:v>v1.27</c:v>
                </c:pt>
                <c:pt idx="8">
                  <c:v>v1.28</c:v>
                </c:pt>
                <c:pt idx="9">
                  <c:v>v1.29</c:v>
                </c:pt>
                <c:pt idx="10">
                  <c:v>v1.30</c:v>
                </c:pt>
                <c:pt idx="11">
                  <c:v>v1.31</c:v>
                </c:pt>
                <c:pt idx="12">
                  <c:v>v1.32</c:v>
                </c:pt>
                <c:pt idx="13">
                  <c:v>v1.33</c:v>
                </c:pt>
                <c:pt idx="14">
                  <c:v>v1.34</c:v>
                </c:pt>
                <c:pt idx="15">
                  <c:v>v1.35</c:v>
                </c:pt>
                <c:pt idx="16">
                  <c:v>v1.36</c:v>
                </c:pt>
                <c:pt idx="17">
                  <c:v>v1.37</c:v>
                </c:pt>
                <c:pt idx="18">
                  <c:v>v1.38</c:v>
                </c:pt>
                <c:pt idx="19">
                  <c:v>v1.39</c:v>
                </c:pt>
                <c:pt idx="20">
                  <c:v>v1.40</c:v>
                </c:pt>
                <c:pt idx="21">
                  <c:v>v1.41</c:v>
                </c:pt>
                <c:pt idx="22">
                  <c:v>v1.42</c:v>
                </c:pt>
              </c:strCache>
            </c:strRef>
          </c:cat>
          <c:val>
            <c:numRef>
              <c:f>'Humi-BugTrend'!$F$2:$F$24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1EE-4236-973E-E208D437CE39}"/>
            </c:ext>
          </c:extLst>
        </c:ser>
        <c:ser>
          <c:idx val="5"/>
          <c:order val="5"/>
          <c:tx>
            <c:strRef>
              <c:f>'Humi-BugTrend'!$G$1</c:f>
              <c:strCache>
                <c:ptCount val="1"/>
                <c:pt idx="0">
                  <c:v>Done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'Humi-BugTrend'!$A$2:$A$24</c:f>
              <c:strCache>
                <c:ptCount val="23"/>
                <c:pt idx="0">
                  <c:v>v1.20</c:v>
                </c:pt>
                <c:pt idx="1">
                  <c:v>v1.21</c:v>
                </c:pt>
                <c:pt idx="2">
                  <c:v>v1.22</c:v>
                </c:pt>
                <c:pt idx="3">
                  <c:v>v1.23</c:v>
                </c:pt>
                <c:pt idx="4">
                  <c:v>v1.24</c:v>
                </c:pt>
                <c:pt idx="5">
                  <c:v>v1.25</c:v>
                </c:pt>
                <c:pt idx="6">
                  <c:v>v1.26</c:v>
                </c:pt>
                <c:pt idx="7">
                  <c:v>v1.27</c:v>
                </c:pt>
                <c:pt idx="8">
                  <c:v>v1.28</c:v>
                </c:pt>
                <c:pt idx="9">
                  <c:v>v1.29</c:v>
                </c:pt>
                <c:pt idx="10">
                  <c:v>v1.30</c:v>
                </c:pt>
                <c:pt idx="11">
                  <c:v>v1.31</c:v>
                </c:pt>
                <c:pt idx="12">
                  <c:v>v1.32</c:v>
                </c:pt>
                <c:pt idx="13">
                  <c:v>v1.33</c:v>
                </c:pt>
                <c:pt idx="14">
                  <c:v>v1.34</c:v>
                </c:pt>
                <c:pt idx="15">
                  <c:v>v1.35</c:v>
                </c:pt>
                <c:pt idx="16">
                  <c:v>v1.36</c:v>
                </c:pt>
                <c:pt idx="17">
                  <c:v>v1.37</c:v>
                </c:pt>
                <c:pt idx="18">
                  <c:v>v1.38</c:v>
                </c:pt>
                <c:pt idx="19">
                  <c:v>v1.39</c:v>
                </c:pt>
                <c:pt idx="20">
                  <c:v>v1.40</c:v>
                </c:pt>
                <c:pt idx="21">
                  <c:v>v1.41</c:v>
                </c:pt>
                <c:pt idx="22">
                  <c:v>v1.42</c:v>
                </c:pt>
              </c:strCache>
            </c:strRef>
          </c:cat>
          <c:val>
            <c:numRef>
              <c:f>'Humi-BugTrend'!$G$2:$G$24</c:f>
              <c:numCache>
                <c:formatCode>General</c:formatCode>
                <c:ptCount val="23"/>
                <c:pt idx="0">
                  <c:v>66</c:v>
                </c:pt>
                <c:pt idx="1">
                  <c:v>48</c:v>
                </c:pt>
                <c:pt idx="2">
                  <c:v>46</c:v>
                </c:pt>
                <c:pt idx="3">
                  <c:v>34</c:v>
                </c:pt>
                <c:pt idx="4">
                  <c:v>25</c:v>
                </c:pt>
                <c:pt idx="5">
                  <c:v>56</c:v>
                </c:pt>
                <c:pt idx="6">
                  <c:v>40</c:v>
                </c:pt>
                <c:pt idx="7">
                  <c:v>33</c:v>
                </c:pt>
                <c:pt idx="8">
                  <c:v>29</c:v>
                </c:pt>
                <c:pt idx="9">
                  <c:v>1</c:v>
                </c:pt>
                <c:pt idx="10">
                  <c:v>9</c:v>
                </c:pt>
                <c:pt idx="11">
                  <c:v>12</c:v>
                </c:pt>
                <c:pt idx="12">
                  <c:v>9</c:v>
                </c:pt>
                <c:pt idx="13">
                  <c:v>40</c:v>
                </c:pt>
                <c:pt idx="14">
                  <c:v>38</c:v>
                </c:pt>
                <c:pt idx="15">
                  <c:v>35</c:v>
                </c:pt>
                <c:pt idx="16">
                  <c:v>18</c:v>
                </c:pt>
                <c:pt idx="17">
                  <c:v>12</c:v>
                </c:pt>
                <c:pt idx="18">
                  <c:v>8</c:v>
                </c:pt>
                <c:pt idx="19">
                  <c:v>8</c:v>
                </c:pt>
                <c:pt idx="20">
                  <c:v>41</c:v>
                </c:pt>
                <c:pt idx="21">
                  <c:v>3</c:v>
                </c:pt>
                <c:pt idx="2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C1-4D16-B4F6-2327529C3DB3}"/>
            </c:ext>
          </c:extLst>
        </c:ser>
        <c:ser>
          <c:idx val="6"/>
          <c:order val="6"/>
          <c:tx>
            <c:strRef>
              <c:f>'Humi-BugTrend'!$H$1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'Humi-BugTrend'!$A$2:$A$24</c:f>
              <c:strCache>
                <c:ptCount val="23"/>
                <c:pt idx="0">
                  <c:v>v1.20</c:v>
                </c:pt>
                <c:pt idx="1">
                  <c:v>v1.21</c:v>
                </c:pt>
                <c:pt idx="2">
                  <c:v>v1.22</c:v>
                </c:pt>
                <c:pt idx="3">
                  <c:v>v1.23</c:v>
                </c:pt>
                <c:pt idx="4">
                  <c:v>v1.24</c:v>
                </c:pt>
                <c:pt idx="5">
                  <c:v>v1.25</c:v>
                </c:pt>
                <c:pt idx="6">
                  <c:v>v1.26</c:v>
                </c:pt>
                <c:pt idx="7">
                  <c:v>v1.27</c:v>
                </c:pt>
                <c:pt idx="8">
                  <c:v>v1.28</c:v>
                </c:pt>
                <c:pt idx="9">
                  <c:v>v1.29</c:v>
                </c:pt>
                <c:pt idx="10">
                  <c:v>v1.30</c:v>
                </c:pt>
                <c:pt idx="11">
                  <c:v>v1.31</c:v>
                </c:pt>
                <c:pt idx="12">
                  <c:v>v1.32</c:v>
                </c:pt>
                <c:pt idx="13">
                  <c:v>v1.33</c:v>
                </c:pt>
                <c:pt idx="14">
                  <c:v>v1.34</c:v>
                </c:pt>
                <c:pt idx="15">
                  <c:v>v1.35</c:v>
                </c:pt>
                <c:pt idx="16">
                  <c:v>v1.36</c:v>
                </c:pt>
                <c:pt idx="17">
                  <c:v>v1.37</c:v>
                </c:pt>
                <c:pt idx="18">
                  <c:v>v1.38</c:v>
                </c:pt>
                <c:pt idx="19">
                  <c:v>v1.39</c:v>
                </c:pt>
                <c:pt idx="20">
                  <c:v>v1.40</c:v>
                </c:pt>
                <c:pt idx="21">
                  <c:v>v1.41</c:v>
                </c:pt>
                <c:pt idx="22">
                  <c:v>v1.42</c:v>
                </c:pt>
              </c:strCache>
            </c:strRef>
          </c:cat>
          <c:val>
            <c:numRef>
              <c:f>'Humi-BugTrend'!$H$2:$H$24</c:f>
              <c:numCache>
                <c:formatCode>General</c:formatCode>
                <c:ptCount val="23"/>
                <c:pt idx="0">
                  <c:v>75</c:v>
                </c:pt>
                <c:pt idx="1">
                  <c:v>52</c:v>
                </c:pt>
                <c:pt idx="2">
                  <c:v>61</c:v>
                </c:pt>
                <c:pt idx="3">
                  <c:v>49</c:v>
                </c:pt>
                <c:pt idx="4">
                  <c:v>40</c:v>
                </c:pt>
                <c:pt idx="5">
                  <c:v>68</c:v>
                </c:pt>
                <c:pt idx="6">
                  <c:v>48</c:v>
                </c:pt>
                <c:pt idx="7">
                  <c:v>39</c:v>
                </c:pt>
                <c:pt idx="8">
                  <c:v>37</c:v>
                </c:pt>
                <c:pt idx="9">
                  <c:v>2</c:v>
                </c:pt>
                <c:pt idx="10">
                  <c:v>21</c:v>
                </c:pt>
                <c:pt idx="11">
                  <c:v>12</c:v>
                </c:pt>
                <c:pt idx="12">
                  <c:v>11</c:v>
                </c:pt>
                <c:pt idx="13">
                  <c:v>50</c:v>
                </c:pt>
                <c:pt idx="14">
                  <c:v>38</c:v>
                </c:pt>
                <c:pt idx="15">
                  <c:v>42</c:v>
                </c:pt>
                <c:pt idx="16">
                  <c:v>21</c:v>
                </c:pt>
                <c:pt idx="17">
                  <c:v>12</c:v>
                </c:pt>
                <c:pt idx="18">
                  <c:v>9</c:v>
                </c:pt>
                <c:pt idx="19">
                  <c:v>10</c:v>
                </c:pt>
                <c:pt idx="20">
                  <c:v>50</c:v>
                </c:pt>
                <c:pt idx="21">
                  <c:v>4</c:v>
                </c:pt>
                <c:pt idx="2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DC1-4D16-B4F6-2327529C3D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67800655"/>
        <c:axId val="1167802383"/>
      </c:barChart>
      <c:catAx>
        <c:axId val="1167800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7802383"/>
        <c:crosses val="autoZero"/>
        <c:auto val="1"/>
        <c:lblAlgn val="ctr"/>
        <c:lblOffset val="100"/>
        <c:noMultiLvlLbl val="0"/>
      </c:catAx>
      <c:valAx>
        <c:axId val="1167802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7800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SOVA - Bug trend (Per Sprint)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'SOVA-BugTrend'!$B$1</c:f>
              <c:strCache>
                <c:ptCount val="1"/>
                <c:pt idx="0">
                  <c:v>To Do (0%)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5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'SOVA-BugTrend'!$A$2:$A$24</c:f>
              <c:strCache>
                <c:ptCount val="23"/>
                <c:pt idx="0">
                  <c:v>Candidate</c:v>
                </c:pt>
                <c:pt idx="1">
                  <c:v>y25w28</c:v>
                </c:pt>
                <c:pt idx="2">
                  <c:v>y25w30</c:v>
                </c:pt>
                <c:pt idx="3">
                  <c:v>y25w32</c:v>
                </c:pt>
                <c:pt idx="4">
                  <c:v>y25w34</c:v>
                </c:pt>
                <c:pt idx="5">
                  <c:v>y25w36</c:v>
                </c:pt>
                <c:pt idx="6">
                  <c:v>y25w38</c:v>
                </c:pt>
                <c:pt idx="7">
                  <c:v>y25w40</c:v>
                </c:pt>
                <c:pt idx="8">
                  <c:v>y25w42</c:v>
                </c:pt>
                <c:pt idx="9">
                  <c:v>y25w44</c:v>
                </c:pt>
                <c:pt idx="10">
                  <c:v>y25w46</c:v>
                </c:pt>
                <c:pt idx="11">
                  <c:v>y25w48</c:v>
                </c:pt>
                <c:pt idx="12">
                  <c:v>y25w50</c:v>
                </c:pt>
                <c:pt idx="13">
                  <c:v>y25w52</c:v>
                </c:pt>
                <c:pt idx="14">
                  <c:v>y26w2</c:v>
                </c:pt>
                <c:pt idx="15">
                  <c:v>y26w4</c:v>
                </c:pt>
                <c:pt idx="16">
                  <c:v>y26w6</c:v>
                </c:pt>
                <c:pt idx="17">
                  <c:v>y26w8</c:v>
                </c:pt>
                <c:pt idx="18">
                  <c:v>y26w10</c:v>
                </c:pt>
                <c:pt idx="19">
                  <c:v>y26w12</c:v>
                </c:pt>
                <c:pt idx="20">
                  <c:v>y26w14</c:v>
                </c:pt>
                <c:pt idx="21">
                  <c:v>y26w16</c:v>
                </c:pt>
                <c:pt idx="22">
                  <c:v>y26w18</c:v>
                </c:pt>
              </c:strCache>
            </c:strRef>
          </c:cat>
          <c:val>
            <c:numRef>
              <c:f>'SOVA-BugTrend'!$B$2:$B$24</c:f>
              <c:numCache>
                <c:formatCode>General</c:formatCode>
                <c:ptCount val="23"/>
                <c:pt idx="0">
                  <c:v>32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3</c:v>
                </c:pt>
                <c:pt idx="6">
                  <c:v>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3</c:v>
                </c:pt>
                <c:pt idx="12">
                  <c:v>3</c:v>
                </c:pt>
                <c:pt idx="13">
                  <c:v>4</c:v>
                </c:pt>
                <c:pt idx="14">
                  <c:v>0</c:v>
                </c:pt>
                <c:pt idx="15">
                  <c:v>0</c:v>
                </c:pt>
                <c:pt idx="16">
                  <c:v>3</c:v>
                </c:pt>
                <c:pt idx="17">
                  <c:v>3</c:v>
                </c:pt>
                <c:pt idx="18">
                  <c:v>2</c:v>
                </c:pt>
                <c:pt idx="19">
                  <c:v>2</c:v>
                </c:pt>
                <c:pt idx="20">
                  <c:v>1</c:v>
                </c:pt>
                <c:pt idx="21">
                  <c:v>11</c:v>
                </c:pt>
                <c:pt idx="22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FD-E249-9004-FD6F8F48AD9B}"/>
            </c:ext>
          </c:extLst>
        </c:ser>
        <c:ser>
          <c:idx val="1"/>
          <c:order val="1"/>
          <c:tx>
            <c:strRef>
              <c:f>'SOVA-BugTrend'!$C$1</c:f>
              <c:strCache>
                <c:ptCount val="1"/>
                <c:pt idx="0">
                  <c:v>STARTING (10 ~ 40%)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6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'SOVA-BugTrend'!$A$2:$A$24</c:f>
              <c:strCache>
                <c:ptCount val="23"/>
                <c:pt idx="0">
                  <c:v>Candidate</c:v>
                </c:pt>
                <c:pt idx="1">
                  <c:v>y25w28</c:v>
                </c:pt>
                <c:pt idx="2">
                  <c:v>y25w30</c:v>
                </c:pt>
                <c:pt idx="3">
                  <c:v>y25w32</c:v>
                </c:pt>
                <c:pt idx="4">
                  <c:v>y25w34</c:v>
                </c:pt>
                <c:pt idx="5">
                  <c:v>y25w36</c:v>
                </c:pt>
                <c:pt idx="6">
                  <c:v>y25w38</c:v>
                </c:pt>
                <c:pt idx="7">
                  <c:v>y25w40</c:v>
                </c:pt>
                <c:pt idx="8">
                  <c:v>y25w42</c:v>
                </c:pt>
                <c:pt idx="9">
                  <c:v>y25w44</c:v>
                </c:pt>
                <c:pt idx="10">
                  <c:v>y25w46</c:v>
                </c:pt>
                <c:pt idx="11">
                  <c:v>y25w48</c:v>
                </c:pt>
                <c:pt idx="12">
                  <c:v>y25w50</c:v>
                </c:pt>
                <c:pt idx="13">
                  <c:v>y25w52</c:v>
                </c:pt>
                <c:pt idx="14">
                  <c:v>y26w2</c:v>
                </c:pt>
                <c:pt idx="15">
                  <c:v>y26w4</c:v>
                </c:pt>
                <c:pt idx="16">
                  <c:v>y26w6</c:v>
                </c:pt>
                <c:pt idx="17">
                  <c:v>y26w8</c:v>
                </c:pt>
                <c:pt idx="18">
                  <c:v>y26w10</c:v>
                </c:pt>
                <c:pt idx="19">
                  <c:v>y26w12</c:v>
                </c:pt>
                <c:pt idx="20">
                  <c:v>y26w14</c:v>
                </c:pt>
                <c:pt idx="21">
                  <c:v>y26w16</c:v>
                </c:pt>
                <c:pt idx="22">
                  <c:v>y26w18</c:v>
                </c:pt>
              </c:strCache>
            </c:strRef>
          </c:cat>
          <c:val>
            <c:numRef>
              <c:f>'SOVA-BugTrend'!$C$2:$C$24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1FD-E249-9004-FD6F8F48AD9B}"/>
            </c:ext>
          </c:extLst>
        </c:ser>
        <c:ser>
          <c:idx val="2"/>
          <c:order val="2"/>
          <c:tx>
            <c:strRef>
              <c:f>'SOVA-BugTrend'!$D$1</c:f>
              <c:strCache>
                <c:ptCount val="1"/>
                <c:pt idx="0">
                  <c:v>In Progress (50 ~ 70%)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'SOVA-BugTrend'!$A$2:$A$24</c:f>
              <c:strCache>
                <c:ptCount val="23"/>
                <c:pt idx="0">
                  <c:v>Candidate</c:v>
                </c:pt>
                <c:pt idx="1">
                  <c:v>y25w28</c:v>
                </c:pt>
                <c:pt idx="2">
                  <c:v>y25w30</c:v>
                </c:pt>
                <c:pt idx="3">
                  <c:v>y25w32</c:v>
                </c:pt>
                <c:pt idx="4">
                  <c:v>y25w34</c:v>
                </c:pt>
                <c:pt idx="5">
                  <c:v>y25w36</c:v>
                </c:pt>
                <c:pt idx="6">
                  <c:v>y25w38</c:v>
                </c:pt>
                <c:pt idx="7">
                  <c:v>y25w40</c:v>
                </c:pt>
                <c:pt idx="8">
                  <c:v>y25w42</c:v>
                </c:pt>
                <c:pt idx="9">
                  <c:v>y25w44</c:v>
                </c:pt>
                <c:pt idx="10">
                  <c:v>y25w46</c:v>
                </c:pt>
                <c:pt idx="11">
                  <c:v>y25w48</c:v>
                </c:pt>
                <c:pt idx="12">
                  <c:v>y25w50</c:v>
                </c:pt>
                <c:pt idx="13">
                  <c:v>y25w52</c:v>
                </c:pt>
                <c:pt idx="14">
                  <c:v>y26w2</c:v>
                </c:pt>
                <c:pt idx="15">
                  <c:v>y26w4</c:v>
                </c:pt>
                <c:pt idx="16">
                  <c:v>y26w6</c:v>
                </c:pt>
                <c:pt idx="17">
                  <c:v>y26w8</c:v>
                </c:pt>
                <c:pt idx="18">
                  <c:v>y26w10</c:v>
                </c:pt>
                <c:pt idx="19">
                  <c:v>y26w12</c:v>
                </c:pt>
                <c:pt idx="20">
                  <c:v>y26w14</c:v>
                </c:pt>
                <c:pt idx="21">
                  <c:v>y26w16</c:v>
                </c:pt>
                <c:pt idx="22">
                  <c:v>y26w18</c:v>
                </c:pt>
              </c:strCache>
            </c:strRef>
          </c:cat>
          <c:val>
            <c:numRef>
              <c:f>'SOVA-BugTrend'!$D$2:$D$24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1FD-E249-9004-FD6F8F48AD9B}"/>
            </c:ext>
          </c:extLst>
        </c:ser>
        <c:ser>
          <c:idx val="3"/>
          <c:order val="3"/>
          <c:tx>
            <c:strRef>
              <c:f>'SOVA-BugTrend'!$E$1</c:f>
              <c:strCache>
                <c:ptCount val="1"/>
                <c:pt idx="0">
                  <c:v>IN REVIEW (80%)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'SOVA-BugTrend'!$A$2:$A$24</c:f>
              <c:strCache>
                <c:ptCount val="23"/>
                <c:pt idx="0">
                  <c:v>Candidate</c:v>
                </c:pt>
                <c:pt idx="1">
                  <c:v>y25w28</c:v>
                </c:pt>
                <c:pt idx="2">
                  <c:v>y25w30</c:v>
                </c:pt>
                <c:pt idx="3">
                  <c:v>y25w32</c:v>
                </c:pt>
                <c:pt idx="4">
                  <c:v>y25w34</c:v>
                </c:pt>
                <c:pt idx="5">
                  <c:v>y25w36</c:v>
                </c:pt>
                <c:pt idx="6">
                  <c:v>y25w38</c:v>
                </c:pt>
                <c:pt idx="7">
                  <c:v>y25w40</c:v>
                </c:pt>
                <c:pt idx="8">
                  <c:v>y25w42</c:v>
                </c:pt>
                <c:pt idx="9">
                  <c:v>y25w44</c:v>
                </c:pt>
                <c:pt idx="10">
                  <c:v>y25w46</c:v>
                </c:pt>
                <c:pt idx="11">
                  <c:v>y25w48</c:v>
                </c:pt>
                <c:pt idx="12">
                  <c:v>y25w50</c:v>
                </c:pt>
                <c:pt idx="13">
                  <c:v>y25w52</c:v>
                </c:pt>
                <c:pt idx="14">
                  <c:v>y26w2</c:v>
                </c:pt>
                <c:pt idx="15">
                  <c:v>y26w4</c:v>
                </c:pt>
                <c:pt idx="16">
                  <c:v>y26w6</c:v>
                </c:pt>
                <c:pt idx="17">
                  <c:v>y26w8</c:v>
                </c:pt>
                <c:pt idx="18">
                  <c:v>y26w10</c:v>
                </c:pt>
                <c:pt idx="19">
                  <c:v>y26w12</c:v>
                </c:pt>
                <c:pt idx="20">
                  <c:v>y26w14</c:v>
                </c:pt>
                <c:pt idx="21">
                  <c:v>y26w16</c:v>
                </c:pt>
                <c:pt idx="22">
                  <c:v>y26w18</c:v>
                </c:pt>
              </c:strCache>
            </c:strRef>
          </c:cat>
          <c:val>
            <c:numRef>
              <c:f>'SOVA-BugTrend'!$E$2:$E$24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3</c:v>
                </c:pt>
                <c:pt idx="2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1FD-E249-9004-FD6F8F48AD9B}"/>
            </c:ext>
          </c:extLst>
        </c:ser>
        <c:ser>
          <c:idx val="4"/>
          <c:order val="4"/>
          <c:tx>
            <c:strRef>
              <c:f>'SOVA-BugTrend'!$F$1</c:f>
              <c:strCache>
                <c:ptCount val="1"/>
                <c:pt idx="0">
                  <c:v>READY FOR TESTING (90%)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'SOVA-BugTrend'!$A$2:$A$24</c:f>
              <c:strCache>
                <c:ptCount val="23"/>
                <c:pt idx="0">
                  <c:v>Candidate</c:v>
                </c:pt>
                <c:pt idx="1">
                  <c:v>y25w28</c:v>
                </c:pt>
                <c:pt idx="2">
                  <c:v>y25w30</c:v>
                </c:pt>
                <c:pt idx="3">
                  <c:v>y25w32</c:v>
                </c:pt>
                <c:pt idx="4">
                  <c:v>y25w34</c:v>
                </c:pt>
                <c:pt idx="5">
                  <c:v>y25w36</c:v>
                </c:pt>
                <c:pt idx="6">
                  <c:v>y25w38</c:v>
                </c:pt>
                <c:pt idx="7">
                  <c:v>y25w40</c:v>
                </c:pt>
                <c:pt idx="8">
                  <c:v>y25w42</c:v>
                </c:pt>
                <c:pt idx="9">
                  <c:v>y25w44</c:v>
                </c:pt>
                <c:pt idx="10">
                  <c:v>y25w46</c:v>
                </c:pt>
                <c:pt idx="11">
                  <c:v>y25w48</c:v>
                </c:pt>
                <c:pt idx="12">
                  <c:v>y25w50</c:v>
                </c:pt>
                <c:pt idx="13">
                  <c:v>y25w52</c:v>
                </c:pt>
                <c:pt idx="14">
                  <c:v>y26w2</c:v>
                </c:pt>
                <c:pt idx="15">
                  <c:v>y26w4</c:v>
                </c:pt>
                <c:pt idx="16">
                  <c:v>y26w6</c:v>
                </c:pt>
                <c:pt idx="17">
                  <c:v>y26w8</c:v>
                </c:pt>
                <c:pt idx="18">
                  <c:v>y26w10</c:v>
                </c:pt>
                <c:pt idx="19">
                  <c:v>y26w12</c:v>
                </c:pt>
                <c:pt idx="20">
                  <c:v>y26w14</c:v>
                </c:pt>
                <c:pt idx="21">
                  <c:v>y26w16</c:v>
                </c:pt>
                <c:pt idx="22">
                  <c:v>y26w18</c:v>
                </c:pt>
              </c:strCache>
            </c:strRef>
          </c:cat>
          <c:val>
            <c:numRef>
              <c:f>'SOVA-BugTrend'!$F$2:$F$24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5</c:v>
                </c:pt>
                <c:pt idx="2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1FD-E249-9004-FD6F8F48AD9B}"/>
            </c:ext>
          </c:extLst>
        </c:ser>
        <c:ser>
          <c:idx val="5"/>
          <c:order val="5"/>
          <c:tx>
            <c:strRef>
              <c:f>'SOVA-BugTrend'!$G$1</c:f>
              <c:strCache>
                <c:ptCount val="1"/>
                <c:pt idx="0">
                  <c:v>Done (100%)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5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'SOVA-BugTrend'!$A$2:$A$24</c:f>
              <c:strCache>
                <c:ptCount val="23"/>
                <c:pt idx="0">
                  <c:v>Candidate</c:v>
                </c:pt>
                <c:pt idx="1">
                  <c:v>y25w28</c:v>
                </c:pt>
                <c:pt idx="2">
                  <c:v>y25w30</c:v>
                </c:pt>
                <c:pt idx="3">
                  <c:v>y25w32</c:v>
                </c:pt>
                <c:pt idx="4">
                  <c:v>y25w34</c:v>
                </c:pt>
                <c:pt idx="5">
                  <c:v>y25w36</c:v>
                </c:pt>
                <c:pt idx="6">
                  <c:v>y25w38</c:v>
                </c:pt>
                <c:pt idx="7">
                  <c:v>y25w40</c:v>
                </c:pt>
                <c:pt idx="8">
                  <c:v>y25w42</c:v>
                </c:pt>
                <c:pt idx="9">
                  <c:v>y25w44</c:v>
                </c:pt>
                <c:pt idx="10">
                  <c:v>y25w46</c:v>
                </c:pt>
                <c:pt idx="11">
                  <c:v>y25w48</c:v>
                </c:pt>
                <c:pt idx="12">
                  <c:v>y25w50</c:v>
                </c:pt>
                <c:pt idx="13">
                  <c:v>y25w52</c:v>
                </c:pt>
                <c:pt idx="14">
                  <c:v>y26w2</c:v>
                </c:pt>
                <c:pt idx="15">
                  <c:v>y26w4</c:v>
                </c:pt>
                <c:pt idx="16">
                  <c:v>y26w6</c:v>
                </c:pt>
                <c:pt idx="17">
                  <c:v>y26w8</c:v>
                </c:pt>
                <c:pt idx="18">
                  <c:v>y26w10</c:v>
                </c:pt>
                <c:pt idx="19">
                  <c:v>y26w12</c:v>
                </c:pt>
                <c:pt idx="20">
                  <c:v>y26w14</c:v>
                </c:pt>
                <c:pt idx="21">
                  <c:v>y26w16</c:v>
                </c:pt>
                <c:pt idx="22">
                  <c:v>y26w18</c:v>
                </c:pt>
              </c:strCache>
            </c:strRef>
          </c:cat>
          <c:val>
            <c:numRef>
              <c:f>'SOVA-BugTrend'!$G$2:$G$24</c:f>
              <c:numCache>
                <c:formatCode>General</c:formatCode>
                <c:ptCount val="23"/>
                <c:pt idx="0">
                  <c:v>6</c:v>
                </c:pt>
                <c:pt idx="1">
                  <c:v>39</c:v>
                </c:pt>
                <c:pt idx="2">
                  <c:v>42</c:v>
                </c:pt>
                <c:pt idx="3">
                  <c:v>48</c:v>
                </c:pt>
                <c:pt idx="4">
                  <c:v>19</c:v>
                </c:pt>
                <c:pt idx="5">
                  <c:v>29</c:v>
                </c:pt>
                <c:pt idx="6">
                  <c:v>50</c:v>
                </c:pt>
                <c:pt idx="7">
                  <c:v>24</c:v>
                </c:pt>
                <c:pt idx="8">
                  <c:v>43</c:v>
                </c:pt>
                <c:pt idx="9">
                  <c:v>35</c:v>
                </c:pt>
                <c:pt idx="10">
                  <c:v>29</c:v>
                </c:pt>
                <c:pt idx="11">
                  <c:v>41</c:v>
                </c:pt>
                <c:pt idx="12">
                  <c:v>33</c:v>
                </c:pt>
                <c:pt idx="13">
                  <c:v>32</c:v>
                </c:pt>
                <c:pt idx="14">
                  <c:v>31</c:v>
                </c:pt>
                <c:pt idx="15">
                  <c:v>33</c:v>
                </c:pt>
                <c:pt idx="16">
                  <c:v>28</c:v>
                </c:pt>
                <c:pt idx="17">
                  <c:v>14</c:v>
                </c:pt>
                <c:pt idx="18">
                  <c:v>14</c:v>
                </c:pt>
                <c:pt idx="19">
                  <c:v>19</c:v>
                </c:pt>
                <c:pt idx="20">
                  <c:v>10</c:v>
                </c:pt>
                <c:pt idx="21">
                  <c:v>9</c:v>
                </c:pt>
                <c:pt idx="2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9DA-448B-9495-5C7B740944E9}"/>
            </c:ext>
          </c:extLst>
        </c:ser>
        <c:ser>
          <c:idx val="6"/>
          <c:order val="6"/>
          <c:tx>
            <c:strRef>
              <c:f>'SOVA-BugTrend'!$H$1</c:f>
              <c:strCache>
                <c:ptCount val="1"/>
                <c:pt idx="0">
                  <c:v>WON'T DO (100%)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'SOVA-BugTrend'!$A$2:$A$24</c:f>
              <c:strCache>
                <c:ptCount val="23"/>
                <c:pt idx="0">
                  <c:v>Candidate</c:v>
                </c:pt>
                <c:pt idx="1">
                  <c:v>y25w28</c:v>
                </c:pt>
                <c:pt idx="2">
                  <c:v>y25w30</c:v>
                </c:pt>
                <c:pt idx="3">
                  <c:v>y25w32</c:v>
                </c:pt>
                <c:pt idx="4">
                  <c:v>y25w34</c:v>
                </c:pt>
                <c:pt idx="5">
                  <c:v>y25w36</c:v>
                </c:pt>
                <c:pt idx="6">
                  <c:v>y25w38</c:v>
                </c:pt>
                <c:pt idx="7">
                  <c:v>y25w40</c:v>
                </c:pt>
                <c:pt idx="8">
                  <c:v>y25w42</c:v>
                </c:pt>
                <c:pt idx="9">
                  <c:v>y25w44</c:v>
                </c:pt>
                <c:pt idx="10">
                  <c:v>y25w46</c:v>
                </c:pt>
                <c:pt idx="11">
                  <c:v>y25w48</c:v>
                </c:pt>
                <c:pt idx="12">
                  <c:v>y25w50</c:v>
                </c:pt>
                <c:pt idx="13">
                  <c:v>y25w52</c:v>
                </c:pt>
                <c:pt idx="14">
                  <c:v>y26w2</c:v>
                </c:pt>
                <c:pt idx="15">
                  <c:v>y26w4</c:v>
                </c:pt>
                <c:pt idx="16">
                  <c:v>y26w6</c:v>
                </c:pt>
                <c:pt idx="17">
                  <c:v>y26w8</c:v>
                </c:pt>
                <c:pt idx="18">
                  <c:v>y26w10</c:v>
                </c:pt>
                <c:pt idx="19">
                  <c:v>y26w12</c:v>
                </c:pt>
                <c:pt idx="20">
                  <c:v>y26w14</c:v>
                </c:pt>
                <c:pt idx="21">
                  <c:v>y26w16</c:v>
                </c:pt>
                <c:pt idx="22">
                  <c:v>y26w18</c:v>
                </c:pt>
              </c:strCache>
            </c:strRef>
          </c:cat>
          <c:val>
            <c:numRef>
              <c:f>'SOVA-BugTrend'!$H$2:$H$24</c:f>
              <c:numCache>
                <c:formatCode>General</c:formatCode>
                <c:ptCount val="23"/>
                <c:pt idx="0">
                  <c:v>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3</c:v>
                </c:pt>
                <c:pt idx="16">
                  <c:v>6</c:v>
                </c:pt>
                <c:pt idx="17">
                  <c:v>8</c:v>
                </c:pt>
                <c:pt idx="18">
                  <c:v>10</c:v>
                </c:pt>
                <c:pt idx="19">
                  <c:v>1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C6C-4534-BBE6-84C693F68020}"/>
            </c:ext>
          </c:extLst>
        </c:ser>
        <c:ser>
          <c:idx val="7"/>
          <c:order val="7"/>
          <c:tx>
            <c:strRef>
              <c:f>'SOVA-BugTrend'!$I$1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'SOVA-BugTrend'!$A$2:$A$24</c:f>
              <c:strCache>
                <c:ptCount val="23"/>
                <c:pt idx="0">
                  <c:v>Candidate</c:v>
                </c:pt>
                <c:pt idx="1">
                  <c:v>y25w28</c:v>
                </c:pt>
                <c:pt idx="2">
                  <c:v>y25w30</c:v>
                </c:pt>
                <c:pt idx="3">
                  <c:v>y25w32</c:v>
                </c:pt>
                <c:pt idx="4">
                  <c:v>y25w34</c:v>
                </c:pt>
                <c:pt idx="5">
                  <c:v>y25w36</c:v>
                </c:pt>
                <c:pt idx="6">
                  <c:v>y25w38</c:v>
                </c:pt>
                <c:pt idx="7">
                  <c:v>y25w40</c:v>
                </c:pt>
                <c:pt idx="8">
                  <c:v>y25w42</c:v>
                </c:pt>
                <c:pt idx="9">
                  <c:v>y25w44</c:v>
                </c:pt>
                <c:pt idx="10">
                  <c:v>y25w46</c:v>
                </c:pt>
                <c:pt idx="11">
                  <c:v>y25w48</c:v>
                </c:pt>
                <c:pt idx="12">
                  <c:v>y25w50</c:v>
                </c:pt>
                <c:pt idx="13">
                  <c:v>y25w52</c:v>
                </c:pt>
                <c:pt idx="14">
                  <c:v>y26w2</c:v>
                </c:pt>
                <c:pt idx="15">
                  <c:v>y26w4</c:v>
                </c:pt>
                <c:pt idx="16">
                  <c:v>y26w6</c:v>
                </c:pt>
                <c:pt idx="17">
                  <c:v>y26w8</c:v>
                </c:pt>
                <c:pt idx="18">
                  <c:v>y26w10</c:v>
                </c:pt>
                <c:pt idx="19">
                  <c:v>y26w12</c:v>
                </c:pt>
                <c:pt idx="20">
                  <c:v>y26w14</c:v>
                </c:pt>
                <c:pt idx="21">
                  <c:v>y26w16</c:v>
                </c:pt>
                <c:pt idx="22">
                  <c:v>y26w18</c:v>
                </c:pt>
              </c:strCache>
            </c:strRef>
          </c:cat>
          <c:val>
            <c:numRef>
              <c:f>'SOVA-BugTrend'!$I$2:$I$24</c:f>
              <c:numCache>
                <c:formatCode>General</c:formatCode>
                <c:ptCount val="23"/>
                <c:pt idx="0">
                  <c:v>41</c:v>
                </c:pt>
                <c:pt idx="1">
                  <c:v>42</c:v>
                </c:pt>
                <c:pt idx="2">
                  <c:v>46</c:v>
                </c:pt>
                <c:pt idx="3">
                  <c:v>53</c:v>
                </c:pt>
                <c:pt idx="4">
                  <c:v>20</c:v>
                </c:pt>
                <c:pt idx="5">
                  <c:v>32</c:v>
                </c:pt>
                <c:pt idx="6">
                  <c:v>53</c:v>
                </c:pt>
                <c:pt idx="7">
                  <c:v>25</c:v>
                </c:pt>
                <c:pt idx="8">
                  <c:v>43</c:v>
                </c:pt>
                <c:pt idx="9">
                  <c:v>35</c:v>
                </c:pt>
                <c:pt idx="10">
                  <c:v>29</c:v>
                </c:pt>
                <c:pt idx="11">
                  <c:v>44</c:v>
                </c:pt>
                <c:pt idx="12">
                  <c:v>36</c:v>
                </c:pt>
                <c:pt idx="13">
                  <c:v>36</c:v>
                </c:pt>
                <c:pt idx="14">
                  <c:v>31</c:v>
                </c:pt>
                <c:pt idx="15">
                  <c:v>36</c:v>
                </c:pt>
                <c:pt idx="16">
                  <c:v>37</c:v>
                </c:pt>
                <c:pt idx="17">
                  <c:v>26</c:v>
                </c:pt>
                <c:pt idx="18">
                  <c:v>27</c:v>
                </c:pt>
                <c:pt idx="19">
                  <c:v>23</c:v>
                </c:pt>
                <c:pt idx="20">
                  <c:v>11</c:v>
                </c:pt>
                <c:pt idx="21">
                  <c:v>30</c:v>
                </c:pt>
                <c:pt idx="22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A89-4D09-84BF-8AEC429097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67710415"/>
        <c:axId val="1167712127"/>
      </c:barChart>
      <c:catAx>
        <c:axId val="1167710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7712127"/>
        <c:crosses val="autoZero"/>
        <c:auto val="1"/>
        <c:lblAlgn val="ctr"/>
        <c:lblOffset val="100"/>
        <c:noMultiLvlLbl val="0"/>
      </c:catAx>
      <c:valAx>
        <c:axId val="1167712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7710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29</xdr:row>
      <xdr:rowOff>171448</xdr:rowOff>
    </xdr:from>
    <xdr:to>
      <xdr:col>8</xdr:col>
      <xdr:colOff>95250</xdr:colOff>
      <xdr:row>58</xdr:row>
      <xdr:rowOff>133348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F3E0D20-FFE1-49A2-4F00-0445F88FBE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23</xdr:row>
      <xdr:rowOff>180975</xdr:rowOff>
    </xdr:from>
    <xdr:to>
      <xdr:col>6</xdr:col>
      <xdr:colOff>1057275</xdr:colOff>
      <xdr:row>52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B30293B-65AB-35A9-35DC-D9A36AA778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46</xdr:row>
      <xdr:rowOff>41087</xdr:rowOff>
    </xdr:from>
    <xdr:to>
      <xdr:col>6</xdr:col>
      <xdr:colOff>1047750</xdr:colOff>
      <xdr:row>75</xdr:row>
      <xdr:rowOff>2987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643432-D826-4A5B-E6D2-51F4E1DB44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26</xdr:row>
      <xdr:rowOff>47625</xdr:rowOff>
    </xdr:from>
    <xdr:to>
      <xdr:col>8</xdr:col>
      <xdr:colOff>428625</xdr:colOff>
      <xdr:row>54</xdr:row>
      <xdr:rowOff>184149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9359BE9-9442-1FA5-2ADA-BFB3538412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</xdr:colOff>
      <xdr:row>27</xdr:row>
      <xdr:rowOff>165100</xdr:rowOff>
    </xdr:from>
    <xdr:to>
      <xdr:col>8</xdr:col>
      <xdr:colOff>219075</xdr:colOff>
      <xdr:row>56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82B5FB-149B-FE72-E492-265E1391AC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23949CE-F107-4F66-9A7B-4594AB1D83D9}" name="Table2" displayName="Table2" ref="A1:E28" totalsRowShown="0" headerRowDxfId="35">
  <autoFilter ref="A1:E28" xr:uid="{423949CE-F107-4F66-9A7B-4594AB1D83D9}"/>
  <tableColumns count="5">
    <tableColumn id="1" xr3:uid="{F25F0D34-0297-4771-8BBB-350BCDD85D46}" name="Week"/>
    <tableColumn id="2" xr3:uid="{39CFCD12-3130-47A8-A140-DBF602F1743D}" name="Done"/>
    <tableColumn id="3" xr3:uid="{D3E7F733-4867-4C24-B87C-F816735DED78}" name="In Review/Progress"/>
    <tableColumn id="4" xr3:uid="{5A6545FA-F961-4A11-B767-C7EA402E5E5A}" name="TODO (P1)"/>
    <tableColumn id="5" xr3:uid="{AA46DC09-2F2B-4052-AB45-826AC56CB7B5}" name="Total" dataDxfId="34">
      <calculatedColumnFormula>SUM(Table2[[#This Row],[Done]:[TODO (P1)]])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2B6291-7056-475B-AE1E-CA59C524E5F1}" name="Table1" displayName="Table1" ref="A1:H21" totalsRowShown="0" headerRowDxfId="33">
  <autoFilter ref="A1:H21" xr:uid="{E42B6291-7056-475B-AE1E-CA59C524E5F1}"/>
  <tableColumns count="8">
    <tableColumn id="1" xr3:uid="{9154D4F8-C83D-4DB9-9182-818F32FA7C26}" name="Versions"/>
    <tableColumn id="2" xr3:uid="{1FE19FA2-B8BE-47BC-9953-F802445DE79D}" name="Passed"/>
    <tableColumn id="3" xr3:uid="{A28B8AC3-7E86-4783-B12A-4FCADF7F2151}" name="Blocked"/>
    <tableColumn id="4" xr3:uid="{9A6CFB2B-CF9D-44BB-BE22-5C680670EAE0}" name="Known Issue"/>
    <tableColumn id="5" xr3:uid="{DC0F99B4-F7A9-4F8A-BBA0-6D907EC37C98}" name="Failed"/>
    <tableColumn id="6" xr3:uid="{2F758004-8A07-4C9F-A1EF-D5DABF4F31F0}" name="Partially Failed"/>
    <tableColumn id="7" xr3:uid="{DA700F0A-CDCF-4F77-AE73-82D409134037}" name="Untested"/>
    <tableColumn id="8" xr3:uid="{F186EC08-2AB3-485D-B982-BDBCE5ABE745}" name="Total" dataDxfId="32">
      <calculatedColumnFormula>SUM(Table1[[#This Row],[Passed]:[Untested]])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31F3BE9-C534-4A83-AA30-CE297DF28DB5}" name="Table3" displayName="Table3" ref="A1:H40" totalsRowShown="0" headerRowDxfId="31">
  <autoFilter ref="A1:H40" xr:uid="{E31F3BE9-C534-4A83-AA30-CE297DF28DB5}"/>
  <tableColumns count="8">
    <tableColumn id="1" xr3:uid="{8103CDF3-74DC-4B31-821D-E20368EA5455}" name="Versions"/>
    <tableColumn id="2" xr3:uid="{6C3B261F-FA51-42D2-821A-F22633569372}" name="Passed"/>
    <tableColumn id="3" xr3:uid="{BC949668-17A9-4E54-BE70-E54A03F2100E}" name="Blocked"/>
    <tableColumn id="4" xr3:uid="{E96EB15B-5BAC-4B8A-A79F-56B0E1546396}" name="Known Issue"/>
    <tableColumn id="5" xr3:uid="{41B83D2F-6D51-4667-B2B2-F76F6482C1D1}" name="Failed"/>
    <tableColumn id="6" xr3:uid="{26F61733-CA12-4B2B-8922-ABF23FA1A0CF}" name="Partially Failed"/>
    <tableColumn id="7" xr3:uid="{D40FAE8C-0F59-4E72-8577-B404EAC3FBFC}" name="Untested"/>
    <tableColumn id="8" xr3:uid="{9EDBB1BE-19AD-4F52-9FAF-1ED9F6FC2EBD}" name="Total" dataDxfId="30">
      <calculatedColumnFormula>SUM(Table3[[#This Row],[Passed]:[Untested]])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4AD0B7A-EC5B-4838-AC2B-8475A3B6644B}" name="Table7" displayName="Table7" ref="A1:H24" totalsRowShown="0" headerRowDxfId="29">
  <autoFilter ref="A1:H24" xr:uid="{E4AD0B7A-EC5B-4838-AC2B-8475A3B6644B}"/>
  <tableColumns count="8">
    <tableColumn id="1" xr3:uid="{58F8A895-CEBE-41D2-B7BB-1681C0697C85}" name="Version"/>
    <tableColumn id="2" xr3:uid="{CE08A48D-2419-484B-993C-54A546869B61}" name="To Do" dataDxfId="28"/>
    <tableColumn id="3" xr3:uid="{FC519478-6B36-4D96-93F3-3AF4B1D70F3E}" name="In Progress" dataDxfId="27"/>
    <tableColumn id="5" xr3:uid="{52258D92-71B9-4E63-A3AA-5ABE6B4F3D23}" name="In Review" dataDxfId="26"/>
    <tableColumn id="4" xr3:uid="{C5EE39F3-E9DF-4F2E-9576-6DDB97E21DB3}" name="In QA" dataDxfId="25"/>
    <tableColumn id="6" xr3:uid="{CC106112-C63E-4AA5-9AAA-D0A99983E0DD}" name="Internal Test" dataDxfId="24"/>
    <tableColumn id="7" xr3:uid="{C69EECCF-E5E5-4372-B171-2B35FE10B60D}" name="Done" dataDxfId="23"/>
    <tableColumn id="8" xr3:uid="{C7A900BC-8967-4049-AE22-7F9EDE21E913}" name="Total" dataDxfId="0" totalsRowDxfId="22">
      <calculatedColumnFormula>SUM(Table7[[#This Row],[To Do]:[Done]])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08F5145-A108-41DB-B2C3-516BE7C86923}" name="Table5" displayName="Table5" ref="A1:I24" totalsRowShown="0" headerRowDxfId="21" dataDxfId="19" headerRowBorderDxfId="20" tableBorderDxfId="18" totalsRowBorderDxfId="17" dataCellStyle="Hyperlink">
  <autoFilter ref="A1:I24" xr:uid="{108F5145-A108-41DB-B2C3-516BE7C86923}"/>
  <tableColumns count="9">
    <tableColumn id="1" xr3:uid="{5BE08AE0-E0B5-4B46-9423-456B88C2D9BC}" name="Sprint" dataDxfId="16"/>
    <tableColumn id="2" xr3:uid="{030F9647-4FC0-4C7E-9B3A-AB099CC59EBA}" name="To Do (0%)" dataDxfId="15" dataCellStyle="Hyperlink"/>
    <tableColumn id="3" xr3:uid="{7D2923F3-E2CF-4FD9-A7A5-68C36BB95591}" name="STARTING (10 ~ 40%)" dataDxfId="14" dataCellStyle="Hyperlink"/>
    <tableColumn id="4" xr3:uid="{48FB5317-7F3B-4F74-B244-5A49C7749EBD}" name="In Progress (50 ~ 70%)" dataDxfId="13" dataCellStyle="Hyperlink"/>
    <tableColumn id="5" xr3:uid="{86F5CCB5-C4C2-4C36-935A-657F085500B1}" name="IN REVIEW (80%)" dataDxfId="12" dataCellStyle="Hyperlink"/>
    <tableColumn id="9" xr3:uid="{51D22AE3-424C-4604-9869-D672DED4301F}" name="READY FOR TESTING (90%)" dataDxfId="11" dataCellStyle="Hyperlink"/>
    <tableColumn id="6" xr3:uid="{33C9BCE6-D9EB-4032-9B0A-DDD9A4051A2D}" name="Done (100%)" dataDxfId="10" dataCellStyle="Hyperlink"/>
    <tableColumn id="8" xr3:uid="{D624FC89-A88E-45AC-9D22-66D66702B8C5}" name="WON'T DO (100%)" dataDxfId="9" dataCellStyle="Hyperlink"/>
    <tableColumn id="7" xr3:uid="{EFEEB7EC-E2D1-40EA-B265-A558311E5D30}" name="Total" dataDxfId="8" dataCellStyle="Hyperlink">
      <calculatedColumnFormula>SUM(Table5[[#This Row],[To Do (0%)]:[WON''T DO (100%)]])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C55E946-0086-4A42-AEAE-DA5ED4E8BB10}" name="Table25" displayName="Table25" ref="A1:E28" totalsRowShown="0" headerRowDxfId="7" dataDxfId="6">
  <autoFilter ref="A1:E28" xr:uid="{2C55E946-0086-4A42-AEAE-DA5ED4E8BB10}"/>
  <tableColumns count="5">
    <tableColumn id="1" xr3:uid="{7070D9F2-0ED1-4F39-8D72-28B37C8E98F2}" name="Week" dataDxfId="5"/>
    <tableColumn id="2" xr3:uid="{1173F443-CC27-4C6E-A432-BF66DB2A740E}" name="Done" dataDxfId="4"/>
    <tableColumn id="3" xr3:uid="{2EE10CB5-1AF1-4B50-9456-B3A666DD5338}" name="In Review/Progress" dataDxfId="3"/>
    <tableColumn id="4" xr3:uid="{328D0A00-85F0-4BFF-81FE-C023998A3701}" name="TODO (P1)" dataDxfId="2"/>
    <tableColumn id="5" xr3:uid="{E385808E-1FCD-451C-9807-DAF18A42B704}" name="Total" dataDxfId="1">
      <calculatedColumnFormula>SUM(Table25[[#This Row],[Done]:[TODO (P1)]])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https://xrspace.atlassian.net/issues/?jql=created+%3E%3D+2025-02-01+AND+created+%3C%3D+2026-12-31+AND+type+%3D+Bug+AND+project+%3D+SOVA+AND+Sprint+%3D+4478+AND+status+%3D+%22WON%27T+DO+%28100%25%29%22" TargetMode="External"/><Relationship Id="rId21" Type="http://schemas.openxmlformats.org/officeDocument/2006/relationships/hyperlink" Target="https://xrspace.atlassian.net/issues/?jql=created+%3E%3D+2025-02-01+AND+created+%3C%3D+2026-12-31+AND+type+%3D+Bug+AND+project+%3D+SOVA+AND+Sprint+%3D+2157+AND+status+%3D+%22READY+FOR+TESTING+%2890%25%29%22" TargetMode="External"/><Relationship Id="rId42" Type="http://schemas.openxmlformats.org/officeDocument/2006/relationships/hyperlink" Target="https://xrspace.atlassian.net/issues/?jql=created+%3E%3D+2025-02-01+AND+created+%3C%3D+2026-12-31+AND+type+%3D+Bug+AND+project+%3D+SOVA+AND+Sprint+%3D+2882+AND+status+%3D+%22READY+FOR+TESTING+%2890%25%29%22" TargetMode="External"/><Relationship Id="rId63" Type="http://schemas.openxmlformats.org/officeDocument/2006/relationships/hyperlink" Target="https://xrspace.atlassian.net/issues/?jql=created+%3E%3D+2025-02-01+AND+created+%3C%3D+2026-12-31+AND+type+%3D+Bug+AND+project+%3D+SOVA+AND+Sprint+%3D+3246+AND+status+%3D+%22READY+FOR+TESTING+%2890%25%29%22" TargetMode="External"/><Relationship Id="rId84" Type="http://schemas.openxmlformats.org/officeDocument/2006/relationships/hyperlink" Target="https://xrspace.atlassian.net/issues/?jql=created+%3E%3D+2025-02-01+AND+created+%3C%3D+2026-12-31+AND+type+%3D+Bug+AND+project+%3D+SOVA+AND+Sprint+%3D+3872+AND+status+%3D+%22READY+FOR+TESTING+%2890%25%29%22" TargetMode="External"/><Relationship Id="rId138" Type="http://schemas.openxmlformats.org/officeDocument/2006/relationships/hyperlink" Target="https://xrspace.atlassian.net/issues/?jql=created+%3E%3D+2025-02-01+AND+created+%3C%3D+2026-12-31+AND+type+%3D+Bug+AND+project+%3D+SOVA+AND+Sprint+%3D+4910+AND+status+%3D+%22WON%27T+DO+%28100%25%29%22" TargetMode="External"/><Relationship Id="rId159" Type="http://schemas.openxmlformats.org/officeDocument/2006/relationships/hyperlink" Target="https://xrspace.atlassian.net/issues/?jql=created+%3E%3D+2025-02-01+AND+created+%3C%3D+2026-12-31+AND+type+%3D+Bug+AND+project+%3D+SOVA+AND+Sprint+%3D+5078+AND+status+%3D+%22WON%27T+DO+%28100%25%29%22" TargetMode="External"/><Relationship Id="rId107" Type="http://schemas.openxmlformats.org/officeDocument/2006/relationships/hyperlink" Target="https://xrspace.atlassian.net/issues/?jql=created+%3E%3D+2025-02-01+AND+created+%3C%3D+2026-12-31+AND+type+%3D+Bug+AND+project+%3D+SOVA+AND+Sprint+%3D+4477+AND+status+%3D+%22In+Progress+%2850+%7E+70%25%29%22" TargetMode="External"/><Relationship Id="rId11" Type="http://schemas.openxmlformats.org/officeDocument/2006/relationships/hyperlink" Target="https://xrspace.atlassian.net/issues/?jql=created+%3E%3D+2025-02-01+AND+created+%3C%3D+2026-12-31+AND+type+%3D+Bug+AND+project+%3D+SOVA+AND+Sprint+%3D+2156+AND+status+%3D+%22IN+REVIEW+%2880%25%29%22" TargetMode="External"/><Relationship Id="rId32" Type="http://schemas.openxmlformats.org/officeDocument/2006/relationships/hyperlink" Target="https://xrspace.atlassian.net/issues/?jql=created+%3E%3D+2025-02-01+AND+created+%3C%3D+2026-12-31+AND+type+%3D+Bug+AND+project+%3D+SOVA+AND+Sprint+%3D+2619+AND+status+%3D+%22IN+REVIEW+%2880%25%29%22" TargetMode="External"/><Relationship Id="rId53" Type="http://schemas.openxmlformats.org/officeDocument/2006/relationships/hyperlink" Target="https://xrspace.atlassian.net/issues/?jql=created+%3E%3D+2025-02-01+AND+created+%3C%3D+2026-12-31+AND+type+%3D+Bug+AND+project+%3D+SOVA+AND+Sprint+%3D+3245+AND+status+%3D+%22IN+REVIEW+%2880%25%29%22" TargetMode="External"/><Relationship Id="rId74" Type="http://schemas.openxmlformats.org/officeDocument/2006/relationships/hyperlink" Target="https://xrspace.atlassian.net/issues/?jql=created+%3E%3D+2025-02-01+AND+created+%3C%3D+2026-12-31+AND+type+%3D+Bug+AND+project+%3D+SOVA+AND+Sprint+%3D+3608+AND+status+%3D+%22IN+REVIEW+%2880%25%29%22" TargetMode="External"/><Relationship Id="rId128" Type="http://schemas.openxmlformats.org/officeDocument/2006/relationships/hyperlink" Target="https://xrspace.atlassian.net/issues/?jql=created+%3E%3D+2025-02-01+AND+created+%3C%3D+2026-12-31+AND+type+%3D+Bug+AND+project+%3D+SOVA+AND+Sprint+%3D+4678+AND+status+%3D+%22In+Progress+%2850+%7E+70%25%29%22" TargetMode="External"/><Relationship Id="rId149" Type="http://schemas.openxmlformats.org/officeDocument/2006/relationships/hyperlink" Target="https://xrspace.atlassian.net/issues/?jql=created+%3E%3D+2025-02-01+AND+created+%3C%3D+2026-12-31+AND+type+%3D+Bug+AND+project+%3D+SOVA+AND+Sprint+%3D+5045+AND+status+%3D+%22In+Progress+%2850+%7E+70%25%29%22" TargetMode="External"/><Relationship Id="rId5" Type="http://schemas.openxmlformats.org/officeDocument/2006/relationships/hyperlink" Target="https://xrspace.atlassian.net/issues/?jql=created+%3E%3D+2025-02-01+AND+created+%3C%3D+2026-12-31+AND+type+%3D+Bug+AND+project+%3D+SOVA+AND+Sprint+%3D+2915+AND+status+%3D+%22WON%27T+DO+%28100%25%29%22" TargetMode="External"/><Relationship Id="rId95" Type="http://schemas.openxmlformats.org/officeDocument/2006/relationships/hyperlink" Target="https://xrspace.atlassian.net/issues/?jql=created+%3E%3D+2025-02-01+AND+created+%3C%3D+2026-12-31+AND+type+%3D+Bug+AND+project+%3D+SOVA+AND+Sprint+%3D+4140+AND+status+%3D+%22IN+REVIEW+%2880%25%29%22" TargetMode="External"/><Relationship Id="rId160" Type="http://schemas.openxmlformats.org/officeDocument/2006/relationships/hyperlink" Target="https://xrspace.atlassian.net/issues/?jql=created+%3E%3D+2025-02-01+AND+created+%3C%3D+2026-12-31+AND+type+%3D+Bug+AND+project+%3D+SOVA+AND+Sprint+%3D+5078+AND+status+%3D+%22STARTING+%2810+%7E+40%25%29%22" TargetMode="External"/><Relationship Id="rId22" Type="http://schemas.openxmlformats.org/officeDocument/2006/relationships/hyperlink" Target="https://xrspace.atlassian.net/issues/?jql=created+%3E%3D+2025-02-01+AND+created+%3C%3D+2026-12-31+AND+type+%3D+Bug+AND+project+%3D+SOVA+AND+Sprint+%3D+2618+AND+status+%3D+%22To+Do+%280%25%29%22" TargetMode="External"/><Relationship Id="rId43" Type="http://schemas.openxmlformats.org/officeDocument/2006/relationships/hyperlink" Target="https://xrspace.atlassian.net/issues/?jql=created+%3E%3D+2025-02-01+AND+created+%3C%3D+2026-12-31+AND+type+%3D+Bug+AND+project+%3D+SOVA+AND+Sprint+%3D+3213+AND+status+%3D+%22To+Do+%280%25%29%22" TargetMode="External"/><Relationship Id="rId64" Type="http://schemas.openxmlformats.org/officeDocument/2006/relationships/hyperlink" Target="https://xrspace.atlassian.net/issues/?jql=created+%3E%3D+2025-02-01+AND+created+%3C%3D+2026-12-31+AND+type+%3D+Bug+AND+project+%3D+SOVA+AND+Sprint+%3D+3575+AND+status+%3D+%22To+Do+%280%25%29%22" TargetMode="External"/><Relationship Id="rId118" Type="http://schemas.openxmlformats.org/officeDocument/2006/relationships/hyperlink" Target="https://xrspace.atlassian.net/issues/?jql=created+%3E%3D+2025-02-01+AND+created+%3C%3D+2026-12-31+AND+type+%3D+Bug+AND+project+%3D+SOVA+AND+Sprint+%3D+4478+AND+status+%3D+%22STARTING+%2810+%7E+40%25%29%22" TargetMode="External"/><Relationship Id="rId139" Type="http://schemas.openxmlformats.org/officeDocument/2006/relationships/hyperlink" Target="https://xrspace.atlassian.net/issues/?jql=created+%3E%3D+2025-02-01+AND+created+%3C%3D+2026-12-31+AND+type+%3D+Bug+AND+project+%3D+SOVA+AND+Sprint+%3D+4910+AND+status+%3D+%22STARTING+%2810+%7E+40%25%29%22" TargetMode="External"/><Relationship Id="rId85" Type="http://schemas.openxmlformats.org/officeDocument/2006/relationships/hyperlink" Target="https://xrspace.atlassian.net/issues/?jql=created+%3E%3D+2025-02-01+AND+created+%3C%3D+2026-12-31+AND+type+%3D+Bug+AND+project+%3D+SOVA+AND+Sprint+%3D+3873+AND+status+%3D+%22To+Do+%280%25%29%22" TargetMode="External"/><Relationship Id="rId150" Type="http://schemas.openxmlformats.org/officeDocument/2006/relationships/hyperlink" Target="https://xrspace.atlassian.net/issues/?jql=created+%3E%3D+2025-02-01+AND+created+%3C%3D+2026-12-31+AND+type+%3D+Bug+AND+project+%3D+SOVA+AND+Sprint+%3D+5045+AND+status+%3D+%22Done+%28100%25%29%22" TargetMode="External"/><Relationship Id="rId12" Type="http://schemas.openxmlformats.org/officeDocument/2006/relationships/hyperlink" Target="https://xrspace.atlassian.net/issues/?jql=created+%3E%3D+2025-02-01+AND+created+%3C%3D+2026-12-31+AND+type+%3D+Bug+AND+project+%3D+SOVA+AND+Sprint+%3D+2156+AND+status+%3D+%22WON%27T+DO+%28100%25%29%22" TargetMode="External"/><Relationship Id="rId17" Type="http://schemas.openxmlformats.org/officeDocument/2006/relationships/hyperlink" Target="https://xrspace.atlassian.net/issues/?jql=created+%3E%3D+2025-02-01+AND+created+%3C%3D+2026-12-31+AND+type+%3D+Bug+AND+project+%3D+SOVA+AND+Sprint+%3D+2157+AND+status+%3D+%22Done+%28100%25%29%22" TargetMode="External"/><Relationship Id="rId33" Type="http://schemas.openxmlformats.org/officeDocument/2006/relationships/hyperlink" Target="https://xrspace.atlassian.net/issues/?jql=created+%3E%3D+2025-02-01+AND+created+%3C%3D+2026-12-31+AND+type+%3D+Bug+AND+project+%3D+SOVA+AND+Sprint+%3D+2619+AND+status+%3D+%22WON%27T+DO+%28100%25%29%22" TargetMode="External"/><Relationship Id="rId38" Type="http://schemas.openxmlformats.org/officeDocument/2006/relationships/hyperlink" Target="https://xrspace.atlassian.net/issues/?jql=created+%3E%3D+2025-02-01+AND+created+%3C%3D+2026-12-31+AND+type+%3D+Bug+AND+project+%3D+SOVA+AND+Sprint+%3D+2882+AND+status+%3D+%22Done+%28100%25%29%22" TargetMode="External"/><Relationship Id="rId59" Type="http://schemas.openxmlformats.org/officeDocument/2006/relationships/hyperlink" Target="https://xrspace.atlassian.net/issues/?jql=created+%3E%3D+2025-02-01+AND+created+%3C%3D+2026-12-31+AND+type+%3D+Bug+AND+project+%3D+SOVA+AND+Sprint+%3D+3246+AND+status+%3D+%22Done+%28100%25%29%22" TargetMode="External"/><Relationship Id="rId103" Type="http://schemas.openxmlformats.org/officeDocument/2006/relationships/hyperlink" Target="https://xrspace.atlassian.net/issues/?jql=created+%3E%3D+2025-02-01+AND+created+%3C%3D+2026-12-31+AND+type+%3D+Bug+AND+project+%3D+SOVA+AND+Sprint+%3D+4206+AND+status+%3D+%22WON%27T+DO+%28100%25%29%22" TargetMode="External"/><Relationship Id="rId108" Type="http://schemas.openxmlformats.org/officeDocument/2006/relationships/hyperlink" Target="https://xrspace.atlassian.net/issues/?jql=created+%3E%3D+2025-02-01+AND+created+%3C%3D+2026-12-31+AND+type+%3D+Bug+AND+project+%3D+SOVA+AND+Sprint+%3D+4477+AND+status+%3D+%22Done+%28100%25%29%22" TargetMode="External"/><Relationship Id="rId124" Type="http://schemas.openxmlformats.org/officeDocument/2006/relationships/hyperlink" Target="https://xrspace.atlassian.net/issues/?jql=created+%3E%3D+2025-02-01+AND+created+%3C%3D+2026-12-31+AND+type+%3D+Bug+AND+project+%3D+SOVA+AND+Sprint+%3D+4677+AND+status+%3D+%22WON%27T+DO+%28100%25%29%22" TargetMode="External"/><Relationship Id="rId129" Type="http://schemas.openxmlformats.org/officeDocument/2006/relationships/hyperlink" Target="https://xrspace.atlassian.net/issues/?jql=created+%3E%3D+2025-02-01+AND+created+%3C%3D+2026-12-31+AND+type+%3D+Bug+AND+project+%3D+SOVA+AND+Sprint+%3D+4678+AND+status+%3D+%22Done+%28100%25%29%22" TargetMode="External"/><Relationship Id="rId54" Type="http://schemas.openxmlformats.org/officeDocument/2006/relationships/hyperlink" Target="https://xrspace.atlassian.net/issues/?jql=created+%3E%3D+2025-02-01+AND+created+%3C%3D+2026-12-31+AND+type+%3D+Bug+AND+project+%3D+SOVA+AND+Sprint+%3D+3245+AND+status+%3D+%22WON%27T+DO+%28100%25%29%22" TargetMode="External"/><Relationship Id="rId70" Type="http://schemas.openxmlformats.org/officeDocument/2006/relationships/hyperlink" Target="https://xrspace.atlassian.net/issues/?jql=created+%3E%3D+2025-02-01+AND+created+%3C%3D+2026-12-31+AND+type+%3D+Bug+AND+project+%3D+SOVA+AND+Sprint+%3D+3575+AND+status+%3D+%22READY+FOR+TESTING+%2890%25%29%22" TargetMode="External"/><Relationship Id="rId75" Type="http://schemas.openxmlformats.org/officeDocument/2006/relationships/hyperlink" Target="https://xrspace.atlassian.net/issues/?jql=created+%3E%3D+2025-02-01+AND+created+%3C%3D+2026-12-31+AND+type+%3D+Bug+AND+project+%3D+SOVA+AND+Sprint+%3D+3608+AND+status+%3D+%22WON%27T+DO+%28100%25%29%22" TargetMode="External"/><Relationship Id="rId91" Type="http://schemas.openxmlformats.org/officeDocument/2006/relationships/hyperlink" Target="https://xrspace.atlassian.net/issues/?jql=created+%3E%3D+2025-02-01+AND+created+%3C%3D+2026-12-31+AND+type+%3D+Bug+AND+project+%3D+SOVA+AND+Sprint+%3D+3873+AND+status+%3D+%22READY+FOR+TESTING+%2890%25%29%22" TargetMode="External"/><Relationship Id="rId96" Type="http://schemas.openxmlformats.org/officeDocument/2006/relationships/hyperlink" Target="https://xrspace.atlassian.net/issues/?jql=created+%3E%3D+2025-02-01+AND+created+%3C%3D+2026-12-31+AND+type+%3D+Bug+AND+project+%3D+SOVA+AND+Sprint+%3D+4140+AND+status+%3D+%22WON%27T+DO+%28100%25%29%22" TargetMode="External"/><Relationship Id="rId140" Type="http://schemas.openxmlformats.org/officeDocument/2006/relationships/hyperlink" Target="https://xrspace.atlassian.net/issues/?jql=created+%3E%3D+2025-02-01+AND+created+%3C%3D+2026-12-31+AND+type+%3D+Bug+AND+project+%3D+SOVA+AND+Sprint+%3D+4910+AND+status+%3D+%22READY+FOR+TESTING+%2890%25%29%22" TargetMode="External"/><Relationship Id="rId145" Type="http://schemas.openxmlformats.org/officeDocument/2006/relationships/hyperlink" Target="https://xrspace.atlassian.net/issues/?jql=created+%3E%3D+2025-02-01+AND+created+%3C%3D+2026-12-31+AND+type+%3D+Bug+AND+project+%3D+SOVA+AND+Sprint+%3D+5044+AND+status+%3D+%22WON%27T+DO+%28100%25%29%22" TargetMode="External"/><Relationship Id="rId161" Type="http://schemas.openxmlformats.org/officeDocument/2006/relationships/hyperlink" Target="https://xrspace.atlassian.net/issues/?jql=created+%3E%3D+2025-02-01+AND+created+%3C%3D+2026-12-31+AND+type+%3D+Bug+AND+project+%3D+SOVA+AND+Sprint+%3D+5078+AND+status+%3D+%22READY+FOR+TESTING+%2890%25%29%22" TargetMode="External"/><Relationship Id="rId1" Type="http://schemas.openxmlformats.org/officeDocument/2006/relationships/hyperlink" Target="https://xrspace.atlassian.net/issues/?jql=created+%3E%3D+2025-02-01+AND+created+%3C%3D+2026-12-31+AND+type+%3D+Bug+AND+project+%3D+SOVA+AND+Sprint+%3D+2915+AND+status+%3D+%22To+Do+%280%25%29%22" TargetMode="External"/><Relationship Id="rId6" Type="http://schemas.openxmlformats.org/officeDocument/2006/relationships/hyperlink" Target="https://xrspace.atlassian.net/issues/?jql=created+%3E%3D+2025-02-01+AND+created+%3C%3D+2026-12-31+AND+type+%3D+Bug+AND+project+%3D+SOVA+AND+Sprint+%3D+2915+AND+status+%3D+%22STARTING+%2810+%7E+40%25%29%22" TargetMode="External"/><Relationship Id="rId23" Type="http://schemas.openxmlformats.org/officeDocument/2006/relationships/hyperlink" Target="https://xrspace.atlassian.net/issues/?jql=created+%3E%3D+2025-02-01+AND+created+%3C%3D+2026-12-31+AND+type+%3D+Bug+AND+project+%3D+SOVA+AND+Sprint+%3D+2618+AND+status+%3D+%22In+Progress+%2850+%7E+70%25%29%22" TargetMode="External"/><Relationship Id="rId28" Type="http://schemas.openxmlformats.org/officeDocument/2006/relationships/hyperlink" Target="https://xrspace.atlassian.net/issues/?jql=created+%3E%3D+2025-02-01+AND+created+%3C%3D+2026-12-31+AND+type+%3D+Bug+AND+project+%3D+SOVA+AND+Sprint+%3D+2618+AND+status+%3D+%22READY+FOR+TESTING+%2890%25%29%22" TargetMode="External"/><Relationship Id="rId49" Type="http://schemas.openxmlformats.org/officeDocument/2006/relationships/hyperlink" Target="https://xrspace.atlassian.net/issues/?jql=created+%3E%3D+2025-02-01+AND+created+%3C%3D+2026-12-31+AND+type+%3D+Bug+AND+project+%3D+SOVA+AND+Sprint+%3D+3213+AND+status+%3D+%22READY+FOR+TESTING+%2890%25%29%22" TargetMode="External"/><Relationship Id="rId114" Type="http://schemas.openxmlformats.org/officeDocument/2006/relationships/hyperlink" Target="https://xrspace.atlassian.net/issues/?jql=created+%3E%3D+2025-02-01+AND+created+%3C%3D+2026-12-31+AND+type+%3D+Bug+AND+project+%3D+SOVA+AND+Sprint+%3D+4478+AND+status+%3D+%22In+Progress+%2850+%7E+70%25%29%22" TargetMode="External"/><Relationship Id="rId119" Type="http://schemas.openxmlformats.org/officeDocument/2006/relationships/hyperlink" Target="https://xrspace.atlassian.net/issues/?jql=created+%3E%3D+2025-02-01+AND+created+%3C%3D+2026-12-31+AND+type+%3D+Bug+AND+project+%3D+SOVA+AND+Sprint+%3D+4478+AND+status+%3D+%22READY+FOR+TESTING+%2890%25%29%22" TargetMode="External"/><Relationship Id="rId44" Type="http://schemas.openxmlformats.org/officeDocument/2006/relationships/hyperlink" Target="https://xrspace.atlassian.net/issues/?jql=created+%3E%3D+2025-02-01+AND+created+%3C%3D+2026-12-31+AND+type+%3D+Bug+AND+project+%3D+SOVA+AND+Sprint+%3D+3213+AND+status+%3D+%22In+Progress+%2850+%7E+70%25%29%22" TargetMode="External"/><Relationship Id="rId60" Type="http://schemas.openxmlformats.org/officeDocument/2006/relationships/hyperlink" Target="https://xrspace.atlassian.net/issues/?jql=created+%3E%3D+2025-02-01+AND+created+%3C%3D+2026-12-31+AND+type+%3D+Bug+AND+project+%3D+SOVA+AND+Sprint+%3D+3246+AND+status+%3D+%22IN+REVIEW+%2880%25%29%22" TargetMode="External"/><Relationship Id="rId65" Type="http://schemas.openxmlformats.org/officeDocument/2006/relationships/hyperlink" Target="https://xrspace.atlassian.net/issues/?jql=created+%3E%3D+2025-02-01+AND+created+%3C%3D+2026-12-31+AND+type+%3D+Bug+AND+project+%3D+SOVA+AND+Sprint+%3D+3575+AND+status+%3D+%22In+Progress+%2850+%7E+70%25%29%22" TargetMode="External"/><Relationship Id="rId81" Type="http://schemas.openxmlformats.org/officeDocument/2006/relationships/hyperlink" Target="https://xrspace.atlassian.net/issues/?jql=created+%3E%3D+2025-02-01+AND+created+%3C%3D+2026-12-31+AND+type+%3D+Bug+AND+project+%3D+SOVA+AND+Sprint+%3D+3872+AND+status+%3D+%22IN+REVIEW+%2880%25%29%22" TargetMode="External"/><Relationship Id="rId86" Type="http://schemas.openxmlformats.org/officeDocument/2006/relationships/hyperlink" Target="https://xrspace.atlassian.net/issues/?jql=created+%3E%3D+2025-02-01+AND+created+%3C%3D+2026-12-31+AND+type+%3D+Bug+AND+project+%3D+SOVA+AND+Sprint+%3D+3873+AND+status+%3D+%22In+Progress+%2850+%7E+70%25%29%22" TargetMode="External"/><Relationship Id="rId130" Type="http://schemas.openxmlformats.org/officeDocument/2006/relationships/hyperlink" Target="https://xrspace.atlassian.net/issues/?jql=created+%3E%3D+2025-02-01+AND+created+%3C%3D+2026-12-31+AND+type+%3D+Bug+AND+project+%3D+SOVA+AND+Sprint+%3D+4678+AND+status+%3D+%22IN+REVIEW+%2880%25%29%22" TargetMode="External"/><Relationship Id="rId135" Type="http://schemas.openxmlformats.org/officeDocument/2006/relationships/hyperlink" Target="https://xrspace.atlassian.net/issues/?jql=created+%3E%3D+2025-02-01+AND+created+%3C%3D+2026-12-31+AND+type+%3D+Bug+AND+project+%3D+SOVA+AND+Sprint+%3D+4910+AND+status+%3D+%22In+Progress+%2850+%7E+70%25%29%22" TargetMode="External"/><Relationship Id="rId151" Type="http://schemas.openxmlformats.org/officeDocument/2006/relationships/hyperlink" Target="https://xrspace.atlassian.net/issues/?jql=created+%3E%3D+2025-02-01+AND+created+%3C%3D+2026-12-31+AND+type+%3D+Bug+AND+project+%3D+SOVA+AND+Sprint+%3D+5045+AND+status+%3D+%22IN+REVIEW+%2880%25%29%22" TargetMode="External"/><Relationship Id="rId156" Type="http://schemas.openxmlformats.org/officeDocument/2006/relationships/hyperlink" Target="https://xrspace.atlassian.net/issues/?jql=created+%3E%3D+2025-02-01+AND+created+%3C%3D+2026-12-31+AND+type+%3D+Bug+AND+project+%3D+SOVA+AND+Sprint+%3D+5078+AND+status+%3D+%22In+Progress+%2850+%7E+70%25%29%22" TargetMode="External"/><Relationship Id="rId13" Type="http://schemas.openxmlformats.org/officeDocument/2006/relationships/hyperlink" Target="https://xrspace.atlassian.net/issues/?jql=created+%3E%3D+2025-02-01+AND+created+%3C%3D+2026-12-31+AND+type+%3D+Bug+AND+project+%3D+SOVA+AND+Sprint+%3D+2156+AND+status+%3D+%22STARTING+%2810+%7E+40%25%29%22" TargetMode="External"/><Relationship Id="rId18" Type="http://schemas.openxmlformats.org/officeDocument/2006/relationships/hyperlink" Target="https://xrspace.atlassian.net/issues/?jql=created+%3E%3D+2025-02-01+AND+created+%3C%3D+2026-12-31+AND+type+%3D+Bug+AND+project+%3D+SOVA+AND+Sprint+%3D+2157+AND+status+%3D+%22IN+REVIEW+%2880%25%29%22" TargetMode="External"/><Relationship Id="rId39" Type="http://schemas.openxmlformats.org/officeDocument/2006/relationships/hyperlink" Target="https://xrspace.atlassian.net/issues/?jql=created+%3E%3D+2025-02-01+AND+created+%3C%3D+2026-12-31+AND+type+%3D+Bug+AND+project+%3D+SOVA+AND+Sprint+%3D+2882+AND+status+%3D+%22IN+REVIEW+%2880%25%29%22" TargetMode="External"/><Relationship Id="rId109" Type="http://schemas.openxmlformats.org/officeDocument/2006/relationships/hyperlink" Target="https://xrspace.atlassian.net/issues/?jql=created+%3E%3D+2025-02-01+AND+created+%3C%3D+2026-12-31+AND+type+%3D+Bug+AND+project+%3D+SOVA+AND+Sprint+%3D+4477+AND+status+%3D+%22IN+REVIEW+%2880%25%29%22" TargetMode="External"/><Relationship Id="rId34" Type="http://schemas.openxmlformats.org/officeDocument/2006/relationships/hyperlink" Target="https://xrspace.atlassian.net/issues/?jql=created+%3E%3D+2025-02-01+AND+created+%3C%3D+2026-12-31+AND+type+%3D+Bug+AND+project+%3D+SOVA+AND+Sprint+%3D+2619+AND+status+%3D+%22STARTING+%2810+%7E+40%25%29%22" TargetMode="External"/><Relationship Id="rId50" Type="http://schemas.openxmlformats.org/officeDocument/2006/relationships/hyperlink" Target="https://xrspace.atlassian.net/issues/?jql=created+%3E%3D+2025-02-01+AND+created+%3C%3D+2026-12-31+AND+type+%3D+Bug+AND+project+%3D+SOVA+AND+Sprint+%3D+3245+AND+status+%3D+%22To+Do+%280%25%29%22" TargetMode="External"/><Relationship Id="rId55" Type="http://schemas.openxmlformats.org/officeDocument/2006/relationships/hyperlink" Target="https://xrspace.atlassian.net/issues/?jql=created+%3E%3D+2025-02-01+AND+created+%3C%3D+2026-12-31+AND+type+%3D+Bug+AND+project+%3D+SOVA+AND+Sprint+%3D+3245+AND+status+%3D+%22STARTING+%2810+%7E+40%25%29%22" TargetMode="External"/><Relationship Id="rId76" Type="http://schemas.openxmlformats.org/officeDocument/2006/relationships/hyperlink" Target="https://xrspace.atlassian.net/issues/?jql=created+%3E%3D+2025-02-01+AND+created+%3C%3D+2026-12-31+AND+type+%3D+Bug+AND+project+%3D+SOVA+AND+Sprint+%3D+3608+AND+status+%3D+%22STARTING+%2810+%7E+40%25%29%22" TargetMode="External"/><Relationship Id="rId97" Type="http://schemas.openxmlformats.org/officeDocument/2006/relationships/hyperlink" Target="https://xrspace.atlassian.net/issues/?jql=created+%3E%3D+2025-02-01+AND+created+%3C%3D+2026-12-31+AND+type+%3D+Bug+AND+project+%3D+SOVA+AND+Sprint+%3D+4140+AND+status+%3D+%22STARTING+%2810+%7E+40%25%29%22" TargetMode="External"/><Relationship Id="rId104" Type="http://schemas.openxmlformats.org/officeDocument/2006/relationships/hyperlink" Target="https://xrspace.atlassian.net/issues/?jql=created+%3E%3D+2025-02-01+AND+created+%3C%3D+2026-12-31+AND+type+%3D+Bug+AND+project+%3D+SOVA+AND+Sprint+%3D+4206+AND+status+%3D+%22STARTING+%2810+%7E+40%25%29%22" TargetMode="External"/><Relationship Id="rId120" Type="http://schemas.openxmlformats.org/officeDocument/2006/relationships/hyperlink" Target="https://xrspace.atlassian.net/issues/?jql=created+%3E%3D+2025-02-01+AND+created+%3C%3D+2026-12-31+AND+type+%3D+Bug+AND+project+%3D+SOVA+AND+Sprint+%3D+4677+AND+status+%3D+%22To+Do+%280%25%29%22" TargetMode="External"/><Relationship Id="rId125" Type="http://schemas.openxmlformats.org/officeDocument/2006/relationships/hyperlink" Target="https://xrspace.atlassian.net/issues/?jql=created+%3E%3D+2025-02-01+AND+created+%3C%3D+2026-12-31+AND+type+%3D+Bug+AND+project+%3D+SOVA+AND+Sprint+%3D+4677+AND+status+%3D+%22STARTING+%2810+%7E+40%25%29%22" TargetMode="External"/><Relationship Id="rId141" Type="http://schemas.openxmlformats.org/officeDocument/2006/relationships/hyperlink" Target="https://xrspace.atlassian.net/issues/?jql=created+%3E%3D+2025-02-01+AND+created+%3C%3D+2026-12-31+AND+type+%3D+Bug+AND+project+%3D+SOVA+AND+Sprint+%3D+5044+AND+status+%3D+%22To+Do+%280%25%29%22" TargetMode="External"/><Relationship Id="rId146" Type="http://schemas.openxmlformats.org/officeDocument/2006/relationships/hyperlink" Target="https://xrspace.atlassian.net/issues/?jql=created+%3E%3D+2025-02-01+AND+created+%3C%3D+2026-12-31+AND+type+%3D+Bug+AND+project+%3D+SOVA+AND+Sprint+%3D+5044+AND+status+%3D+%22STARTING+%2810+%7E+40%25%29%22" TargetMode="External"/><Relationship Id="rId7" Type="http://schemas.openxmlformats.org/officeDocument/2006/relationships/hyperlink" Target="https://xrspace.atlassian.net/issues/?jql=created+%3E%3D+2025-02-01+AND+created+%3C%3D+2026-12-31+AND+type+%3D+Bug+AND+project+%3D+SOVA+AND+Sprint+%3D+2915+AND+status+%3D+%22READY+FOR+TESTING+%2890%25%29%22" TargetMode="External"/><Relationship Id="rId71" Type="http://schemas.openxmlformats.org/officeDocument/2006/relationships/hyperlink" Target="https://xrspace.atlassian.net/issues/?jql=created+%3E%3D+2025-02-01+AND+created+%3C%3D+2026-12-31+AND+type+%3D+Bug+AND+project+%3D+SOVA+AND+Sprint+%3D+3608+AND+status+%3D+%22To+Do+%280%25%29%22" TargetMode="External"/><Relationship Id="rId92" Type="http://schemas.openxmlformats.org/officeDocument/2006/relationships/hyperlink" Target="https://xrspace.atlassian.net/issues/?jql=created+%3E%3D+2025-02-01+AND+created+%3C%3D+2026-12-31+AND+type+%3D+Bug+AND+project+%3D+SOVA+AND+Sprint+%3D+4140+AND+status+%3D+%22To+Do+%280%25%29%22" TargetMode="External"/><Relationship Id="rId162" Type="http://schemas.openxmlformats.org/officeDocument/2006/relationships/printerSettings" Target="../printerSettings/printerSettings3.bin"/><Relationship Id="rId2" Type="http://schemas.openxmlformats.org/officeDocument/2006/relationships/hyperlink" Target="https://xrspace.atlassian.net/issues/?jql=created+%3E%3D+2025-02-01+AND+created+%3C%3D+2026-12-31+AND+type+%3D+Bug+AND+project+%3D+SOVA+AND+Sprint+%3D+2915+AND+status+%3D+%22In+Progress+%2850+%7E+70%25%29%22" TargetMode="External"/><Relationship Id="rId29" Type="http://schemas.openxmlformats.org/officeDocument/2006/relationships/hyperlink" Target="https://xrspace.atlassian.net/issues/?jql=created+%3E%3D+2025-02-01+AND+created+%3C%3D+2026-12-31+AND+type+%3D+Bug+AND+project+%3D+SOVA+AND+Sprint+%3D+2619+AND+status+%3D+%22To+Do+%280%25%29%22" TargetMode="External"/><Relationship Id="rId24" Type="http://schemas.openxmlformats.org/officeDocument/2006/relationships/hyperlink" Target="https://xrspace.atlassian.net/issues/?jql=created+%3E%3D+2025-02-01+AND+created+%3C%3D+2026-12-31+AND+type+%3D+Bug+AND+project+%3D+SOVA+AND+Sprint+%3D+2618+AND+status+%3D+%22Done+%28100%25%29%22" TargetMode="External"/><Relationship Id="rId40" Type="http://schemas.openxmlformats.org/officeDocument/2006/relationships/hyperlink" Target="https://xrspace.atlassian.net/issues/?jql=created+%3E%3D+2025-02-01+AND+created+%3C%3D+2026-12-31+AND+type+%3D+Bug+AND+project+%3D+SOVA+AND+Sprint+%3D+2882+AND+status+%3D+%22WON%27T+DO+%28100%25%29%22" TargetMode="External"/><Relationship Id="rId45" Type="http://schemas.openxmlformats.org/officeDocument/2006/relationships/hyperlink" Target="https://xrspace.atlassian.net/issues/?jql=created+%3E%3D+2025-02-01+AND+created+%3C%3D+2026-12-31+AND+type+%3D+Bug+AND+project+%3D+SOVA+AND+Sprint+%3D+3213+AND+status+%3D+%22Done+%28100%25%29%22" TargetMode="External"/><Relationship Id="rId66" Type="http://schemas.openxmlformats.org/officeDocument/2006/relationships/hyperlink" Target="https://xrspace.atlassian.net/issues/?jql=created+%3E%3D+2025-02-01+AND+created+%3C%3D+2026-12-31+AND+type+%3D+Bug+AND+project+%3D+SOVA+AND+Sprint+%3D+3575+AND+status+%3D+%22Done+%28100%25%29%22" TargetMode="External"/><Relationship Id="rId87" Type="http://schemas.openxmlformats.org/officeDocument/2006/relationships/hyperlink" Target="https://xrspace.atlassian.net/issues/?jql=created+%3E%3D+2025-02-01+AND+created+%3C%3D+2026-12-31+AND+type+%3D+Bug+AND+project+%3D+SOVA+AND+Sprint+%3D+3873+AND+status+%3D+%22Done+%28100%25%29%22" TargetMode="External"/><Relationship Id="rId110" Type="http://schemas.openxmlformats.org/officeDocument/2006/relationships/hyperlink" Target="https://xrspace.atlassian.net/issues/?jql=created+%3E%3D+2025-02-01+AND+created+%3C%3D+2026-12-31+AND+type+%3D+Bug+AND+project+%3D+SOVA+AND+Sprint+%3D+4477+AND+status+%3D+%22WON%27T+DO+%28100%25%29%22" TargetMode="External"/><Relationship Id="rId115" Type="http://schemas.openxmlformats.org/officeDocument/2006/relationships/hyperlink" Target="https://xrspace.atlassian.net/issues/?jql=created+%3E%3D+2025-02-01+AND+created+%3C%3D+2026-12-31+AND+type+%3D+Bug+AND+project+%3D+SOVA+AND+Sprint+%3D+4478+AND+status+%3D+%22Done+%28100%25%29%22" TargetMode="External"/><Relationship Id="rId131" Type="http://schemas.openxmlformats.org/officeDocument/2006/relationships/hyperlink" Target="https://xrspace.atlassian.net/issues/?jql=created+%3E%3D+2025-02-01+AND+created+%3C%3D+2026-12-31+AND+type+%3D+Bug+AND+project+%3D+SOVA+AND+Sprint+%3D+4678+AND+status+%3D+%22WON%27T+DO+%28100%25%29%22" TargetMode="External"/><Relationship Id="rId136" Type="http://schemas.openxmlformats.org/officeDocument/2006/relationships/hyperlink" Target="https://xrspace.atlassian.net/issues/?jql=created+%3E%3D+2025-02-01+AND+created+%3C%3D+2026-12-31+AND+type+%3D+Bug+AND+project+%3D+SOVA+AND+Sprint+%3D+4910+AND+status+%3D+%22Done+%28100%25%29%22" TargetMode="External"/><Relationship Id="rId157" Type="http://schemas.openxmlformats.org/officeDocument/2006/relationships/hyperlink" Target="https://xrspace.atlassian.net/issues/?jql=created+%3E%3D+2025-02-01+AND+created+%3C%3D+2026-12-31+AND+type+%3D+Bug+AND+project+%3D+SOVA+AND+Sprint+%3D+5078+AND+status+%3D+%22Done+%28100%25%29%22" TargetMode="External"/><Relationship Id="rId61" Type="http://schemas.openxmlformats.org/officeDocument/2006/relationships/hyperlink" Target="https://xrspace.atlassian.net/issues/?jql=created+%3E%3D+2025-02-01+AND+created+%3C%3D+2026-12-31+AND+type+%3D+Bug+AND+project+%3D+SOVA+AND+Sprint+%3D+3246+AND+status+%3D+%22WON%27T+DO+%28100%25%29%22" TargetMode="External"/><Relationship Id="rId82" Type="http://schemas.openxmlformats.org/officeDocument/2006/relationships/hyperlink" Target="https://xrspace.atlassian.net/issues/?jql=created+%3E%3D+2025-02-01+AND+created+%3C%3D+2026-12-31+AND+type+%3D+Bug+AND+project+%3D+SOVA+AND+Sprint+%3D+3872+AND+status+%3D+%22WON%27T+DO+%28100%25%29%22" TargetMode="External"/><Relationship Id="rId152" Type="http://schemas.openxmlformats.org/officeDocument/2006/relationships/hyperlink" Target="https://xrspace.atlassian.net/issues/?jql=created+%3E%3D+2025-02-01+AND+created+%3C%3D+2026-12-31+AND+type+%3D+Bug+AND+project+%3D+SOVA+AND+Sprint+%3D+5045+AND+status+%3D+%22WON%27T+DO+%28100%25%29%22" TargetMode="External"/><Relationship Id="rId19" Type="http://schemas.openxmlformats.org/officeDocument/2006/relationships/hyperlink" Target="https://xrspace.atlassian.net/issues/?jql=created+%3E%3D+2025-02-01+AND+created+%3C%3D+2026-12-31+AND+type+%3D+Bug+AND+project+%3D+SOVA+AND+Sprint+%3D+2157+AND+status+%3D+%22WON%27T+DO+%28100%25%29%22" TargetMode="External"/><Relationship Id="rId14" Type="http://schemas.openxmlformats.org/officeDocument/2006/relationships/hyperlink" Target="https://xrspace.atlassian.net/issues/?jql=created+%3E%3D+2025-02-01+AND+created+%3C%3D+2026-12-31+AND+type+%3D+Bug+AND+project+%3D+SOVA+AND+Sprint+%3D+2156+AND+status+%3D+%22READY+FOR+TESTING+%2890%25%29%22" TargetMode="External"/><Relationship Id="rId30" Type="http://schemas.openxmlformats.org/officeDocument/2006/relationships/hyperlink" Target="https://xrspace.atlassian.net/issues/?jql=created+%3E%3D+2025-02-01+AND+created+%3C%3D+2026-12-31+AND+type+%3D+Bug+AND+project+%3D+SOVA+AND+Sprint+%3D+2619+AND+status+%3D+%22In+Progress+%2850+%7E+70%25%29%22" TargetMode="External"/><Relationship Id="rId35" Type="http://schemas.openxmlformats.org/officeDocument/2006/relationships/hyperlink" Target="https://xrspace.atlassian.net/issues/?jql=created+%3E%3D+2025-02-01+AND+created+%3C%3D+2026-12-31+AND+type+%3D+Bug+AND+project+%3D+SOVA+AND+Sprint+%3D+2619+AND+status+%3D+%22READY+FOR+TESTING+%2890%25%29%22" TargetMode="External"/><Relationship Id="rId56" Type="http://schemas.openxmlformats.org/officeDocument/2006/relationships/hyperlink" Target="https://xrspace.atlassian.net/issues/?jql=created+%3E%3D+2025-02-01+AND+created+%3C%3D+2026-12-31+AND+type+%3D+Bug+AND+project+%3D+SOVA+AND+Sprint+%3D+3245+AND+status+%3D+%22READY+FOR+TESTING+%2890%25%29%22" TargetMode="External"/><Relationship Id="rId77" Type="http://schemas.openxmlformats.org/officeDocument/2006/relationships/hyperlink" Target="https://xrspace.atlassian.net/issues/?jql=created+%3E%3D+2025-02-01+AND+created+%3C%3D+2026-12-31+AND+type+%3D+Bug+AND+project+%3D+SOVA+AND+Sprint+%3D+3608+AND+status+%3D+%22READY+FOR+TESTING+%2890%25%29%22" TargetMode="External"/><Relationship Id="rId100" Type="http://schemas.openxmlformats.org/officeDocument/2006/relationships/hyperlink" Target="https://xrspace.atlassian.net/issues/?jql=created+%3E%3D+2025-02-01+AND+created+%3C%3D+2026-12-31+AND+type+%3D+Bug+AND+project+%3D+SOVA+AND+Sprint+%3D+4206+AND+status+%3D+%22In+Progress+%2850+%7E+70%25%29%22" TargetMode="External"/><Relationship Id="rId105" Type="http://schemas.openxmlformats.org/officeDocument/2006/relationships/hyperlink" Target="https://xrspace.atlassian.net/issues/?jql=created+%3E%3D+2025-02-01+AND+created+%3C%3D+2026-12-31+AND+type+%3D+Bug+AND+project+%3D+SOVA+AND+Sprint+%3D+4206+AND+status+%3D+%22READY+FOR+TESTING+%2890%25%29%22" TargetMode="External"/><Relationship Id="rId126" Type="http://schemas.openxmlformats.org/officeDocument/2006/relationships/hyperlink" Target="https://xrspace.atlassian.net/issues/?jql=created+%3E%3D+2025-02-01+AND+created+%3C%3D+2026-12-31+AND+type+%3D+Bug+AND+project+%3D+SOVA+AND+Sprint+%3D+4677+AND+status+%3D+%22READY+FOR+TESTING+%2890%25%29%22" TargetMode="External"/><Relationship Id="rId147" Type="http://schemas.openxmlformats.org/officeDocument/2006/relationships/hyperlink" Target="https://xrspace.atlassian.net/issues/?jql=created+%3E%3D+2025-02-01+AND+created+%3C%3D+2026-12-31+AND+type+%3D+Bug+AND+project+%3D+SOVA+AND+Sprint+%3D+5044+AND+status+%3D+%22READY+FOR+TESTING+%2890%25%29%22" TargetMode="External"/><Relationship Id="rId8" Type="http://schemas.openxmlformats.org/officeDocument/2006/relationships/hyperlink" Target="https://xrspace.atlassian.net/issues/?jql=created+%3E%3D+2025-02-01+AND+created+%3C%3D+2026-12-31+AND+type+%3D+Bug+AND+project+%3D+SOVA+AND+Sprint+%3D+2156+AND+status+%3D+%22To+Do+%280%25%29%22" TargetMode="External"/><Relationship Id="rId51" Type="http://schemas.openxmlformats.org/officeDocument/2006/relationships/hyperlink" Target="https://xrspace.atlassian.net/issues/?jql=created+%3E%3D+2025-02-01+AND+created+%3C%3D+2026-12-31+AND+type+%3D+Bug+AND+project+%3D+SOVA+AND+Sprint+%3D+3245+AND+status+%3D+%22In+Progress+%2850+%7E+70%25%29%22" TargetMode="External"/><Relationship Id="rId72" Type="http://schemas.openxmlformats.org/officeDocument/2006/relationships/hyperlink" Target="https://xrspace.atlassian.net/issues/?jql=created+%3E%3D+2025-02-01+AND+created+%3C%3D+2026-12-31+AND+type+%3D+Bug+AND+project+%3D+SOVA+AND+Sprint+%3D+3608+AND+status+%3D+%22In+Progress+%2850+%7E+70%25%29%22" TargetMode="External"/><Relationship Id="rId93" Type="http://schemas.openxmlformats.org/officeDocument/2006/relationships/hyperlink" Target="https://xrspace.atlassian.net/issues/?jql=created+%3E%3D+2025-02-01+AND+created+%3C%3D+2026-12-31+AND+type+%3D+Bug+AND+project+%3D+SOVA+AND+Sprint+%3D+4140+AND+status+%3D+%22In+Progress+%2850+%7E+70%25%29%22" TargetMode="External"/><Relationship Id="rId98" Type="http://schemas.openxmlformats.org/officeDocument/2006/relationships/hyperlink" Target="https://xrspace.atlassian.net/issues/?jql=created+%3E%3D+2025-02-01+AND+created+%3C%3D+2026-12-31+AND+type+%3D+Bug+AND+project+%3D+SOVA+AND+Sprint+%3D+4140+AND+status+%3D+%22READY+FOR+TESTING+%2890%25%29%22" TargetMode="External"/><Relationship Id="rId121" Type="http://schemas.openxmlformats.org/officeDocument/2006/relationships/hyperlink" Target="https://xrspace.atlassian.net/issues/?jql=created+%3E%3D+2025-02-01+AND+created+%3C%3D+2026-12-31+AND+type+%3D+Bug+AND+project+%3D+SOVA+AND+Sprint+%3D+4677+AND+status+%3D+%22In+Progress+%2850+%7E+70%25%29%22" TargetMode="External"/><Relationship Id="rId142" Type="http://schemas.openxmlformats.org/officeDocument/2006/relationships/hyperlink" Target="https://xrspace.atlassian.net/issues/?jql=created+%3E%3D+2025-02-01+AND+created+%3C%3D+2026-12-31+AND+type+%3D+Bug+AND+project+%3D+SOVA+AND+Sprint+%3D+5044+AND+status+%3D+%22In+Progress+%2850+%7E+70%25%29%22" TargetMode="External"/><Relationship Id="rId163" Type="http://schemas.openxmlformats.org/officeDocument/2006/relationships/drawing" Target="../drawings/drawing5.xml"/><Relationship Id="rId3" Type="http://schemas.openxmlformats.org/officeDocument/2006/relationships/hyperlink" Target="https://xrspace.atlassian.net/issues/?jql=created+%3E%3D+2025-02-01+AND+created+%3C%3D+2026-12-31+AND+type+%3D+Bug+AND+project+%3D+SOVA+AND+Sprint+%3D+2915+AND+status+%3D+%22Done+%28100%25%29%22" TargetMode="External"/><Relationship Id="rId25" Type="http://schemas.openxmlformats.org/officeDocument/2006/relationships/hyperlink" Target="https://xrspace.atlassian.net/issues/?jql=created+%3E%3D+2025-02-01+AND+created+%3C%3D+2026-12-31+AND+type+%3D+Bug+AND+project+%3D+SOVA+AND+Sprint+%3D+2618+AND+status+%3D+%22IN+REVIEW+%2880%25%29%22" TargetMode="External"/><Relationship Id="rId46" Type="http://schemas.openxmlformats.org/officeDocument/2006/relationships/hyperlink" Target="https://xrspace.atlassian.net/issues/?jql=created+%3E%3D+2025-02-01+AND+created+%3C%3D+2026-12-31+AND+type+%3D+Bug+AND+project+%3D+SOVA+AND+Sprint+%3D+3213+AND+status+%3D+%22IN+REVIEW+%2880%25%29%22" TargetMode="External"/><Relationship Id="rId67" Type="http://schemas.openxmlformats.org/officeDocument/2006/relationships/hyperlink" Target="https://xrspace.atlassian.net/issues/?jql=created+%3E%3D+2025-02-01+AND+created+%3C%3D+2026-12-31+AND+type+%3D+Bug+AND+project+%3D+SOVA+AND+Sprint+%3D+3575+AND+status+%3D+%22IN+REVIEW+%2880%25%29%22" TargetMode="External"/><Relationship Id="rId116" Type="http://schemas.openxmlformats.org/officeDocument/2006/relationships/hyperlink" Target="https://xrspace.atlassian.net/issues/?jql=created+%3E%3D+2025-02-01+AND+created+%3C%3D+2026-12-31+AND+type+%3D+Bug+AND+project+%3D+SOVA+AND+Sprint+%3D+4478+AND+status+%3D+%22IN+REVIEW+%2880%25%29%22" TargetMode="External"/><Relationship Id="rId137" Type="http://schemas.openxmlformats.org/officeDocument/2006/relationships/hyperlink" Target="https://xrspace.atlassian.net/issues/?jql=created+%3E%3D+2025-02-01+AND+created+%3C%3D+2026-12-31+AND+type+%3D+Bug+AND+project+%3D+SOVA+AND+Sprint+%3D+4910+AND+status+%3D+%22IN+REVIEW+%2880%25%29%22" TargetMode="External"/><Relationship Id="rId158" Type="http://schemas.openxmlformats.org/officeDocument/2006/relationships/hyperlink" Target="https://xrspace.atlassian.net/issues/?jql=created+%3E%3D+2025-02-01+AND+created+%3C%3D+2026-12-31+AND+type+%3D+Bug+AND+project+%3D+SOVA+AND+Sprint+%3D+5078+AND+status+%3D+%22IN+REVIEW+%2880%25%29%22" TargetMode="External"/><Relationship Id="rId20" Type="http://schemas.openxmlformats.org/officeDocument/2006/relationships/hyperlink" Target="https://xrspace.atlassian.net/issues/?jql=created+%3E%3D+2025-02-01+AND+created+%3C%3D+2026-12-31+AND+type+%3D+Bug+AND+project+%3D+SOVA+AND+Sprint+%3D+2157+AND+status+%3D+%22STARTING+%2810+%7E+40%25%29%22" TargetMode="External"/><Relationship Id="rId41" Type="http://schemas.openxmlformats.org/officeDocument/2006/relationships/hyperlink" Target="https://xrspace.atlassian.net/issues/?jql=created+%3E%3D+2025-02-01+AND+created+%3C%3D+2026-12-31+AND+type+%3D+Bug+AND+project+%3D+SOVA+AND+Sprint+%3D+2882+AND+status+%3D+%22STARTING+%2810+%7E+40%25%29%22" TargetMode="External"/><Relationship Id="rId62" Type="http://schemas.openxmlformats.org/officeDocument/2006/relationships/hyperlink" Target="https://xrspace.atlassian.net/issues/?jql=created+%3E%3D+2025-02-01+AND+created+%3C%3D+2026-12-31+AND+type+%3D+Bug+AND+project+%3D+SOVA+AND+Sprint+%3D+3246+AND+status+%3D+%22STARTING+%2810+%7E+40%25%29%22" TargetMode="External"/><Relationship Id="rId83" Type="http://schemas.openxmlformats.org/officeDocument/2006/relationships/hyperlink" Target="https://xrspace.atlassian.net/issues/?jql=created+%3E%3D+2025-02-01+AND+created+%3C%3D+2026-12-31+AND+type+%3D+Bug+AND+project+%3D+SOVA+AND+Sprint+%3D+3872+AND+status+%3D+%22STARTING+%2810+%7E+40%25%29%22" TargetMode="External"/><Relationship Id="rId88" Type="http://schemas.openxmlformats.org/officeDocument/2006/relationships/hyperlink" Target="https://xrspace.atlassian.net/issues/?jql=created+%3E%3D+2025-02-01+AND+created+%3C%3D+2026-12-31+AND+type+%3D+Bug+AND+project+%3D+SOVA+AND+Sprint+%3D+3873+AND+status+%3D+%22IN+REVIEW+%2880%25%29%22" TargetMode="External"/><Relationship Id="rId111" Type="http://schemas.openxmlformats.org/officeDocument/2006/relationships/hyperlink" Target="https://xrspace.atlassian.net/issues/?jql=created+%3E%3D+2025-02-01+AND+created+%3C%3D+2026-12-31+AND+type+%3D+Bug+AND+project+%3D+SOVA+AND+Sprint+%3D+4477+AND+status+%3D+%22STARTING+%2810+%7E+40%25%29%22" TargetMode="External"/><Relationship Id="rId132" Type="http://schemas.openxmlformats.org/officeDocument/2006/relationships/hyperlink" Target="https://xrspace.atlassian.net/issues/?jql=created+%3E%3D+2025-02-01+AND+created+%3C%3D+2026-12-31+AND+type+%3D+Bug+AND+project+%3D+SOVA+AND+Sprint+%3D+4678+AND+status+%3D+%22STARTING+%2810+%7E+40%25%29%22" TargetMode="External"/><Relationship Id="rId153" Type="http://schemas.openxmlformats.org/officeDocument/2006/relationships/hyperlink" Target="https://xrspace.atlassian.net/issues/?jql=created+%3E%3D+2025-02-01+AND+created+%3C%3D+2026-12-31+AND+type+%3D+Bug+AND+project+%3D+SOVA+AND+Sprint+%3D+5045+AND+status+%3D+%22STARTING+%2810+%7E+40%25%29%22" TargetMode="External"/><Relationship Id="rId15" Type="http://schemas.openxmlformats.org/officeDocument/2006/relationships/hyperlink" Target="https://xrspace.atlassian.net/issues/?jql=created+%3E%3D+2025-02-01+AND+created+%3C%3D+2026-12-31+AND+type+%3D+Bug+AND+project+%3D+SOVA+AND+Sprint+%3D+2157+AND+status+%3D+%22To+Do+%280%25%29%22" TargetMode="External"/><Relationship Id="rId36" Type="http://schemas.openxmlformats.org/officeDocument/2006/relationships/hyperlink" Target="https://xrspace.atlassian.net/issues/?jql=created+%3E%3D+2025-02-01+AND+created+%3C%3D+2026-12-31+AND+type+%3D+Bug+AND+project+%3D+SOVA+AND+Sprint+%3D+2882+AND+status+%3D+%22To+Do+%280%25%29%22" TargetMode="External"/><Relationship Id="rId57" Type="http://schemas.openxmlformats.org/officeDocument/2006/relationships/hyperlink" Target="https://xrspace.atlassian.net/issues/?jql=created+%3E%3D+2025-02-01+AND+created+%3C%3D+2026-12-31+AND+type+%3D+Bug+AND+project+%3D+SOVA+AND+Sprint+%3D+3246+AND+status+%3D+%22To+Do+%280%25%29%22" TargetMode="External"/><Relationship Id="rId106" Type="http://schemas.openxmlformats.org/officeDocument/2006/relationships/hyperlink" Target="https://xrspace.atlassian.net/issues/?jql=created+%3E%3D+2025-02-01+AND+created+%3C%3D+2026-12-31+AND+type+%3D+Bug+AND+project+%3D+SOVA+AND+Sprint+%3D+4477+AND+status+%3D+%22To+Do+%280%25%29%22" TargetMode="External"/><Relationship Id="rId127" Type="http://schemas.openxmlformats.org/officeDocument/2006/relationships/hyperlink" Target="https://xrspace.atlassian.net/issues/?jql=created+%3E%3D+2025-02-01+AND+created+%3C%3D+2026-12-31+AND+type+%3D+Bug+AND+project+%3D+SOVA+AND+Sprint+%3D+4678+AND+status+%3D+%22To+Do+%280%25%29%22" TargetMode="External"/><Relationship Id="rId10" Type="http://schemas.openxmlformats.org/officeDocument/2006/relationships/hyperlink" Target="https://xrspace.atlassian.net/issues/?jql=created+%3E%3D+2025-02-01+AND+created+%3C%3D+2026-12-31+AND+type+%3D+Bug+AND+project+%3D+SOVA+AND+Sprint+%3D+2156+AND+status+%3D+%22Done+%28100%25%29%22" TargetMode="External"/><Relationship Id="rId31" Type="http://schemas.openxmlformats.org/officeDocument/2006/relationships/hyperlink" Target="https://xrspace.atlassian.net/issues/?jql=created+%3E%3D+2025-02-01+AND+created+%3C%3D+2026-12-31+AND+type+%3D+Bug+AND+project+%3D+SOVA+AND+Sprint+%3D+2619+AND+status+%3D+%22Done+%28100%25%29%22" TargetMode="External"/><Relationship Id="rId52" Type="http://schemas.openxmlformats.org/officeDocument/2006/relationships/hyperlink" Target="https://xrspace.atlassian.net/issues/?jql=created+%3E%3D+2025-02-01+AND+created+%3C%3D+2026-12-31+AND+type+%3D+Bug+AND+project+%3D+SOVA+AND+Sprint+%3D+3245+AND+status+%3D+%22Done+%28100%25%29%22" TargetMode="External"/><Relationship Id="rId73" Type="http://schemas.openxmlformats.org/officeDocument/2006/relationships/hyperlink" Target="https://xrspace.atlassian.net/issues/?jql=created+%3E%3D+2025-02-01+AND+created+%3C%3D+2026-12-31+AND+type+%3D+Bug+AND+project+%3D+SOVA+AND+Sprint+%3D+3608+AND+status+%3D+%22Done+%28100%25%29%22" TargetMode="External"/><Relationship Id="rId78" Type="http://schemas.openxmlformats.org/officeDocument/2006/relationships/hyperlink" Target="https://xrspace.atlassian.net/issues/?jql=created+%3E%3D+2025-02-01+AND+created+%3C%3D+2026-12-31+AND+type+%3D+Bug+AND+project+%3D+SOVA+AND+Sprint+%3D+3872+AND+status+%3D+%22To+Do+%280%25%29%22" TargetMode="External"/><Relationship Id="rId94" Type="http://schemas.openxmlformats.org/officeDocument/2006/relationships/hyperlink" Target="https://xrspace.atlassian.net/issues/?jql=created+%3E%3D+2025-02-01+AND+created+%3C%3D+2026-12-31+AND+type+%3D+Bug+AND+project+%3D+SOVA+AND+Sprint+%3D+4140+AND+status+%3D+%22Done+%28100%25%29%22" TargetMode="External"/><Relationship Id="rId99" Type="http://schemas.openxmlformats.org/officeDocument/2006/relationships/hyperlink" Target="https://xrspace.atlassian.net/issues/?jql=created+%3E%3D+2025-02-01+AND+created+%3C%3D+2026-12-31+AND+type+%3D+Bug+AND+project+%3D+SOVA+AND+Sprint+%3D+4206+AND+status+%3D+%22To+Do+%280%25%29%22" TargetMode="External"/><Relationship Id="rId101" Type="http://schemas.openxmlformats.org/officeDocument/2006/relationships/hyperlink" Target="https://xrspace.atlassian.net/issues/?jql=created+%3E%3D+2025-02-01+AND+created+%3C%3D+2026-12-31+AND+type+%3D+Bug+AND+project+%3D+SOVA+AND+Sprint+%3D+4206+AND+status+%3D+%22Done+%28100%25%29%22" TargetMode="External"/><Relationship Id="rId122" Type="http://schemas.openxmlformats.org/officeDocument/2006/relationships/hyperlink" Target="https://xrspace.atlassian.net/issues/?jql=created+%3E%3D+2025-02-01+AND+created+%3C%3D+2026-12-31+AND+type+%3D+Bug+AND+project+%3D+SOVA+AND+Sprint+%3D+4677+AND+status+%3D+%22Done+%28100%25%29%22" TargetMode="External"/><Relationship Id="rId143" Type="http://schemas.openxmlformats.org/officeDocument/2006/relationships/hyperlink" Target="https://xrspace.atlassian.net/issues/?jql=created+%3E%3D+2025-02-01+AND+created+%3C%3D+2026-12-31+AND+type+%3D+Bug+AND+project+%3D+SOVA+AND+Sprint+%3D+5044+AND+status+%3D+%22Done+%28100%25%29%22" TargetMode="External"/><Relationship Id="rId148" Type="http://schemas.openxmlformats.org/officeDocument/2006/relationships/hyperlink" Target="https://xrspace.atlassian.net/issues/?jql=created+%3E%3D+2025-02-01+AND+created+%3C%3D+2026-12-31+AND+type+%3D+Bug+AND+project+%3D+SOVA+AND+Sprint+%3D+5045+AND+status+%3D+%22To+Do+%280%25%29%22" TargetMode="External"/><Relationship Id="rId164" Type="http://schemas.openxmlformats.org/officeDocument/2006/relationships/table" Target="../tables/table5.xml"/><Relationship Id="rId4" Type="http://schemas.openxmlformats.org/officeDocument/2006/relationships/hyperlink" Target="https://xrspace.atlassian.net/issues/?jql=created+%3E%3D+2025-02-01+AND+created+%3C%3D+2026-12-31+AND+type+%3D+Bug+AND+project+%3D+SOVA+AND+Sprint+%3D+2915+AND+status+%3D+%22IN+REVIEW+%2880%25%29%22" TargetMode="External"/><Relationship Id="rId9" Type="http://schemas.openxmlformats.org/officeDocument/2006/relationships/hyperlink" Target="https://xrspace.atlassian.net/issues/?jql=created+%3E%3D+2025-02-01+AND+created+%3C%3D+2026-12-31+AND+type+%3D+Bug+AND+project+%3D+SOVA+AND+Sprint+%3D+2156+AND+status+%3D+%22In+Progress+%2850+%7E+70%25%29%22" TargetMode="External"/><Relationship Id="rId26" Type="http://schemas.openxmlformats.org/officeDocument/2006/relationships/hyperlink" Target="https://xrspace.atlassian.net/issues/?jql=created+%3E%3D+2025-02-01+AND+created+%3C%3D+2026-12-31+AND+type+%3D+Bug+AND+project+%3D+SOVA+AND+Sprint+%3D+2618+AND+status+%3D+%22WON%27T+DO+%28100%25%29%22" TargetMode="External"/><Relationship Id="rId47" Type="http://schemas.openxmlformats.org/officeDocument/2006/relationships/hyperlink" Target="https://xrspace.atlassian.net/issues/?jql=created+%3E%3D+2025-02-01+AND+created+%3C%3D+2026-12-31+AND+type+%3D+Bug+AND+project+%3D+SOVA+AND+Sprint+%3D+3213+AND+status+%3D+%22WON%27T+DO+%28100%25%29%22" TargetMode="External"/><Relationship Id="rId68" Type="http://schemas.openxmlformats.org/officeDocument/2006/relationships/hyperlink" Target="https://xrspace.atlassian.net/issues/?jql=created+%3E%3D+2025-02-01+AND+created+%3C%3D+2026-12-31+AND+type+%3D+Bug+AND+project+%3D+SOVA+AND+Sprint+%3D+3575+AND+status+%3D+%22WON%27T+DO+%28100%25%29%22" TargetMode="External"/><Relationship Id="rId89" Type="http://schemas.openxmlformats.org/officeDocument/2006/relationships/hyperlink" Target="https://xrspace.atlassian.net/issues/?jql=created+%3E%3D+2025-02-01+AND+created+%3C%3D+2026-12-31+AND+type+%3D+Bug+AND+project+%3D+SOVA+AND+Sprint+%3D+3873+AND+status+%3D+%22WON%27T+DO+%28100%25%29%22" TargetMode="External"/><Relationship Id="rId112" Type="http://schemas.openxmlformats.org/officeDocument/2006/relationships/hyperlink" Target="https://xrspace.atlassian.net/issues/?jql=created+%3E%3D+2025-02-01+AND+created+%3C%3D+2026-12-31+AND+type+%3D+Bug+AND+project+%3D+SOVA+AND+Sprint+%3D+4477+AND+status+%3D+%22READY+FOR+TESTING+%2890%25%29%22" TargetMode="External"/><Relationship Id="rId133" Type="http://schemas.openxmlformats.org/officeDocument/2006/relationships/hyperlink" Target="https://xrspace.atlassian.net/issues/?jql=created+%3E%3D+2025-02-01+AND+created+%3C%3D+2026-12-31+AND+type+%3D+Bug+AND+project+%3D+SOVA+AND+Sprint+%3D+4678+AND+status+%3D+%22READY+FOR+TESTING+%2890%25%29%22" TargetMode="External"/><Relationship Id="rId154" Type="http://schemas.openxmlformats.org/officeDocument/2006/relationships/hyperlink" Target="https://xrspace.atlassian.net/issues/?jql=created+%3E%3D+2025-02-01+AND+created+%3C%3D+2026-12-31+AND+type+%3D+Bug+AND+project+%3D+SOVA+AND+Sprint+%3D+5045+AND+status+%3D+%22READY+FOR+TESTING+%2890%25%29%22" TargetMode="External"/><Relationship Id="rId16" Type="http://schemas.openxmlformats.org/officeDocument/2006/relationships/hyperlink" Target="https://xrspace.atlassian.net/issues/?jql=created+%3E%3D+2025-02-01+AND+created+%3C%3D+2026-12-31+AND+type+%3D+Bug+AND+project+%3D+SOVA+AND+Sprint+%3D+2157+AND+status+%3D+%22In+Progress+%2850+%7E+70%25%29%22" TargetMode="External"/><Relationship Id="rId37" Type="http://schemas.openxmlformats.org/officeDocument/2006/relationships/hyperlink" Target="https://xrspace.atlassian.net/issues/?jql=created+%3E%3D+2025-02-01+AND+created+%3C%3D+2026-12-31+AND+type+%3D+Bug+AND+project+%3D+SOVA+AND+Sprint+%3D+2882+AND+status+%3D+%22In+Progress+%2850+%7E+70%25%29%22" TargetMode="External"/><Relationship Id="rId58" Type="http://schemas.openxmlformats.org/officeDocument/2006/relationships/hyperlink" Target="https://xrspace.atlassian.net/issues/?jql=created+%3E%3D+2025-02-01+AND+created+%3C%3D+2026-12-31+AND+type+%3D+Bug+AND+project+%3D+SOVA+AND+Sprint+%3D+3246+AND+status+%3D+%22In+Progress+%2850+%7E+70%25%29%22" TargetMode="External"/><Relationship Id="rId79" Type="http://schemas.openxmlformats.org/officeDocument/2006/relationships/hyperlink" Target="https://xrspace.atlassian.net/issues/?jql=created+%3E%3D+2025-02-01+AND+created+%3C%3D+2026-12-31+AND+type+%3D+Bug+AND+project+%3D+SOVA+AND+Sprint+%3D+3872+AND+status+%3D+%22In+Progress+%2850+%7E+70%25%29%22" TargetMode="External"/><Relationship Id="rId102" Type="http://schemas.openxmlformats.org/officeDocument/2006/relationships/hyperlink" Target="https://xrspace.atlassian.net/issues/?jql=created+%3E%3D+2025-02-01+AND+created+%3C%3D+2026-12-31+AND+type+%3D+Bug+AND+project+%3D+SOVA+AND+Sprint+%3D+4206+AND+status+%3D+%22IN+REVIEW+%2880%25%29%22" TargetMode="External"/><Relationship Id="rId123" Type="http://schemas.openxmlformats.org/officeDocument/2006/relationships/hyperlink" Target="https://xrspace.atlassian.net/issues/?jql=created+%3E%3D+2025-02-01+AND+created+%3C%3D+2026-12-31+AND+type+%3D+Bug+AND+project+%3D+SOVA+AND+Sprint+%3D+4677+AND+status+%3D+%22IN+REVIEW+%2880%25%29%22" TargetMode="External"/><Relationship Id="rId144" Type="http://schemas.openxmlformats.org/officeDocument/2006/relationships/hyperlink" Target="https://xrspace.atlassian.net/issues/?jql=created+%3E%3D+2025-02-01+AND+created+%3C%3D+2026-12-31+AND+type+%3D+Bug+AND+project+%3D+SOVA+AND+Sprint+%3D+5044+AND+status+%3D+%22IN+REVIEW+%2880%25%29%22" TargetMode="External"/><Relationship Id="rId90" Type="http://schemas.openxmlformats.org/officeDocument/2006/relationships/hyperlink" Target="https://xrspace.atlassian.net/issues/?jql=created+%3E%3D+2025-02-01+AND+created+%3C%3D+2026-12-31+AND+type+%3D+Bug+AND+project+%3D+SOVA+AND+Sprint+%3D+3873+AND+status+%3D+%22STARTING+%2810+%7E+40%25%29%22" TargetMode="External"/><Relationship Id="rId27" Type="http://schemas.openxmlformats.org/officeDocument/2006/relationships/hyperlink" Target="https://xrspace.atlassian.net/issues/?jql=created+%3E%3D+2025-02-01+AND+created+%3C%3D+2026-12-31+AND+type+%3D+Bug+AND+project+%3D+SOVA+AND+Sprint+%3D+2618+AND+status+%3D+%22STARTING+%2810+%7E+40%25%29%22" TargetMode="External"/><Relationship Id="rId48" Type="http://schemas.openxmlformats.org/officeDocument/2006/relationships/hyperlink" Target="https://xrspace.atlassian.net/issues/?jql=created+%3E%3D+2025-02-01+AND+created+%3C%3D+2026-12-31+AND+type+%3D+Bug+AND+project+%3D+SOVA+AND+Sprint+%3D+3213+AND+status+%3D+%22STARTING+%2810+%7E+40%25%29%22" TargetMode="External"/><Relationship Id="rId69" Type="http://schemas.openxmlformats.org/officeDocument/2006/relationships/hyperlink" Target="https://xrspace.atlassian.net/issues/?jql=created+%3E%3D+2025-02-01+AND+created+%3C%3D+2026-12-31+AND+type+%3D+Bug+AND+project+%3D+SOVA+AND+Sprint+%3D+3575+AND+status+%3D+%22STARTING+%2810+%7E+40%25%29%22" TargetMode="External"/><Relationship Id="rId113" Type="http://schemas.openxmlformats.org/officeDocument/2006/relationships/hyperlink" Target="https://xrspace.atlassian.net/issues/?jql=created+%3E%3D+2025-02-01+AND+created+%3C%3D+2026-12-31+AND+type+%3D+Bug+AND+project+%3D+SOVA+AND+Sprint+%3D+4478+AND+status+%3D+%22To+Do+%280%25%29%22" TargetMode="External"/><Relationship Id="rId134" Type="http://schemas.openxmlformats.org/officeDocument/2006/relationships/hyperlink" Target="https://xrspace.atlassian.net/issues/?jql=created+%3E%3D+2025-02-01+AND+created+%3C%3D+2026-12-31+AND+type+%3D+Bug+AND+project+%3D+SOVA+AND+Sprint+%3D+4910+AND+status+%3D+%22To+Do+%280%25%29%22" TargetMode="External"/><Relationship Id="rId80" Type="http://schemas.openxmlformats.org/officeDocument/2006/relationships/hyperlink" Target="https://xrspace.atlassian.net/issues/?jql=created+%3E%3D+2025-02-01+AND+created+%3C%3D+2026-12-31+AND+type+%3D+Bug+AND+project+%3D+SOVA+AND+Sprint+%3D+3872+AND+status+%3D+%22Done+%28100%25%29%22" TargetMode="External"/><Relationship Id="rId155" Type="http://schemas.openxmlformats.org/officeDocument/2006/relationships/hyperlink" Target="https://xrspace.atlassian.net/issues/?jql=created+%3E%3D+2025-02-01+AND+created+%3C%3D+2026-12-31+AND+type+%3D+Bug+AND+project+%3D+SOVA+AND+Sprint+%3D+5078+AND+status+%3D+%22To+Do+%280%25%29%22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33A42-966D-5F4E-B061-B304543CE88E}">
  <dimension ref="A1:E28"/>
  <sheetViews>
    <sheetView tabSelected="1" topLeftCell="A7" zoomScaleNormal="100" workbookViewId="0">
      <selection activeCell="I25" sqref="I25"/>
    </sheetView>
  </sheetViews>
  <sheetFormatPr defaultColWidth="11.5546875" defaultRowHeight="15"/>
  <cols>
    <col min="1" max="1" width="8.77734375" customWidth="1"/>
    <col min="2" max="2" width="12.6640625" customWidth="1"/>
    <col min="3" max="3" width="18.88671875" customWidth="1"/>
    <col min="4" max="5" width="15.77734375" customWidth="1"/>
  </cols>
  <sheetData>
    <row r="1" spans="1:5" ht="20.100000000000001" customHeight="1">
      <c r="A1" s="1" t="s">
        <v>36</v>
      </c>
      <c r="B1" s="2" t="s">
        <v>1</v>
      </c>
      <c r="C1" s="2" t="s">
        <v>2</v>
      </c>
      <c r="D1" s="2" t="s">
        <v>0</v>
      </c>
      <c r="E1" s="2" t="s">
        <v>3</v>
      </c>
    </row>
    <row r="2" spans="1:5" ht="21.95" customHeight="1">
      <c r="A2" t="s">
        <v>77</v>
      </c>
      <c r="B2">
        <v>15</v>
      </c>
      <c r="C2">
        <v>14</v>
      </c>
      <c r="D2">
        <v>219</v>
      </c>
      <c r="E2">
        <f>SUM(Table2[[#This Row],[Done]:[TODO (P1)]])</f>
        <v>248</v>
      </c>
    </row>
    <row r="3" spans="1:5" ht="21.95" customHeight="1">
      <c r="A3" t="s">
        <v>56</v>
      </c>
      <c r="B3">
        <v>12</v>
      </c>
      <c r="C3">
        <v>11</v>
      </c>
      <c r="D3">
        <v>173</v>
      </c>
      <c r="E3">
        <f>SUM(Table2[[#This Row],[Done]:[TODO (P1)]])</f>
        <v>196</v>
      </c>
    </row>
    <row r="4" spans="1:5" ht="21.95" customHeight="1">
      <c r="A4" t="s">
        <v>57</v>
      </c>
      <c r="B4">
        <v>13</v>
      </c>
      <c r="C4">
        <v>11</v>
      </c>
      <c r="D4">
        <v>172</v>
      </c>
      <c r="E4" s="12">
        <f>SUM(Table2[[#This Row],[Done]:[TODO (P1)]])</f>
        <v>196</v>
      </c>
    </row>
    <row r="5" spans="1:5" ht="21.95" customHeight="1">
      <c r="A5" t="s">
        <v>58</v>
      </c>
      <c r="B5">
        <v>15</v>
      </c>
      <c r="C5">
        <v>12</v>
      </c>
      <c r="D5">
        <v>168</v>
      </c>
      <c r="E5" s="12">
        <f>SUM(Table2[[#This Row],[Done]:[TODO (P1)]])</f>
        <v>195</v>
      </c>
    </row>
    <row r="6" spans="1:5" ht="21.95" customHeight="1">
      <c r="A6" t="s">
        <v>59</v>
      </c>
      <c r="B6">
        <v>18</v>
      </c>
      <c r="C6">
        <v>11</v>
      </c>
      <c r="D6">
        <v>166</v>
      </c>
      <c r="E6" s="12">
        <f>SUM(Table2[[#This Row],[Done]:[TODO (P1)]])</f>
        <v>195</v>
      </c>
    </row>
    <row r="7" spans="1:5" ht="21.95" customHeight="1">
      <c r="A7" t="s">
        <v>60</v>
      </c>
      <c r="B7">
        <v>21</v>
      </c>
      <c r="C7">
        <v>14</v>
      </c>
      <c r="D7">
        <v>160</v>
      </c>
      <c r="E7" s="12">
        <f>SUM(Table2[[#This Row],[Done]:[TODO (P1)]])</f>
        <v>195</v>
      </c>
    </row>
    <row r="8" spans="1:5" ht="21.95" customHeight="1">
      <c r="A8" t="s">
        <v>61</v>
      </c>
      <c r="B8">
        <v>22</v>
      </c>
      <c r="C8">
        <v>14</v>
      </c>
      <c r="D8">
        <v>160</v>
      </c>
      <c r="E8" s="12">
        <f>SUM(Table2[[#This Row],[Done]:[TODO (P1)]])</f>
        <v>196</v>
      </c>
    </row>
    <row r="9" spans="1:5" ht="21.95" customHeight="1">
      <c r="A9" t="s">
        <v>62</v>
      </c>
      <c r="B9">
        <v>25</v>
      </c>
      <c r="C9">
        <v>10</v>
      </c>
      <c r="D9">
        <v>161</v>
      </c>
      <c r="E9" s="12">
        <f>SUM(Table2[[#This Row],[Done]:[TODO (P1)]])</f>
        <v>196</v>
      </c>
    </row>
    <row r="10" spans="1:5" ht="21.95" customHeight="1">
      <c r="A10" t="s">
        <v>64</v>
      </c>
      <c r="B10">
        <v>28</v>
      </c>
      <c r="C10">
        <v>8</v>
      </c>
      <c r="D10">
        <v>160</v>
      </c>
      <c r="E10" s="12">
        <f>SUM(Table2[[#This Row],[Done]:[TODO (P1)]])</f>
        <v>196</v>
      </c>
    </row>
    <row r="11" spans="1:5" ht="21.95" customHeight="1">
      <c r="A11" t="s">
        <v>65</v>
      </c>
      <c r="B11">
        <v>30</v>
      </c>
      <c r="C11">
        <v>6</v>
      </c>
      <c r="D11">
        <v>160</v>
      </c>
      <c r="E11" s="12">
        <f>SUM(Table2[[#This Row],[Done]:[TODO (P1)]])</f>
        <v>196</v>
      </c>
    </row>
    <row r="12" spans="1:5" ht="21.95" customHeight="1">
      <c r="A12" t="s">
        <v>66</v>
      </c>
      <c r="B12">
        <v>32</v>
      </c>
      <c r="C12">
        <v>5</v>
      </c>
      <c r="D12">
        <v>160</v>
      </c>
      <c r="E12" s="12">
        <f>SUM(Table2[[#This Row],[Done]:[TODO (P1)]])</f>
        <v>197</v>
      </c>
    </row>
    <row r="13" spans="1:5" ht="21.95" customHeight="1">
      <c r="A13" t="s">
        <v>67</v>
      </c>
      <c r="B13">
        <v>32</v>
      </c>
      <c r="C13">
        <v>5</v>
      </c>
      <c r="D13">
        <v>160</v>
      </c>
      <c r="E13" s="12">
        <f>SUM(Table2[[#This Row],[Done]:[TODO (P1)]])</f>
        <v>197</v>
      </c>
    </row>
    <row r="14" spans="1:5" ht="21.95" customHeight="1">
      <c r="A14" t="s">
        <v>55</v>
      </c>
      <c r="B14">
        <v>32</v>
      </c>
      <c r="C14">
        <v>3</v>
      </c>
      <c r="D14">
        <v>162</v>
      </c>
      <c r="E14" s="12">
        <f>SUM(Table2[[#This Row],[Done]:[TODO (P1)]])</f>
        <v>197</v>
      </c>
    </row>
    <row r="15" spans="1:5" ht="21.95" customHeight="1">
      <c r="A15" t="s">
        <v>68</v>
      </c>
      <c r="B15">
        <v>32</v>
      </c>
      <c r="C15">
        <v>3</v>
      </c>
      <c r="D15">
        <v>162</v>
      </c>
      <c r="E15" s="12">
        <f>SUM(Table2[[#This Row],[Done]:[TODO (P1)]])</f>
        <v>197</v>
      </c>
    </row>
    <row r="16" spans="1:5" ht="21.95" customHeight="1">
      <c r="A16" t="s">
        <v>83</v>
      </c>
      <c r="B16">
        <v>32</v>
      </c>
      <c r="C16">
        <v>3</v>
      </c>
      <c r="D16">
        <v>162</v>
      </c>
      <c r="E16" s="12">
        <f>SUM(Table2[[#This Row],[Done]:[TODO (P1)]])</f>
        <v>197</v>
      </c>
    </row>
    <row r="17" spans="1:5" ht="21.95" customHeight="1">
      <c r="A17" t="s">
        <v>84</v>
      </c>
      <c r="B17">
        <v>32</v>
      </c>
      <c r="C17">
        <v>1</v>
      </c>
      <c r="D17">
        <v>162</v>
      </c>
      <c r="E17" s="12">
        <f>SUM(Table2[[#This Row],[Done]:[TODO (P1)]])</f>
        <v>195</v>
      </c>
    </row>
    <row r="18" spans="1:5" ht="21.95" customHeight="1">
      <c r="A18" t="s">
        <v>85</v>
      </c>
      <c r="B18">
        <v>32</v>
      </c>
      <c r="C18">
        <v>2</v>
      </c>
      <c r="D18">
        <v>161</v>
      </c>
      <c r="E18" s="12">
        <f>SUM(Table2[[#This Row],[Done]:[TODO (P1)]])</f>
        <v>195</v>
      </c>
    </row>
    <row r="19" spans="1:5" ht="21.95" customHeight="1">
      <c r="A19" t="s">
        <v>89</v>
      </c>
      <c r="B19">
        <v>31</v>
      </c>
      <c r="C19">
        <v>3</v>
      </c>
      <c r="D19">
        <v>161</v>
      </c>
      <c r="E19" s="12">
        <f>SUM(Table2[[#This Row],[Done]:[TODO (P1)]])</f>
        <v>195</v>
      </c>
    </row>
    <row r="20" spans="1:5" ht="21.95" customHeight="1">
      <c r="A20" t="s">
        <v>90</v>
      </c>
      <c r="B20">
        <v>31</v>
      </c>
      <c r="C20">
        <v>3</v>
      </c>
      <c r="D20">
        <v>161</v>
      </c>
      <c r="E20" s="12">
        <f>SUM(Table2[[#This Row],[Done]:[TODO (P1)]])</f>
        <v>195</v>
      </c>
    </row>
    <row r="21" spans="1:5" ht="21.95" customHeight="1">
      <c r="A21" t="s">
        <v>91</v>
      </c>
      <c r="B21">
        <v>31</v>
      </c>
      <c r="C21">
        <v>3</v>
      </c>
      <c r="D21">
        <v>161</v>
      </c>
      <c r="E21" s="12">
        <f>SUM(Table2[[#This Row],[Done]:[TODO (P1)]])</f>
        <v>195</v>
      </c>
    </row>
    <row r="22" spans="1:5" ht="21.95" customHeight="1">
      <c r="A22" t="s">
        <v>100</v>
      </c>
      <c r="B22">
        <v>37</v>
      </c>
      <c r="C22">
        <v>1</v>
      </c>
      <c r="D22">
        <v>160</v>
      </c>
      <c r="E22" s="12">
        <v>198</v>
      </c>
    </row>
    <row r="23" spans="1:5" ht="21.95" customHeight="1">
      <c r="A23" t="s">
        <v>102</v>
      </c>
      <c r="B23">
        <v>37</v>
      </c>
      <c r="C23">
        <v>1</v>
      </c>
      <c r="D23">
        <v>160</v>
      </c>
      <c r="E23" s="12">
        <v>198</v>
      </c>
    </row>
    <row r="24" spans="1:5" ht="21.95" customHeight="1">
      <c r="A24" t="s">
        <v>104</v>
      </c>
      <c r="B24">
        <v>37</v>
      </c>
      <c r="C24">
        <v>1</v>
      </c>
      <c r="D24">
        <v>160</v>
      </c>
      <c r="E24" s="12">
        <v>198</v>
      </c>
    </row>
    <row r="25" spans="1:5" ht="21.95" customHeight="1">
      <c r="A25" t="s">
        <v>107</v>
      </c>
      <c r="B25">
        <v>37</v>
      </c>
      <c r="C25">
        <v>1</v>
      </c>
      <c r="D25">
        <v>160</v>
      </c>
      <c r="E25" s="12">
        <v>198</v>
      </c>
    </row>
    <row r="26" spans="1:5" ht="21.95" customHeight="1">
      <c r="A26" t="s">
        <v>108</v>
      </c>
      <c r="B26">
        <v>37</v>
      </c>
      <c r="C26">
        <v>1</v>
      </c>
      <c r="D26">
        <v>160</v>
      </c>
      <c r="E26" s="12">
        <v>198</v>
      </c>
    </row>
    <row r="27" spans="1:5" ht="21.95" customHeight="1">
      <c r="A27" t="s">
        <v>109</v>
      </c>
      <c r="B27">
        <v>37</v>
      </c>
      <c r="C27">
        <v>1</v>
      </c>
      <c r="D27">
        <v>160</v>
      </c>
      <c r="E27" s="12">
        <v>198</v>
      </c>
    </row>
    <row r="28" spans="1:5">
      <c r="A28" t="s">
        <v>112</v>
      </c>
      <c r="B28">
        <v>37</v>
      </c>
      <c r="C28">
        <v>1</v>
      </c>
      <c r="D28">
        <v>160</v>
      </c>
      <c r="E28" s="12">
        <v>198</v>
      </c>
    </row>
  </sheetData>
  <phoneticPr fontId="1" type="noConversion"/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9633B-8BD2-084C-8C0F-75969053522F}">
  <dimension ref="A1:H21"/>
  <sheetViews>
    <sheetView zoomScaleNormal="100" workbookViewId="0">
      <selection activeCell="G22" sqref="G22"/>
    </sheetView>
  </sheetViews>
  <sheetFormatPr defaultColWidth="11.5546875" defaultRowHeight="15"/>
  <cols>
    <col min="1" max="1" width="9.109375" customWidth="1"/>
    <col min="2" max="2" width="11.77734375" customWidth="1"/>
    <col min="3" max="8" width="15.77734375" customWidth="1"/>
  </cols>
  <sheetData>
    <row r="1" spans="1:8" ht="20.100000000000001" customHeight="1">
      <c r="A1" s="2" t="s">
        <v>32</v>
      </c>
      <c r="B1" s="2" t="s">
        <v>11</v>
      </c>
      <c r="C1" s="2" t="s">
        <v>16</v>
      </c>
      <c r="D1" s="2" t="s">
        <v>12</v>
      </c>
      <c r="E1" s="2" t="s">
        <v>13</v>
      </c>
      <c r="F1" s="2" t="s">
        <v>14</v>
      </c>
      <c r="G1" s="2" t="s">
        <v>15</v>
      </c>
      <c r="H1" s="2" t="s">
        <v>3</v>
      </c>
    </row>
    <row r="2" spans="1:8" ht="21.95" customHeight="1">
      <c r="A2" t="s">
        <v>4</v>
      </c>
      <c r="B2">
        <v>421</v>
      </c>
      <c r="C2">
        <v>0</v>
      </c>
      <c r="D2">
        <v>12</v>
      </c>
      <c r="E2">
        <v>8</v>
      </c>
      <c r="F2">
        <v>1</v>
      </c>
      <c r="G2">
        <v>0</v>
      </c>
      <c r="H2">
        <f>SUM(Table1[[#This Row],[Passed]:[Untested]])</f>
        <v>442</v>
      </c>
    </row>
    <row r="3" spans="1:8" ht="21.95" customHeight="1">
      <c r="A3" t="s">
        <v>5</v>
      </c>
      <c r="B3">
        <v>402</v>
      </c>
      <c r="C3">
        <v>0</v>
      </c>
      <c r="D3">
        <v>10</v>
      </c>
      <c r="E3">
        <v>2</v>
      </c>
      <c r="F3">
        <v>0</v>
      </c>
      <c r="G3">
        <v>0</v>
      </c>
      <c r="H3">
        <f>SUM(Table1[[#This Row],[Passed]:[Untested]])</f>
        <v>414</v>
      </c>
    </row>
    <row r="4" spans="1:8" ht="21.95" customHeight="1">
      <c r="A4" t="s">
        <v>6</v>
      </c>
      <c r="B4">
        <v>1195</v>
      </c>
      <c r="C4">
        <v>0</v>
      </c>
      <c r="D4">
        <v>16</v>
      </c>
      <c r="E4">
        <v>0</v>
      </c>
      <c r="F4">
        <v>0</v>
      </c>
      <c r="G4">
        <v>0</v>
      </c>
      <c r="H4">
        <f>SUM(Table1[[#This Row],[Passed]:[Untested]])</f>
        <v>1211</v>
      </c>
    </row>
    <row r="5" spans="1:8" ht="21.95" customHeight="1">
      <c r="A5" t="s">
        <v>7</v>
      </c>
      <c r="B5">
        <v>2583</v>
      </c>
      <c r="C5">
        <v>0</v>
      </c>
      <c r="D5">
        <v>13</v>
      </c>
      <c r="E5">
        <v>0</v>
      </c>
      <c r="F5">
        <v>0</v>
      </c>
      <c r="G5">
        <v>0</v>
      </c>
      <c r="H5">
        <f>SUM(Table1[[#This Row],[Passed]:[Untested]])</f>
        <v>2596</v>
      </c>
    </row>
    <row r="6" spans="1:8" ht="21.95" customHeight="1">
      <c r="A6" t="s">
        <v>8</v>
      </c>
      <c r="B6">
        <v>2263</v>
      </c>
      <c r="C6">
        <v>0</v>
      </c>
      <c r="D6">
        <v>3</v>
      </c>
      <c r="E6">
        <v>0</v>
      </c>
      <c r="F6">
        <v>0</v>
      </c>
      <c r="G6">
        <v>0</v>
      </c>
      <c r="H6">
        <f>SUM(Table1[[#This Row],[Passed]:[Untested]])</f>
        <v>2266</v>
      </c>
    </row>
    <row r="7" spans="1:8" ht="21.95" customHeight="1">
      <c r="A7" t="s">
        <v>9</v>
      </c>
      <c r="B7">
        <v>2719</v>
      </c>
      <c r="C7">
        <v>0</v>
      </c>
      <c r="D7">
        <v>4</v>
      </c>
      <c r="E7">
        <v>0</v>
      </c>
      <c r="F7">
        <v>0</v>
      </c>
      <c r="G7">
        <v>0</v>
      </c>
      <c r="H7">
        <f>SUM(Table1[[#This Row],[Passed]:[Untested]])</f>
        <v>2723</v>
      </c>
    </row>
    <row r="8" spans="1:8" ht="21.95" customHeight="1">
      <c r="A8" t="s">
        <v>10</v>
      </c>
      <c r="B8">
        <v>2515</v>
      </c>
      <c r="C8">
        <v>0</v>
      </c>
      <c r="D8">
        <v>16</v>
      </c>
      <c r="E8">
        <v>0</v>
      </c>
      <c r="F8">
        <v>0</v>
      </c>
      <c r="G8">
        <v>0</v>
      </c>
      <c r="H8">
        <f>SUM(Table1[[#This Row],[Passed]:[Untested]])</f>
        <v>2531</v>
      </c>
    </row>
    <row r="9" spans="1:8" ht="21.95" customHeight="1">
      <c r="A9" t="s">
        <v>37</v>
      </c>
      <c r="B9">
        <v>1399</v>
      </c>
      <c r="C9">
        <v>0</v>
      </c>
      <c r="D9">
        <v>1</v>
      </c>
      <c r="E9">
        <v>0</v>
      </c>
      <c r="F9">
        <v>0</v>
      </c>
      <c r="G9">
        <v>1</v>
      </c>
      <c r="H9">
        <f>SUM(Table1[[#This Row],[Passed]:[Untested]])</f>
        <v>1401</v>
      </c>
    </row>
    <row r="10" spans="1:8" ht="21.95" customHeight="1">
      <c r="A10" t="s">
        <v>42</v>
      </c>
      <c r="B10">
        <v>1271</v>
      </c>
      <c r="C10">
        <v>0</v>
      </c>
      <c r="D10">
        <v>2</v>
      </c>
      <c r="E10">
        <v>0</v>
      </c>
      <c r="F10">
        <v>0</v>
      </c>
      <c r="G10">
        <v>0</v>
      </c>
      <c r="H10">
        <f>SUM(Table1[[#This Row],[Passed]:[Untested]])</f>
        <v>1273</v>
      </c>
    </row>
    <row r="11" spans="1:8" ht="21.95" customHeight="1">
      <c r="A11" t="s">
        <v>43</v>
      </c>
      <c r="B11">
        <v>1333</v>
      </c>
      <c r="C11">
        <v>0</v>
      </c>
      <c r="D11">
        <v>7</v>
      </c>
      <c r="E11">
        <v>0</v>
      </c>
      <c r="F11">
        <v>0</v>
      </c>
      <c r="G11">
        <v>1</v>
      </c>
      <c r="H11">
        <f>SUM(Table1[[#This Row],[Passed]:[Untested]])</f>
        <v>1341</v>
      </c>
    </row>
    <row r="12" spans="1:8" ht="21.95" customHeight="1">
      <c r="A12" t="s">
        <v>46</v>
      </c>
      <c r="B12">
        <v>1475</v>
      </c>
      <c r="C12">
        <v>0</v>
      </c>
      <c r="D12">
        <v>6</v>
      </c>
      <c r="E12">
        <v>0</v>
      </c>
      <c r="F12">
        <v>4</v>
      </c>
      <c r="G12">
        <v>0</v>
      </c>
      <c r="H12">
        <f>SUM(Table1[[#This Row],[Passed]:[Untested]])</f>
        <v>1485</v>
      </c>
    </row>
    <row r="13" spans="1:8" ht="21.95" customHeight="1">
      <c r="A13" t="s">
        <v>47</v>
      </c>
      <c r="B13">
        <v>2031</v>
      </c>
      <c r="C13">
        <v>0</v>
      </c>
      <c r="D13">
        <v>0</v>
      </c>
      <c r="E13">
        <v>0</v>
      </c>
      <c r="F13">
        <v>5</v>
      </c>
      <c r="G13">
        <v>1</v>
      </c>
      <c r="H13">
        <f>SUM(Table1[[#This Row],[Passed]:[Untested]])</f>
        <v>2037</v>
      </c>
    </row>
    <row r="14" spans="1:8" ht="21.95" customHeight="1">
      <c r="A14" t="s">
        <v>49</v>
      </c>
      <c r="B14">
        <v>1755</v>
      </c>
      <c r="C14">
        <v>0</v>
      </c>
      <c r="D14">
        <v>6</v>
      </c>
      <c r="E14">
        <v>0</v>
      </c>
      <c r="F14">
        <v>0</v>
      </c>
      <c r="G14">
        <v>0</v>
      </c>
      <c r="H14">
        <f>SUM(Table1[[#This Row],[Passed]:[Untested]])</f>
        <v>1761</v>
      </c>
    </row>
    <row r="15" spans="1:8" ht="21.95" customHeight="1">
      <c r="A15" t="s">
        <v>52</v>
      </c>
      <c r="B15">
        <v>1892</v>
      </c>
      <c r="C15">
        <v>0</v>
      </c>
      <c r="D15">
        <v>9</v>
      </c>
      <c r="E15">
        <v>0</v>
      </c>
      <c r="F15">
        <v>3</v>
      </c>
      <c r="G15">
        <v>0</v>
      </c>
      <c r="H15">
        <f>SUM(Table1[[#This Row],[Passed]:[Untested]])</f>
        <v>1904</v>
      </c>
    </row>
    <row r="16" spans="1:8" ht="21.95" customHeight="1">
      <c r="A16" t="s">
        <v>53</v>
      </c>
      <c r="B16">
        <v>1642</v>
      </c>
      <c r="C16">
        <v>8</v>
      </c>
      <c r="D16">
        <v>3</v>
      </c>
      <c r="E16">
        <v>0</v>
      </c>
      <c r="F16">
        <v>23</v>
      </c>
      <c r="G16">
        <v>0</v>
      </c>
      <c r="H16">
        <f>SUM(Table1[[#This Row],[Passed]:[Untested]])</f>
        <v>1676</v>
      </c>
    </row>
    <row r="17" spans="1:8" ht="21.95" customHeight="1">
      <c r="A17" t="s">
        <v>82</v>
      </c>
      <c r="B17">
        <v>1350</v>
      </c>
      <c r="C17">
        <v>8</v>
      </c>
      <c r="D17">
        <v>10</v>
      </c>
      <c r="E17">
        <v>2</v>
      </c>
      <c r="F17">
        <v>4</v>
      </c>
      <c r="G17">
        <v>0</v>
      </c>
      <c r="H17">
        <f>SUM(Table1[[#This Row],[Passed]:[Untested]])</f>
        <v>1374</v>
      </c>
    </row>
    <row r="18" spans="1:8" ht="21.95" customHeight="1">
      <c r="A18" t="s">
        <v>87</v>
      </c>
      <c r="B18">
        <v>860</v>
      </c>
      <c r="C18">
        <v>0</v>
      </c>
      <c r="D18">
        <v>4</v>
      </c>
      <c r="E18">
        <v>2</v>
      </c>
      <c r="F18">
        <v>0</v>
      </c>
      <c r="G18">
        <v>0</v>
      </c>
      <c r="H18">
        <f>SUM(Table1[[#This Row],[Passed]:[Untested]])</f>
        <v>866</v>
      </c>
    </row>
    <row r="19" spans="1:8" ht="21.95" customHeight="1">
      <c r="A19" t="s">
        <v>93</v>
      </c>
      <c r="B19">
        <v>572</v>
      </c>
      <c r="C19">
        <v>0</v>
      </c>
      <c r="D19">
        <v>1</v>
      </c>
      <c r="E19">
        <v>4</v>
      </c>
      <c r="F19">
        <v>6</v>
      </c>
      <c r="G19">
        <v>9</v>
      </c>
      <c r="H19">
        <f>SUM(Table1[[#This Row],[Passed]:[Untested]])</f>
        <v>592</v>
      </c>
    </row>
    <row r="20" spans="1:8" ht="21.95" customHeight="1">
      <c r="A20" t="s">
        <v>105</v>
      </c>
      <c r="B20">
        <f>179+67</f>
        <v>246</v>
      </c>
      <c r="C20">
        <v>0</v>
      </c>
      <c r="D20">
        <v>2</v>
      </c>
      <c r="E20">
        <v>0</v>
      </c>
      <c r="F20">
        <v>0</v>
      </c>
      <c r="G20">
        <v>0</v>
      </c>
      <c r="H20">
        <f>SUM(Table1[[#This Row],[Passed]:[Untested]])</f>
        <v>248</v>
      </c>
    </row>
    <row r="21" spans="1:8" ht="21.95" customHeight="1">
      <c r="A21" t="s">
        <v>111</v>
      </c>
      <c r="B21">
        <v>21</v>
      </c>
      <c r="C21">
        <v>0</v>
      </c>
      <c r="D21">
        <v>0</v>
      </c>
      <c r="E21">
        <v>0</v>
      </c>
      <c r="F21">
        <v>0</v>
      </c>
      <c r="G21">
        <v>506</v>
      </c>
      <c r="H21">
        <f>SUM(Table1[[#This Row],[Passed]:[Untested]])</f>
        <v>527</v>
      </c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6EDF6-834F-DA49-B3FC-BFE1673433AB}">
  <dimension ref="A1:H40"/>
  <sheetViews>
    <sheetView topLeftCell="A16" zoomScaleNormal="100" workbookViewId="0">
      <selection activeCell="K35" sqref="K35"/>
    </sheetView>
  </sheetViews>
  <sheetFormatPr defaultColWidth="11.5546875" defaultRowHeight="15"/>
  <cols>
    <col min="1" max="1" width="12.21875" customWidth="1"/>
    <col min="2" max="7" width="15.77734375" customWidth="1"/>
  </cols>
  <sheetData>
    <row r="1" spans="1:8" ht="20.100000000000001" customHeight="1">
      <c r="A1" s="2" t="s">
        <v>32</v>
      </c>
      <c r="B1" s="2" t="s">
        <v>11</v>
      </c>
      <c r="C1" s="2" t="s">
        <v>16</v>
      </c>
      <c r="D1" s="2" t="s">
        <v>12</v>
      </c>
      <c r="E1" s="2" t="s">
        <v>13</v>
      </c>
      <c r="F1" s="2" t="s">
        <v>14</v>
      </c>
      <c r="G1" s="2" t="s">
        <v>15</v>
      </c>
      <c r="H1" s="2" t="s">
        <v>3</v>
      </c>
    </row>
    <row r="2" spans="1:8" ht="20.100000000000001" customHeight="1">
      <c r="A2" s="3" t="s">
        <v>78</v>
      </c>
      <c r="B2">
        <v>38</v>
      </c>
      <c r="C2">
        <v>1</v>
      </c>
      <c r="D2">
        <v>0</v>
      </c>
      <c r="E2">
        <v>4</v>
      </c>
      <c r="F2">
        <v>11</v>
      </c>
      <c r="G2">
        <v>0</v>
      </c>
      <c r="H2">
        <f>SUM(Table3[[#This Row],[Passed]:[Untested]])</f>
        <v>54</v>
      </c>
    </row>
    <row r="3" spans="1:8" ht="20.100000000000001" customHeight="1">
      <c r="A3" s="3" t="s">
        <v>79</v>
      </c>
    </row>
    <row r="4" spans="1:8" ht="20.100000000000001" customHeight="1">
      <c r="A4" s="3" t="s">
        <v>80</v>
      </c>
      <c r="B4">
        <v>43</v>
      </c>
      <c r="C4">
        <v>0</v>
      </c>
      <c r="D4">
        <v>10</v>
      </c>
      <c r="E4">
        <v>0</v>
      </c>
      <c r="F4">
        <v>1</v>
      </c>
      <c r="G4">
        <v>0</v>
      </c>
      <c r="H4">
        <f>SUM(Table3[[#This Row],[Passed]:[Untested]])</f>
        <v>54</v>
      </c>
    </row>
    <row r="5" spans="1:8" ht="20.100000000000001" customHeight="1">
      <c r="A5" s="3" t="s">
        <v>81</v>
      </c>
    </row>
    <row r="6" spans="1:8" ht="20.100000000000001" customHeight="1">
      <c r="A6" s="3" t="s">
        <v>69</v>
      </c>
      <c r="B6">
        <v>58</v>
      </c>
      <c r="C6">
        <v>0</v>
      </c>
      <c r="D6">
        <v>2</v>
      </c>
      <c r="E6">
        <v>2</v>
      </c>
      <c r="F6">
        <v>5</v>
      </c>
      <c r="G6">
        <v>0</v>
      </c>
      <c r="H6">
        <f>SUM(Table3[[#This Row],[Passed]:[Untested]])</f>
        <v>67</v>
      </c>
    </row>
    <row r="7" spans="1:8" ht="20.100000000000001" customHeight="1">
      <c r="A7" s="3" t="s">
        <v>70</v>
      </c>
    </row>
    <row r="8" spans="1:8" ht="20.100000000000001" customHeight="1">
      <c r="A8" s="3" t="s">
        <v>71</v>
      </c>
      <c r="B8">
        <v>76</v>
      </c>
      <c r="C8">
        <v>0</v>
      </c>
      <c r="D8">
        <v>7</v>
      </c>
      <c r="E8">
        <v>5</v>
      </c>
      <c r="F8">
        <v>2</v>
      </c>
      <c r="G8">
        <v>0</v>
      </c>
      <c r="H8">
        <f>SUM(Table3[[#This Row],[Passed]:[Untested]])</f>
        <v>90</v>
      </c>
    </row>
    <row r="9" spans="1:8" ht="20.100000000000001" customHeight="1">
      <c r="A9" s="3" t="s">
        <v>72</v>
      </c>
    </row>
    <row r="10" spans="1:8" ht="20.100000000000001" customHeight="1">
      <c r="A10" s="3" t="s">
        <v>73</v>
      </c>
      <c r="B10">
        <v>121</v>
      </c>
      <c r="C10">
        <v>1</v>
      </c>
      <c r="D10">
        <v>9</v>
      </c>
      <c r="E10">
        <v>10</v>
      </c>
      <c r="F10">
        <v>4</v>
      </c>
      <c r="G10">
        <v>0</v>
      </c>
      <c r="H10">
        <f>SUM(Table3[[#This Row],[Passed]:[Untested]])</f>
        <v>145</v>
      </c>
    </row>
    <row r="11" spans="1:8" ht="20.100000000000001" customHeight="1">
      <c r="A11" s="3" t="s">
        <v>74</v>
      </c>
    </row>
    <row r="12" spans="1:8" ht="20.100000000000001" customHeight="1">
      <c r="A12" s="3" t="s">
        <v>75</v>
      </c>
      <c r="B12">
        <v>148</v>
      </c>
      <c r="C12">
        <v>0</v>
      </c>
      <c r="D12">
        <v>6</v>
      </c>
      <c r="E12">
        <v>3</v>
      </c>
      <c r="F12">
        <v>4</v>
      </c>
      <c r="G12">
        <v>0</v>
      </c>
      <c r="H12">
        <f>SUM(Table3[[#This Row],[Passed]:[Untested]])</f>
        <v>161</v>
      </c>
    </row>
    <row r="13" spans="1:8" ht="20.100000000000001" customHeight="1">
      <c r="A13" s="3" t="s">
        <v>76</v>
      </c>
    </row>
    <row r="14" spans="1:8" ht="20.100000000000001" customHeight="1">
      <c r="A14" s="3" t="s">
        <v>77</v>
      </c>
      <c r="B14" s="10">
        <v>148</v>
      </c>
      <c r="C14" s="10">
        <v>1</v>
      </c>
      <c r="D14" s="10">
        <v>15</v>
      </c>
      <c r="E14" s="10">
        <v>2</v>
      </c>
      <c r="F14" s="10">
        <v>1</v>
      </c>
      <c r="G14" s="10">
        <v>0</v>
      </c>
      <c r="H14" s="11">
        <f>SUM(Table3[[#This Row],[Passed]:[Untested]])</f>
        <v>167</v>
      </c>
    </row>
    <row r="15" spans="1:8" ht="20.100000000000001" customHeight="1">
      <c r="A15" s="3" t="s">
        <v>56</v>
      </c>
      <c r="H15" s="12"/>
    </row>
    <row r="16" spans="1:8" ht="20.100000000000001" customHeight="1">
      <c r="A16" s="3" t="s">
        <v>57</v>
      </c>
      <c r="B16">
        <v>231</v>
      </c>
      <c r="C16">
        <v>3</v>
      </c>
      <c r="D16">
        <v>16</v>
      </c>
      <c r="E16">
        <v>8</v>
      </c>
      <c r="F16">
        <v>1</v>
      </c>
      <c r="G16">
        <v>0</v>
      </c>
      <c r="H16" s="12">
        <f>SUM(Table3[[#This Row],[Passed]:[Untested]])</f>
        <v>259</v>
      </c>
    </row>
    <row r="17" spans="1:8" ht="20.100000000000001" customHeight="1">
      <c r="A17" s="3" t="s">
        <v>58</v>
      </c>
      <c r="H17" s="12"/>
    </row>
    <row r="18" spans="1:8" ht="20.100000000000001" customHeight="1">
      <c r="A18" s="3" t="s">
        <v>59</v>
      </c>
      <c r="B18">
        <v>249</v>
      </c>
      <c r="C18">
        <v>19</v>
      </c>
      <c r="D18">
        <v>8</v>
      </c>
      <c r="E18">
        <v>9</v>
      </c>
      <c r="F18">
        <v>0</v>
      </c>
      <c r="G18">
        <v>0</v>
      </c>
      <c r="H18" s="12">
        <f>SUM(Table3[[#This Row],[Passed]:[Untested]])</f>
        <v>285</v>
      </c>
    </row>
    <row r="19" spans="1:8" ht="20.100000000000001" customHeight="1">
      <c r="A19" s="3" t="s">
        <v>60</v>
      </c>
      <c r="B19">
        <v>155</v>
      </c>
      <c r="C19">
        <v>0</v>
      </c>
      <c r="D19">
        <v>2</v>
      </c>
      <c r="E19">
        <v>5</v>
      </c>
      <c r="F19">
        <v>0</v>
      </c>
      <c r="G19">
        <v>0</v>
      </c>
      <c r="H19" s="12">
        <f>SUM(Table3[[#This Row],[Passed]:[Untested]])</f>
        <v>162</v>
      </c>
    </row>
    <row r="20" spans="1:8" ht="20.100000000000001" customHeight="1">
      <c r="A20" s="3" t="s">
        <v>61</v>
      </c>
      <c r="B20">
        <v>225</v>
      </c>
      <c r="C20">
        <v>1</v>
      </c>
      <c r="D20">
        <v>7</v>
      </c>
      <c r="E20">
        <v>11</v>
      </c>
      <c r="F20">
        <v>2</v>
      </c>
      <c r="G20">
        <v>0</v>
      </c>
      <c r="H20" s="12">
        <f>SUM(Table3[[#This Row],[Passed]:[Untested]])</f>
        <v>246</v>
      </c>
    </row>
    <row r="21" spans="1:8" ht="20.100000000000001" customHeight="1">
      <c r="A21" s="3" t="s">
        <v>62</v>
      </c>
      <c r="B21">
        <v>281</v>
      </c>
      <c r="C21">
        <v>2</v>
      </c>
      <c r="D21">
        <v>10</v>
      </c>
      <c r="E21">
        <v>8</v>
      </c>
      <c r="F21">
        <v>2</v>
      </c>
      <c r="G21">
        <v>0</v>
      </c>
      <c r="H21" s="12">
        <f>SUM(Table3[[#This Row],[Passed]:[Untested]])</f>
        <v>303</v>
      </c>
    </row>
    <row r="22" spans="1:8" ht="20.100000000000001" customHeight="1">
      <c r="A22" s="3" t="s">
        <v>63</v>
      </c>
      <c r="B22">
        <v>291</v>
      </c>
      <c r="C22">
        <v>20</v>
      </c>
      <c r="D22">
        <v>1</v>
      </c>
      <c r="E22">
        <v>16</v>
      </c>
      <c r="F22">
        <v>3</v>
      </c>
      <c r="G22">
        <v>0</v>
      </c>
      <c r="H22" s="12">
        <f>SUM(Table3[[#This Row],[Passed]:[Untested]])</f>
        <v>331</v>
      </c>
    </row>
    <row r="23" spans="1:8" ht="20.100000000000001" customHeight="1">
      <c r="A23" s="3" t="s">
        <v>64</v>
      </c>
      <c r="B23">
        <v>267</v>
      </c>
      <c r="C23">
        <v>0</v>
      </c>
      <c r="D23">
        <v>3</v>
      </c>
      <c r="E23">
        <v>8</v>
      </c>
      <c r="F23">
        <v>1</v>
      </c>
      <c r="G23">
        <v>0</v>
      </c>
      <c r="H23" s="12">
        <f>SUM(Table3[[#This Row],[Passed]:[Untested]])</f>
        <v>279</v>
      </c>
    </row>
    <row r="24" spans="1:8" ht="20.100000000000001" customHeight="1">
      <c r="A24" s="3" t="s">
        <v>65</v>
      </c>
      <c r="B24">
        <v>343</v>
      </c>
      <c r="C24">
        <v>0</v>
      </c>
      <c r="D24">
        <v>8</v>
      </c>
      <c r="E24">
        <v>7</v>
      </c>
      <c r="F24">
        <v>4</v>
      </c>
      <c r="G24">
        <v>0</v>
      </c>
      <c r="H24" s="12">
        <f>SUM(Table3[[#This Row],[Passed]:[Untested]])</f>
        <v>362</v>
      </c>
    </row>
    <row r="25" spans="1:8" ht="20.100000000000001" customHeight="1">
      <c r="A25" s="3" t="s">
        <v>66</v>
      </c>
      <c r="B25">
        <v>351</v>
      </c>
      <c r="C25">
        <v>3</v>
      </c>
      <c r="D25">
        <v>8</v>
      </c>
      <c r="E25">
        <v>1</v>
      </c>
      <c r="F25">
        <v>15</v>
      </c>
      <c r="G25">
        <v>0</v>
      </c>
      <c r="H25" s="12">
        <f>SUM(Table3[[#This Row],[Passed]:[Untested]])</f>
        <v>378</v>
      </c>
    </row>
    <row r="26" spans="1:8" ht="20.100000000000001" customHeight="1">
      <c r="A26" s="3" t="s">
        <v>67</v>
      </c>
      <c r="B26">
        <v>142</v>
      </c>
      <c r="C26">
        <v>0</v>
      </c>
      <c r="D26">
        <v>0</v>
      </c>
      <c r="E26">
        <v>0</v>
      </c>
      <c r="F26">
        <v>6</v>
      </c>
      <c r="G26">
        <v>0</v>
      </c>
      <c r="H26" s="12">
        <f>SUM(Table3[[#This Row],[Passed]:[Untested]])</f>
        <v>148</v>
      </c>
    </row>
    <row r="27" spans="1:8" ht="20.100000000000001" customHeight="1">
      <c r="A27" s="3" t="s">
        <v>55</v>
      </c>
      <c r="B27">
        <v>442</v>
      </c>
      <c r="C27">
        <v>8</v>
      </c>
      <c r="D27">
        <v>10</v>
      </c>
      <c r="E27">
        <v>1</v>
      </c>
      <c r="F27">
        <v>16</v>
      </c>
      <c r="G27">
        <v>0</v>
      </c>
      <c r="H27" s="12">
        <f>SUM(Table3[[#This Row],[Passed]:[Untested]])</f>
        <v>477</v>
      </c>
    </row>
    <row r="28" spans="1:8" ht="20.100000000000001" customHeight="1">
      <c r="A28" s="3" t="s">
        <v>68</v>
      </c>
      <c r="B28">
        <v>518</v>
      </c>
      <c r="C28">
        <v>4</v>
      </c>
      <c r="D28">
        <v>9</v>
      </c>
      <c r="E28">
        <v>8</v>
      </c>
      <c r="F28">
        <v>3</v>
      </c>
      <c r="G28">
        <v>0</v>
      </c>
      <c r="H28" s="12">
        <f>SUM(B28:G28)</f>
        <v>542</v>
      </c>
    </row>
    <row r="29" spans="1:8" ht="20.100000000000001" customHeight="1">
      <c r="A29" s="3" t="s">
        <v>83</v>
      </c>
      <c r="B29">
        <v>636</v>
      </c>
      <c r="C29">
        <v>3</v>
      </c>
      <c r="D29">
        <v>4</v>
      </c>
      <c r="E29">
        <v>2</v>
      </c>
      <c r="F29">
        <v>5</v>
      </c>
      <c r="G29">
        <v>0</v>
      </c>
      <c r="H29" s="12">
        <f>SUM(Table3[[#This Row],[Passed]:[Untested]])</f>
        <v>650</v>
      </c>
    </row>
    <row r="30" spans="1:8" ht="20.100000000000001" customHeight="1">
      <c r="A30" s="3" t="s">
        <v>84</v>
      </c>
      <c r="B30">
        <v>436</v>
      </c>
      <c r="C30">
        <v>4</v>
      </c>
      <c r="D30">
        <v>4</v>
      </c>
      <c r="E30">
        <v>13</v>
      </c>
      <c r="F30">
        <v>7</v>
      </c>
      <c r="G30">
        <v>0</v>
      </c>
      <c r="H30" s="12">
        <f>SUM(Table3[[#This Row],[Passed]:[Untested]])</f>
        <v>464</v>
      </c>
    </row>
    <row r="31" spans="1:8" ht="20.100000000000001" customHeight="1">
      <c r="A31" s="3" t="s">
        <v>89</v>
      </c>
      <c r="B31">
        <v>171</v>
      </c>
      <c r="C31">
        <v>6</v>
      </c>
      <c r="D31">
        <v>0</v>
      </c>
      <c r="E31">
        <v>1</v>
      </c>
      <c r="F31">
        <v>6</v>
      </c>
      <c r="G31">
        <v>0</v>
      </c>
      <c r="H31" s="12">
        <f>SUM(Table3[[#This Row],[Passed]:[Untested]])</f>
        <v>184</v>
      </c>
    </row>
    <row r="32" spans="1:8" ht="20.100000000000001" customHeight="1">
      <c r="A32" s="3" t="s">
        <v>90</v>
      </c>
      <c r="B32">
        <v>723</v>
      </c>
      <c r="C32">
        <v>12</v>
      </c>
      <c r="D32">
        <v>3</v>
      </c>
      <c r="E32">
        <v>7</v>
      </c>
      <c r="F32">
        <v>8</v>
      </c>
      <c r="G32">
        <v>0</v>
      </c>
      <c r="H32" s="12">
        <f>SUM(Table3[[#This Row],[Passed]:[Untested]])</f>
        <v>753</v>
      </c>
    </row>
    <row r="33" spans="1:8" ht="20.100000000000001" customHeight="1">
      <c r="A33" s="3" t="s">
        <v>92</v>
      </c>
      <c r="B33">
        <v>687</v>
      </c>
      <c r="C33">
        <v>1</v>
      </c>
      <c r="D33">
        <v>1</v>
      </c>
      <c r="E33">
        <v>3</v>
      </c>
      <c r="F33">
        <v>12</v>
      </c>
      <c r="G33">
        <v>0</v>
      </c>
      <c r="H33" s="12">
        <f>SUM(Table3[[#This Row],[Passed]:[Untested]])</f>
        <v>704</v>
      </c>
    </row>
    <row r="34" spans="1:8" ht="20.100000000000001" customHeight="1">
      <c r="A34" s="3" t="s">
        <v>91</v>
      </c>
      <c r="B34">
        <v>218</v>
      </c>
      <c r="C34">
        <v>0</v>
      </c>
      <c r="D34">
        <v>0</v>
      </c>
      <c r="E34">
        <v>0</v>
      </c>
      <c r="F34">
        <v>0</v>
      </c>
      <c r="G34">
        <v>0</v>
      </c>
      <c r="H34" s="12">
        <f>SUM(Table3[[#This Row],[Passed]:[Untested]])</f>
        <v>218</v>
      </c>
    </row>
    <row r="35" spans="1:8" ht="20.100000000000001" customHeight="1">
      <c r="A35" s="3" t="s">
        <v>100</v>
      </c>
      <c r="B35">
        <v>694</v>
      </c>
      <c r="C35">
        <v>0</v>
      </c>
      <c r="D35">
        <v>2</v>
      </c>
      <c r="E35">
        <v>0</v>
      </c>
      <c r="F35">
        <v>7</v>
      </c>
      <c r="G35">
        <v>0</v>
      </c>
      <c r="H35" s="12">
        <f>SUM(Table3[[#This Row],[Passed]:[Untested]])</f>
        <v>703</v>
      </c>
    </row>
    <row r="36" spans="1:8" ht="20.100000000000001" customHeight="1">
      <c r="A36" s="3" t="s">
        <v>102</v>
      </c>
      <c r="B36">
        <v>0</v>
      </c>
      <c r="C36">
        <v>0</v>
      </c>
      <c r="D36">
        <v>0</v>
      </c>
      <c r="E36">
        <v>0</v>
      </c>
      <c r="F36">
        <v>0</v>
      </c>
      <c r="G36">
        <v>508</v>
      </c>
      <c r="H36" s="12">
        <f>SUM(Table3[[#This Row],[Passed]:[Untested]])</f>
        <v>508</v>
      </c>
    </row>
    <row r="37" spans="1:8" ht="20.100000000000001" customHeight="1">
      <c r="A37" s="3" t="s">
        <v>104</v>
      </c>
      <c r="B37">
        <v>481</v>
      </c>
      <c r="C37">
        <v>14</v>
      </c>
      <c r="D37">
        <v>0</v>
      </c>
      <c r="E37">
        <v>4</v>
      </c>
      <c r="F37">
        <v>9</v>
      </c>
      <c r="G37">
        <v>0</v>
      </c>
      <c r="H37" s="12">
        <f>SUM(Table3[[#This Row],[Passed]:[Untested]])</f>
        <v>508</v>
      </c>
    </row>
    <row r="38" spans="1:8" ht="20.100000000000001" customHeight="1">
      <c r="A38" s="3" t="s">
        <v>107</v>
      </c>
      <c r="B38">
        <v>837</v>
      </c>
      <c r="C38">
        <v>0</v>
      </c>
      <c r="D38">
        <v>2</v>
      </c>
      <c r="E38">
        <v>5</v>
      </c>
      <c r="F38">
        <v>13</v>
      </c>
      <c r="G38">
        <v>0</v>
      </c>
      <c r="H38" s="12">
        <f>SUM(Table3[[#This Row],[Passed]:[Untested]])</f>
        <v>857</v>
      </c>
    </row>
    <row r="39" spans="1:8" ht="20.100000000000001" customHeight="1">
      <c r="A39" s="3" t="s">
        <v>109</v>
      </c>
      <c r="B39">
        <v>957</v>
      </c>
      <c r="C39">
        <v>0</v>
      </c>
      <c r="D39">
        <v>2</v>
      </c>
      <c r="E39">
        <v>5</v>
      </c>
      <c r="F39">
        <v>3</v>
      </c>
      <c r="G39">
        <v>0</v>
      </c>
      <c r="H39" s="12">
        <f>SUM(Table3[[#This Row],[Passed]:[Untested]])</f>
        <v>967</v>
      </c>
    </row>
    <row r="40" spans="1:8" ht="20.100000000000001" customHeight="1">
      <c r="A40" s="3" t="s">
        <v>112</v>
      </c>
      <c r="B40">
        <v>1220</v>
      </c>
      <c r="C40">
        <v>0</v>
      </c>
      <c r="D40">
        <v>4</v>
      </c>
      <c r="E40">
        <v>5</v>
      </c>
      <c r="F40">
        <v>9</v>
      </c>
      <c r="G40">
        <v>284</v>
      </c>
      <c r="H40" s="12">
        <f>SUM(Table3[[#This Row],[Passed]:[Untested]])</f>
        <v>1522</v>
      </c>
    </row>
  </sheetData>
  <phoneticPr fontId="1" type="noConversion"/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79DB4-6EC1-E840-9DE9-46C117A6F960}">
  <dimension ref="A1:H24"/>
  <sheetViews>
    <sheetView zoomScaleNormal="100" workbookViewId="0">
      <selection activeCell="A24" sqref="A24:XFD24"/>
    </sheetView>
  </sheetViews>
  <sheetFormatPr defaultColWidth="11.5546875" defaultRowHeight="15"/>
  <cols>
    <col min="1" max="1" width="10.6640625" customWidth="1"/>
    <col min="2" max="2" width="15.77734375" customWidth="1"/>
    <col min="3" max="4" width="17.21875" customWidth="1"/>
    <col min="5" max="5" width="15.88671875" customWidth="1"/>
    <col min="6" max="6" width="16.88671875" customWidth="1"/>
    <col min="7" max="7" width="14.33203125" customWidth="1"/>
    <col min="8" max="8" width="15.44140625" customWidth="1"/>
  </cols>
  <sheetData>
    <row r="1" spans="1:8">
      <c r="A1" t="s">
        <v>21</v>
      </c>
      <c r="B1" s="3" t="s">
        <v>18</v>
      </c>
      <c r="C1" s="3" t="s">
        <v>35</v>
      </c>
      <c r="D1" s="3" t="s">
        <v>17</v>
      </c>
      <c r="E1" s="3" t="s">
        <v>38</v>
      </c>
      <c r="F1" s="3" t="s">
        <v>39</v>
      </c>
      <c r="G1" s="3" t="s">
        <v>1</v>
      </c>
      <c r="H1" s="3" t="s">
        <v>3</v>
      </c>
    </row>
    <row r="2" spans="1:8">
      <c r="A2" t="s">
        <v>19</v>
      </c>
      <c r="B2">
        <v>9</v>
      </c>
      <c r="C2">
        <v>0</v>
      </c>
      <c r="D2">
        <v>0</v>
      </c>
      <c r="E2">
        <v>0</v>
      </c>
      <c r="F2">
        <v>0</v>
      </c>
      <c r="G2">
        <v>66</v>
      </c>
      <c r="H2">
        <f>SUM(Table7[[#This Row],[To Do]:[Done]])</f>
        <v>75</v>
      </c>
    </row>
    <row r="3" spans="1:8">
      <c r="A3" t="s">
        <v>20</v>
      </c>
      <c r="B3">
        <v>4</v>
      </c>
      <c r="C3">
        <v>0</v>
      </c>
      <c r="D3">
        <v>0</v>
      </c>
      <c r="E3">
        <v>0</v>
      </c>
      <c r="F3">
        <v>0</v>
      </c>
      <c r="G3">
        <v>48</v>
      </c>
      <c r="H3">
        <f>SUM(Table7[[#This Row],[To Do]:[Done]])</f>
        <v>52</v>
      </c>
    </row>
    <row r="4" spans="1:8">
      <c r="A4" t="s">
        <v>4</v>
      </c>
      <c r="B4">
        <v>14</v>
      </c>
      <c r="C4">
        <v>0</v>
      </c>
      <c r="D4">
        <v>1</v>
      </c>
      <c r="E4">
        <v>0</v>
      </c>
      <c r="F4">
        <v>0</v>
      </c>
      <c r="G4">
        <v>46</v>
      </c>
      <c r="H4">
        <f>SUM(Table7[[#This Row],[To Do]:[Done]])</f>
        <v>61</v>
      </c>
    </row>
    <row r="5" spans="1:8">
      <c r="A5" t="s">
        <v>5</v>
      </c>
      <c r="B5">
        <v>14</v>
      </c>
      <c r="C5">
        <v>0</v>
      </c>
      <c r="D5">
        <v>1</v>
      </c>
      <c r="E5">
        <v>0</v>
      </c>
      <c r="F5">
        <v>0</v>
      </c>
      <c r="G5">
        <v>34</v>
      </c>
      <c r="H5">
        <f>SUM(Table7[[#This Row],[To Do]:[Done]])</f>
        <v>49</v>
      </c>
    </row>
    <row r="6" spans="1:8">
      <c r="A6" t="s">
        <v>6</v>
      </c>
      <c r="B6">
        <v>15</v>
      </c>
      <c r="C6">
        <v>0</v>
      </c>
      <c r="D6">
        <v>0</v>
      </c>
      <c r="E6">
        <v>0</v>
      </c>
      <c r="F6">
        <v>0</v>
      </c>
      <c r="G6">
        <v>25</v>
      </c>
      <c r="H6">
        <f>SUM(Table7[[#This Row],[To Do]:[Done]])</f>
        <v>40</v>
      </c>
    </row>
    <row r="7" spans="1:8">
      <c r="A7" t="s">
        <v>7</v>
      </c>
      <c r="B7">
        <v>12</v>
      </c>
      <c r="C7">
        <v>0</v>
      </c>
      <c r="D7">
        <v>0</v>
      </c>
      <c r="E7">
        <v>0</v>
      </c>
      <c r="F7">
        <v>0</v>
      </c>
      <c r="G7">
        <v>56</v>
      </c>
      <c r="H7">
        <f>SUM(Table7[[#This Row],[To Do]:[Done]])</f>
        <v>68</v>
      </c>
    </row>
    <row r="8" spans="1:8">
      <c r="A8" t="s">
        <v>8</v>
      </c>
      <c r="B8">
        <v>8</v>
      </c>
      <c r="C8">
        <v>0</v>
      </c>
      <c r="D8">
        <v>0</v>
      </c>
      <c r="E8">
        <v>0</v>
      </c>
      <c r="F8">
        <v>0</v>
      </c>
      <c r="G8">
        <v>40</v>
      </c>
      <c r="H8">
        <f>SUM(Table7[[#This Row],[To Do]:[Done]])</f>
        <v>48</v>
      </c>
    </row>
    <row r="9" spans="1:8">
      <c r="A9" t="s">
        <v>9</v>
      </c>
      <c r="B9">
        <v>6</v>
      </c>
      <c r="C9">
        <v>0</v>
      </c>
      <c r="D9">
        <v>0</v>
      </c>
      <c r="E9">
        <v>0</v>
      </c>
      <c r="F9">
        <v>0</v>
      </c>
      <c r="G9">
        <v>33</v>
      </c>
      <c r="H9">
        <f>SUM(Table7[[#This Row],[To Do]:[Done]])</f>
        <v>39</v>
      </c>
    </row>
    <row r="10" spans="1:8">
      <c r="A10" t="s">
        <v>10</v>
      </c>
      <c r="B10">
        <v>7</v>
      </c>
      <c r="C10">
        <v>1</v>
      </c>
      <c r="D10">
        <v>0</v>
      </c>
      <c r="E10">
        <v>0</v>
      </c>
      <c r="F10">
        <v>0</v>
      </c>
      <c r="G10">
        <v>29</v>
      </c>
      <c r="H10">
        <f>SUM(Table7[[#This Row],[To Do]:[Done]])</f>
        <v>37</v>
      </c>
    </row>
    <row r="11" spans="1:8">
      <c r="A11" t="s">
        <v>37</v>
      </c>
      <c r="B11">
        <v>1</v>
      </c>
      <c r="C11">
        <v>0</v>
      </c>
      <c r="D11">
        <v>0</v>
      </c>
      <c r="E11">
        <v>0</v>
      </c>
      <c r="F11">
        <v>0</v>
      </c>
      <c r="G11">
        <v>1</v>
      </c>
      <c r="H11">
        <f>SUM(Table7[[#This Row],[To Do]:[Done]])</f>
        <v>2</v>
      </c>
    </row>
    <row r="12" spans="1:8">
      <c r="A12" t="s">
        <v>42</v>
      </c>
      <c r="B12">
        <v>12</v>
      </c>
      <c r="C12">
        <v>0</v>
      </c>
      <c r="D12">
        <v>0</v>
      </c>
      <c r="E12">
        <v>0</v>
      </c>
      <c r="F12">
        <v>0</v>
      </c>
      <c r="G12">
        <v>9</v>
      </c>
      <c r="H12">
        <f>SUM(Table7[[#This Row],[To Do]:[Done]])</f>
        <v>21</v>
      </c>
    </row>
    <row r="13" spans="1:8">
      <c r="A13" t="s">
        <v>43</v>
      </c>
      <c r="B13">
        <v>0</v>
      </c>
      <c r="C13">
        <v>0</v>
      </c>
      <c r="D13">
        <v>0</v>
      </c>
      <c r="E13">
        <v>0</v>
      </c>
      <c r="F13">
        <v>0</v>
      </c>
      <c r="G13">
        <v>12</v>
      </c>
      <c r="H13">
        <f>SUM(Table7[[#This Row],[To Do]:[Done]])</f>
        <v>12</v>
      </c>
    </row>
    <row r="14" spans="1:8">
      <c r="A14" t="s">
        <v>46</v>
      </c>
      <c r="B14">
        <v>2</v>
      </c>
      <c r="C14">
        <v>0</v>
      </c>
      <c r="D14">
        <v>0</v>
      </c>
      <c r="E14">
        <v>0</v>
      </c>
      <c r="F14">
        <v>0</v>
      </c>
      <c r="G14">
        <v>9</v>
      </c>
      <c r="H14">
        <f>SUM(Table7[[#This Row],[To Do]:[Done]])</f>
        <v>11</v>
      </c>
    </row>
    <row r="15" spans="1:8">
      <c r="A15" t="s">
        <v>47</v>
      </c>
      <c r="B15">
        <v>10</v>
      </c>
      <c r="C15">
        <v>0</v>
      </c>
      <c r="D15">
        <v>0</v>
      </c>
      <c r="E15">
        <v>0</v>
      </c>
      <c r="F15">
        <v>0</v>
      </c>
      <c r="G15">
        <v>40</v>
      </c>
      <c r="H15">
        <f>SUM(Table7[[#This Row],[To Do]:[Done]])</f>
        <v>50</v>
      </c>
    </row>
    <row r="16" spans="1:8">
      <c r="A16" t="s">
        <v>49</v>
      </c>
      <c r="B16">
        <v>0</v>
      </c>
      <c r="C16">
        <v>0</v>
      </c>
      <c r="D16">
        <v>0</v>
      </c>
      <c r="E16">
        <v>0</v>
      </c>
      <c r="F16">
        <v>0</v>
      </c>
      <c r="G16">
        <v>38</v>
      </c>
      <c r="H16">
        <f>SUM(Table7[[#This Row],[To Do]:[Done]])</f>
        <v>38</v>
      </c>
    </row>
    <row r="17" spans="1:8">
      <c r="A17" t="s">
        <v>52</v>
      </c>
      <c r="B17">
        <v>6</v>
      </c>
      <c r="C17">
        <v>1</v>
      </c>
      <c r="D17">
        <v>0</v>
      </c>
      <c r="E17">
        <v>0</v>
      </c>
      <c r="F17">
        <v>0</v>
      </c>
      <c r="G17">
        <v>35</v>
      </c>
      <c r="H17">
        <f>SUM(Table7[[#This Row],[To Do]:[Done]])</f>
        <v>42</v>
      </c>
    </row>
    <row r="18" spans="1:8">
      <c r="A18" t="s">
        <v>53</v>
      </c>
      <c r="B18">
        <v>3</v>
      </c>
      <c r="C18">
        <v>0</v>
      </c>
      <c r="D18">
        <v>0</v>
      </c>
      <c r="E18">
        <v>0</v>
      </c>
      <c r="F18">
        <v>0</v>
      </c>
      <c r="G18">
        <v>18</v>
      </c>
      <c r="H18">
        <f>SUM(Table7[[#This Row],[To Do]:[Done]])</f>
        <v>21</v>
      </c>
    </row>
    <row r="19" spans="1:8">
      <c r="A19" t="s">
        <v>82</v>
      </c>
      <c r="B19">
        <v>0</v>
      </c>
      <c r="C19">
        <v>0</v>
      </c>
      <c r="D19">
        <v>0</v>
      </c>
      <c r="E19">
        <v>0</v>
      </c>
      <c r="F19">
        <v>0</v>
      </c>
      <c r="G19">
        <v>12</v>
      </c>
      <c r="H19">
        <f>SUM(Table7[[#This Row],[To Do]:[Done]])</f>
        <v>12</v>
      </c>
    </row>
    <row r="20" spans="1:8">
      <c r="A20" t="s">
        <v>86</v>
      </c>
      <c r="B20">
        <v>1</v>
      </c>
      <c r="C20">
        <v>0</v>
      </c>
      <c r="D20">
        <v>0</v>
      </c>
      <c r="E20">
        <v>0</v>
      </c>
      <c r="F20">
        <v>0</v>
      </c>
      <c r="G20">
        <v>8</v>
      </c>
      <c r="H20" s="12">
        <f>SUM(Table7[[#This Row],[To Do]:[Done]])</f>
        <v>9</v>
      </c>
    </row>
    <row r="21" spans="1:8">
      <c r="A21" t="s">
        <v>87</v>
      </c>
      <c r="B21">
        <v>2</v>
      </c>
      <c r="C21">
        <v>0</v>
      </c>
      <c r="D21">
        <v>0</v>
      </c>
      <c r="E21">
        <v>0</v>
      </c>
      <c r="F21">
        <v>0</v>
      </c>
      <c r="G21">
        <v>8</v>
      </c>
      <c r="H21" s="12">
        <f>SUM(Table7[[#This Row],[To Do]:[Done]])</f>
        <v>10</v>
      </c>
    </row>
    <row r="22" spans="1:8">
      <c r="A22" t="s">
        <v>93</v>
      </c>
      <c r="B22">
        <v>9</v>
      </c>
      <c r="C22">
        <v>0</v>
      </c>
      <c r="D22">
        <v>0</v>
      </c>
      <c r="E22">
        <v>0</v>
      </c>
      <c r="F22">
        <v>0</v>
      </c>
      <c r="G22">
        <v>41</v>
      </c>
      <c r="H22">
        <f>SUM(Table7[[#This Row],[To Do]:[Done]])</f>
        <v>50</v>
      </c>
    </row>
    <row r="23" spans="1:8">
      <c r="A23" t="s">
        <v>105</v>
      </c>
      <c r="B23">
        <v>1</v>
      </c>
      <c r="C23">
        <v>0</v>
      </c>
      <c r="D23">
        <v>0</v>
      </c>
      <c r="E23">
        <v>0</v>
      </c>
      <c r="F23">
        <v>0</v>
      </c>
      <c r="G23">
        <v>3</v>
      </c>
      <c r="H23" s="12">
        <f>SUM(Table7[[#This Row],[To Do]:[Done]])</f>
        <v>4</v>
      </c>
    </row>
    <row r="24" spans="1:8">
      <c r="A24" t="s">
        <v>111</v>
      </c>
      <c r="B24">
        <v>0</v>
      </c>
      <c r="C24">
        <v>0</v>
      </c>
      <c r="D24">
        <v>0</v>
      </c>
      <c r="E24">
        <v>1</v>
      </c>
      <c r="F24">
        <v>0</v>
      </c>
      <c r="G24">
        <v>2</v>
      </c>
      <c r="H24" s="12">
        <f>SUM(Table7[[#This Row],[To Do]:[Done]])</f>
        <v>3</v>
      </c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87DEB-55FC-DC4E-A4B1-F7171B8F3237}">
  <dimension ref="A1:I24"/>
  <sheetViews>
    <sheetView zoomScaleNormal="100" workbookViewId="0">
      <selection activeCell="H3" sqref="H3"/>
    </sheetView>
  </sheetViews>
  <sheetFormatPr defaultColWidth="11.5546875" defaultRowHeight="15"/>
  <cols>
    <col min="1" max="1" width="11.21875" customWidth="1"/>
    <col min="2" max="2" width="18.44140625" customWidth="1"/>
    <col min="3" max="3" width="23.21875" customWidth="1"/>
    <col min="4" max="4" width="23.109375" customWidth="1"/>
    <col min="5" max="5" width="18.109375" customWidth="1"/>
    <col min="6" max="6" width="29.33203125" customWidth="1"/>
    <col min="7" max="8" width="20.109375" customWidth="1"/>
    <col min="9" max="9" width="14.21875" customWidth="1"/>
  </cols>
  <sheetData>
    <row r="1" spans="1:9" ht="21" thickBot="1">
      <c r="A1" s="6" t="s">
        <v>22</v>
      </c>
      <c r="B1" s="7" t="s">
        <v>23</v>
      </c>
      <c r="C1" s="7" t="s">
        <v>27</v>
      </c>
      <c r="D1" s="7" t="s">
        <v>40</v>
      </c>
      <c r="E1" s="7" t="s">
        <v>25</v>
      </c>
      <c r="F1" s="7" t="s">
        <v>54</v>
      </c>
      <c r="G1" s="7" t="s">
        <v>24</v>
      </c>
      <c r="H1" s="8" t="s">
        <v>26</v>
      </c>
      <c r="I1" s="9" t="s">
        <v>3</v>
      </c>
    </row>
    <row r="2" spans="1:9" ht="18" thickBot="1">
      <c r="A2" s="4" t="s">
        <v>99</v>
      </c>
      <c r="B2" s="5">
        <v>32</v>
      </c>
      <c r="C2" s="5">
        <v>0</v>
      </c>
      <c r="D2" s="5">
        <v>0</v>
      </c>
      <c r="E2" s="5">
        <v>0</v>
      </c>
      <c r="F2" s="5">
        <v>0</v>
      </c>
      <c r="G2" s="5">
        <v>6</v>
      </c>
      <c r="H2" s="5">
        <v>3</v>
      </c>
      <c r="I2" s="15">
        <f>SUM(Table5[[#This Row],[To Do (0%)]:[WON''T DO (100%)]])</f>
        <v>41</v>
      </c>
    </row>
    <row r="3" spans="1:9" ht="18" thickBot="1">
      <c r="A3" s="4" t="s">
        <v>106</v>
      </c>
      <c r="B3" s="5">
        <v>1</v>
      </c>
      <c r="C3" s="5">
        <v>0</v>
      </c>
      <c r="D3" s="5">
        <v>0</v>
      </c>
      <c r="E3" s="5">
        <v>0</v>
      </c>
      <c r="F3" s="5">
        <v>0</v>
      </c>
      <c r="G3" s="5">
        <v>39</v>
      </c>
      <c r="H3" s="5">
        <v>2</v>
      </c>
      <c r="I3" s="5">
        <f>SUM(Table5[[#This Row],[To Do (0%)]:[WON''T DO (100%)]])</f>
        <v>42</v>
      </c>
    </row>
    <row r="4" spans="1:9" ht="18" thickBot="1">
      <c r="A4" s="4" t="s">
        <v>28</v>
      </c>
      <c r="B4" s="5">
        <v>1</v>
      </c>
      <c r="C4" s="5">
        <v>0</v>
      </c>
      <c r="D4" s="5">
        <v>0</v>
      </c>
      <c r="E4" s="5">
        <v>0</v>
      </c>
      <c r="F4" s="5">
        <v>0</v>
      </c>
      <c r="G4" s="5">
        <v>42</v>
      </c>
      <c r="H4" s="5">
        <v>3</v>
      </c>
      <c r="I4" s="5">
        <f>SUM(Table5[[#This Row],[To Do (0%)]:[WON''T DO (100%)]])</f>
        <v>46</v>
      </c>
    </row>
    <row r="5" spans="1:9" ht="18" thickBot="1">
      <c r="A5" s="4" t="s">
        <v>29</v>
      </c>
      <c r="B5" s="5">
        <v>1</v>
      </c>
      <c r="C5" s="5">
        <v>0</v>
      </c>
      <c r="D5" s="5">
        <v>0</v>
      </c>
      <c r="E5" s="5">
        <v>0</v>
      </c>
      <c r="F5" s="5">
        <v>0</v>
      </c>
      <c r="G5" s="5">
        <v>48</v>
      </c>
      <c r="H5" s="5">
        <v>4</v>
      </c>
      <c r="I5" s="5">
        <f>SUM(Table5[[#This Row],[To Do (0%)]:[WON''T DO (100%)]])</f>
        <v>53</v>
      </c>
    </row>
    <row r="6" spans="1:9" ht="18" thickBot="1">
      <c r="A6" s="4" t="s">
        <v>30</v>
      </c>
      <c r="B6" s="5">
        <v>1</v>
      </c>
      <c r="C6" s="5">
        <v>0</v>
      </c>
      <c r="D6" s="5">
        <v>0</v>
      </c>
      <c r="E6" s="5">
        <v>0</v>
      </c>
      <c r="F6" s="5">
        <v>0</v>
      </c>
      <c r="G6" s="5">
        <v>19</v>
      </c>
      <c r="H6" s="5">
        <v>0</v>
      </c>
      <c r="I6" s="5">
        <f>SUM(Table5[[#This Row],[To Do (0%)]:[WON''T DO (100%)]])</f>
        <v>20</v>
      </c>
    </row>
    <row r="7" spans="1:9" ht="18" thickBot="1">
      <c r="A7" s="4" t="s">
        <v>31</v>
      </c>
      <c r="B7" s="5">
        <v>3</v>
      </c>
      <c r="C7" s="5">
        <v>0</v>
      </c>
      <c r="D7" s="5">
        <v>0</v>
      </c>
      <c r="E7" s="5">
        <v>0</v>
      </c>
      <c r="F7" s="5">
        <v>0</v>
      </c>
      <c r="G7" s="5">
        <v>29</v>
      </c>
      <c r="H7" s="5">
        <v>0</v>
      </c>
      <c r="I7" s="5">
        <f>SUM(Table5[[#This Row],[To Do (0%)]:[WON''T DO (100%)]])</f>
        <v>32</v>
      </c>
    </row>
    <row r="8" spans="1:9" ht="18" thickBot="1">
      <c r="A8" s="4" t="s">
        <v>33</v>
      </c>
      <c r="B8" s="5">
        <v>3</v>
      </c>
      <c r="C8" s="5">
        <v>0</v>
      </c>
      <c r="D8" s="5">
        <v>0</v>
      </c>
      <c r="E8" s="5">
        <v>0</v>
      </c>
      <c r="F8" s="5">
        <v>0</v>
      </c>
      <c r="G8" s="5">
        <v>50</v>
      </c>
      <c r="H8" s="5">
        <v>0</v>
      </c>
      <c r="I8" s="5">
        <f>SUM(Table5[[#This Row],[To Do (0%)]:[WON''T DO (100%)]])</f>
        <v>53</v>
      </c>
    </row>
    <row r="9" spans="1:9" ht="18" thickBot="1">
      <c r="A9" s="4" t="s">
        <v>34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24</v>
      </c>
      <c r="H9" s="5">
        <v>1</v>
      </c>
      <c r="I9" s="5">
        <f>SUM(Table5[[#This Row],[To Do (0%)]:[WON''T DO (100%)]])</f>
        <v>25</v>
      </c>
    </row>
    <row r="10" spans="1:9" ht="18" thickBot="1">
      <c r="A10" s="4" t="s">
        <v>41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43</v>
      </c>
      <c r="H10" s="5">
        <v>0</v>
      </c>
      <c r="I10" s="5">
        <f>SUM(Table5[[#This Row],[To Do (0%)]:[WON''T DO (100%)]])</f>
        <v>43</v>
      </c>
    </row>
    <row r="11" spans="1:9" ht="18" thickBot="1">
      <c r="A11" s="4" t="s">
        <v>44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35</v>
      </c>
      <c r="H11" s="5">
        <v>0</v>
      </c>
      <c r="I11" s="5">
        <f>SUM(Table5[[#This Row],[To Do (0%)]:[WON''T DO (100%)]])</f>
        <v>35</v>
      </c>
    </row>
    <row r="12" spans="1:9" ht="18" thickBot="1">
      <c r="A12" s="4" t="s">
        <v>45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29</v>
      </c>
      <c r="H12" s="5">
        <v>0</v>
      </c>
      <c r="I12" s="5">
        <f>SUM(Table5[[#This Row],[To Do (0%)]:[WON''T DO (100%)]])</f>
        <v>29</v>
      </c>
    </row>
    <row r="13" spans="1:9" ht="18" thickBot="1">
      <c r="A13" s="4" t="s">
        <v>48</v>
      </c>
      <c r="B13" s="5">
        <v>3</v>
      </c>
      <c r="C13" s="5">
        <v>0</v>
      </c>
      <c r="D13" s="5">
        <v>0</v>
      </c>
      <c r="E13" s="5">
        <v>0</v>
      </c>
      <c r="F13" s="5">
        <v>0</v>
      </c>
      <c r="G13" s="5">
        <v>41</v>
      </c>
      <c r="H13" s="5">
        <v>0</v>
      </c>
      <c r="I13" s="5">
        <f>SUM(Table5[[#This Row],[To Do (0%)]:[WON''T DO (100%)]])</f>
        <v>44</v>
      </c>
    </row>
    <row r="14" spans="1:9" ht="18" thickBot="1">
      <c r="A14" s="4" t="s">
        <v>50</v>
      </c>
      <c r="B14" s="5">
        <v>3</v>
      </c>
      <c r="C14" s="5">
        <v>0</v>
      </c>
      <c r="D14" s="5">
        <v>0</v>
      </c>
      <c r="E14" s="5">
        <v>0</v>
      </c>
      <c r="F14" s="5">
        <v>0</v>
      </c>
      <c r="G14" s="5">
        <v>33</v>
      </c>
      <c r="H14" s="5">
        <v>0</v>
      </c>
      <c r="I14" s="5">
        <f>SUM(Table5[[#This Row],[To Do (0%)]:[WON''T DO (100%)]])</f>
        <v>36</v>
      </c>
    </row>
    <row r="15" spans="1:9" ht="18" thickBot="1">
      <c r="A15" s="4" t="s">
        <v>51</v>
      </c>
      <c r="B15" s="5">
        <v>4</v>
      </c>
      <c r="C15" s="5">
        <v>0</v>
      </c>
      <c r="D15" s="5">
        <v>0</v>
      </c>
      <c r="E15" s="5">
        <v>0</v>
      </c>
      <c r="F15" s="5">
        <v>0</v>
      </c>
      <c r="G15" s="5">
        <v>32</v>
      </c>
      <c r="H15" s="5">
        <v>0</v>
      </c>
      <c r="I15" s="5">
        <f>SUM(Table5[[#This Row],[To Do (0%)]:[WON''T DO (100%)]])</f>
        <v>36</v>
      </c>
    </row>
    <row r="16" spans="1:9" ht="18" thickBot="1">
      <c r="A16" s="4" t="s">
        <v>94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31</v>
      </c>
      <c r="H16" s="5">
        <v>0</v>
      </c>
      <c r="I16" s="5">
        <f>SUM(Table5[[#This Row],[To Do (0%)]:[WON''T DO (100%)]])</f>
        <v>31</v>
      </c>
    </row>
    <row r="17" spans="1:9" ht="18" thickBot="1">
      <c r="A17" s="4" t="s">
        <v>95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33</v>
      </c>
      <c r="H17" s="5">
        <v>3</v>
      </c>
      <c r="I17" s="15">
        <f>SUM(Table5[[#This Row],[To Do (0%)]:[WON''T DO (100%)]])</f>
        <v>36</v>
      </c>
    </row>
    <row r="18" spans="1:9" ht="18" thickBot="1">
      <c r="A18" s="4" t="s">
        <v>96</v>
      </c>
      <c r="B18" s="5">
        <v>3</v>
      </c>
      <c r="C18" s="5">
        <v>0</v>
      </c>
      <c r="D18" s="5">
        <v>0</v>
      </c>
      <c r="E18" s="5">
        <v>0</v>
      </c>
      <c r="F18" s="5">
        <v>0</v>
      </c>
      <c r="G18" s="5">
        <v>28</v>
      </c>
      <c r="H18" s="5">
        <v>6</v>
      </c>
      <c r="I18" s="5">
        <f>SUM(Table5[[#This Row],[To Do (0%)]:[WON''T DO (100%)]])</f>
        <v>37</v>
      </c>
    </row>
    <row r="19" spans="1:9" ht="18" thickBot="1">
      <c r="A19" s="4" t="s">
        <v>97</v>
      </c>
      <c r="B19" s="5">
        <v>3</v>
      </c>
      <c r="C19" s="5">
        <v>1</v>
      </c>
      <c r="D19" s="5">
        <v>0</v>
      </c>
      <c r="E19" s="5">
        <v>0</v>
      </c>
      <c r="F19" s="5">
        <v>0</v>
      </c>
      <c r="G19" s="5">
        <v>14</v>
      </c>
      <c r="H19" s="5">
        <v>8</v>
      </c>
      <c r="I19" s="15">
        <f>SUM(Table5[[#This Row],[To Do (0%)]:[WON''T DO (100%)]])</f>
        <v>26</v>
      </c>
    </row>
    <row r="20" spans="1:9" ht="18" thickBot="1">
      <c r="A20" s="4" t="s">
        <v>88</v>
      </c>
      <c r="B20" s="5">
        <v>2</v>
      </c>
      <c r="C20" s="5">
        <v>1</v>
      </c>
      <c r="D20" s="5">
        <v>0</v>
      </c>
      <c r="E20" s="5">
        <v>0</v>
      </c>
      <c r="F20" s="5">
        <v>0</v>
      </c>
      <c r="G20" s="5">
        <v>14</v>
      </c>
      <c r="H20" s="5">
        <v>10</v>
      </c>
      <c r="I20" s="15">
        <f>SUM(Table5[[#This Row],[To Do (0%)]:[WON''T DO (100%)]])</f>
        <v>27</v>
      </c>
    </row>
    <row r="21" spans="1:9" ht="18" thickBot="1">
      <c r="A21" s="4" t="s">
        <v>98</v>
      </c>
      <c r="B21" s="5">
        <v>2</v>
      </c>
      <c r="C21" s="5">
        <v>1</v>
      </c>
      <c r="D21" s="5">
        <v>0</v>
      </c>
      <c r="E21" s="5">
        <v>0</v>
      </c>
      <c r="F21" s="5">
        <v>0</v>
      </c>
      <c r="G21" s="5">
        <v>19</v>
      </c>
      <c r="H21" s="5">
        <v>1</v>
      </c>
      <c r="I21" s="15">
        <f>SUM(Table5[[#This Row],[To Do (0%)]:[WON''T DO (100%)]])</f>
        <v>23</v>
      </c>
    </row>
    <row r="22" spans="1:9" ht="18" thickBot="1">
      <c r="A22" s="4" t="s">
        <v>101</v>
      </c>
      <c r="B22" s="5">
        <v>1</v>
      </c>
      <c r="C22" s="5">
        <v>0</v>
      </c>
      <c r="D22" s="5">
        <v>0</v>
      </c>
      <c r="E22" s="5">
        <v>0</v>
      </c>
      <c r="F22" s="5">
        <v>0</v>
      </c>
      <c r="G22" s="5">
        <v>10</v>
      </c>
      <c r="H22" s="5">
        <v>0</v>
      </c>
      <c r="I22" s="15">
        <f>SUM(Table5[[#This Row],[To Do (0%)]:[WON''T DO (100%)]])</f>
        <v>11</v>
      </c>
    </row>
    <row r="23" spans="1:9" ht="18" thickBot="1">
      <c r="A23" s="4" t="s">
        <v>103</v>
      </c>
      <c r="B23" s="5">
        <v>11</v>
      </c>
      <c r="C23" s="5">
        <v>1</v>
      </c>
      <c r="D23" s="5">
        <v>0</v>
      </c>
      <c r="E23" s="5">
        <v>3</v>
      </c>
      <c r="F23" s="5">
        <v>5</v>
      </c>
      <c r="G23" s="5">
        <v>9</v>
      </c>
      <c r="H23" s="5">
        <v>1</v>
      </c>
      <c r="I23" s="15">
        <f>SUM(Table5[[#This Row],[To Do (0%)]:[WON''T DO (100%)]])</f>
        <v>30</v>
      </c>
    </row>
    <row r="24" spans="1:9" ht="18" thickBot="1">
      <c r="A24" s="4" t="s">
        <v>110</v>
      </c>
      <c r="B24" s="5">
        <v>12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15">
        <f>SUM(Table5[[#This Row],[To Do (0%)]:[WON''T DO (100%)]])</f>
        <v>12</v>
      </c>
    </row>
  </sheetData>
  <phoneticPr fontId="1" type="noConversion"/>
  <hyperlinks>
    <hyperlink ref="B2" r:id="rId1" display="https://xrspace.atlassian.net/issues/?jql=created+%3E%3D+2025-02-01+AND+created+%3C%3D+2026-12-31+AND+type+%3D+Bug+AND+project+%3D+SOVA+AND+Sprint+%3D+2915+AND+status+%3D+%22To+Do+%280%25%29%22" xr:uid="{ECC2139E-791E-4770-9749-924C8171413E}"/>
    <hyperlink ref="D2" r:id="rId2" display="https://xrspace.atlassian.net/issues/?jql=created+%3E%3D+2025-02-01+AND+created+%3C%3D+2026-12-31+AND+type+%3D+Bug+AND+project+%3D+SOVA+AND+Sprint+%3D+2915+AND+status+%3D+%22In+Progress+%2850+%7E+70%25%29%22" xr:uid="{A3490D76-D554-40B0-94C2-6BCE62D65128}"/>
    <hyperlink ref="G2" r:id="rId3" display="https://xrspace.atlassian.net/issues/?jql=created+%3E%3D+2025-02-01+AND+created+%3C%3D+2026-12-31+AND+type+%3D+Bug+AND+project+%3D+SOVA+AND+Sprint+%3D+2915+AND+status+%3D+%22Done+%28100%25%29%22" xr:uid="{E73331BD-FAD2-46B3-9C4A-B1F1944F18FC}"/>
    <hyperlink ref="E2" r:id="rId4" display="https://xrspace.atlassian.net/issues/?jql=created+%3E%3D+2025-02-01+AND+created+%3C%3D+2026-12-31+AND+type+%3D+Bug+AND+project+%3D+SOVA+AND+Sprint+%3D+2915+AND+status+%3D+%22IN+REVIEW+%2880%25%29%22" xr:uid="{363312FF-8351-469B-A0E2-96F2CEBC31DF}"/>
    <hyperlink ref="H2" r:id="rId5" display="https://xrspace.atlassian.net/issues/?jql=created+%3E%3D+2025-02-01+AND+created+%3C%3D+2026-12-31+AND+type+%3D+Bug+AND+project+%3D+SOVA+AND+Sprint+%3D+2915+AND+status+%3D+%22WON%27T+DO+%28100%25%29%22" xr:uid="{33FD27D8-D06C-4600-84C6-9AF958F84B2B}"/>
    <hyperlink ref="C2" r:id="rId6" display="https://xrspace.atlassian.net/issues/?jql=created+%3E%3D+2025-02-01+AND+created+%3C%3D+2026-12-31+AND+type+%3D+Bug+AND+project+%3D+SOVA+AND+Sprint+%3D+2915+AND+status+%3D+%22STARTING+%2810+%7E+40%25%29%22" xr:uid="{C0932090-8C86-4ADD-B05E-5218E24825BD}"/>
    <hyperlink ref="F2" r:id="rId7" display="https://xrspace.atlassian.net/issues/?jql=created+%3E%3D+2025-02-01+AND+created+%3C%3D+2026-12-31+AND+type+%3D+Bug+AND+project+%3D+SOVA+AND+Sprint+%3D+2915+AND+status+%3D+%22READY+FOR+TESTING+%2890%25%29%22" xr:uid="{A689B4DB-1B76-459A-A757-14C2A4E04261}"/>
    <hyperlink ref="B3" r:id="rId8" display="https://xrspace.atlassian.net/issues/?jql=created+%3E%3D+2025-02-01+AND+created+%3C%3D+2026-12-31+AND+type+%3D+Bug+AND+project+%3D+SOVA+AND+Sprint+%3D+2156+AND+status+%3D+%22To+Do+%280%25%29%22" xr:uid="{A5CAF974-56E2-4541-BBC1-3EB2AFE89540}"/>
    <hyperlink ref="D3" r:id="rId9" display="https://xrspace.atlassian.net/issues/?jql=created+%3E%3D+2025-02-01+AND+created+%3C%3D+2026-12-31+AND+type+%3D+Bug+AND+project+%3D+SOVA+AND+Sprint+%3D+2156+AND+status+%3D+%22In+Progress+%2850+%7E+70%25%29%22" xr:uid="{0576CFE6-25FE-4850-A50C-D4EF9C5C288D}"/>
    <hyperlink ref="G3" r:id="rId10" display="https://xrspace.atlassian.net/issues/?jql=created+%3E%3D+2025-02-01+AND+created+%3C%3D+2026-12-31+AND+type+%3D+Bug+AND+project+%3D+SOVA+AND+Sprint+%3D+2156+AND+status+%3D+%22Done+%28100%25%29%22" xr:uid="{6A3726CF-7A79-4DB0-A35D-01076E6C4CD2}"/>
    <hyperlink ref="E3" r:id="rId11" display="https://xrspace.atlassian.net/issues/?jql=created+%3E%3D+2025-02-01+AND+created+%3C%3D+2026-12-31+AND+type+%3D+Bug+AND+project+%3D+SOVA+AND+Sprint+%3D+2156+AND+status+%3D+%22IN+REVIEW+%2880%25%29%22" xr:uid="{AC29D7F9-DB7F-4161-BB80-C72D1BBBF39E}"/>
    <hyperlink ref="H3" r:id="rId12" display="https://xrspace.atlassian.net/issues/?jql=created+%3E%3D+2025-02-01+AND+created+%3C%3D+2026-12-31+AND+type+%3D+Bug+AND+project+%3D+SOVA+AND+Sprint+%3D+2156+AND+status+%3D+%22WON%27T+DO+%28100%25%29%22" xr:uid="{357E5794-FD1F-4928-96FA-1C3EF0E080E5}"/>
    <hyperlink ref="C3" r:id="rId13" display="https://xrspace.atlassian.net/issues/?jql=created+%3E%3D+2025-02-01+AND+created+%3C%3D+2026-12-31+AND+type+%3D+Bug+AND+project+%3D+SOVA+AND+Sprint+%3D+2156+AND+status+%3D+%22STARTING+%2810+%7E+40%25%29%22" xr:uid="{4B4462C8-BD6A-4208-93D3-C2D52A2AD585}"/>
    <hyperlink ref="F3" r:id="rId14" display="https://xrspace.atlassian.net/issues/?jql=created+%3E%3D+2025-02-01+AND+created+%3C%3D+2026-12-31+AND+type+%3D+Bug+AND+project+%3D+SOVA+AND+Sprint+%3D+2156+AND+status+%3D+%22READY+FOR+TESTING+%2890%25%29%22" xr:uid="{F3F7DF96-A9FE-4C8F-A0BD-D531A4B077EF}"/>
    <hyperlink ref="B4" r:id="rId15" display="https://xrspace.atlassian.net/issues/?jql=created+%3E%3D+2025-02-01+AND+created+%3C%3D+2026-12-31+AND+type+%3D+Bug+AND+project+%3D+SOVA+AND+Sprint+%3D+2157+AND+status+%3D+%22To+Do+%280%25%29%22" xr:uid="{9E37D979-E337-47AE-B23A-654EBEBEA932}"/>
    <hyperlink ref="D4" r:id="rId16" display="https://xrspace.atlassian.net/issues/?jql=created+%3E%3D+2025-02-01+AND+created+%3C%3D+2026-12-31+AND+type+%3D+Bug+AND+project+%3D+SOVA+AND+Sprint+%3D+2157+AND+status+%3D+%22In+Progress+%2850+%7E+70%25%29%22" xr:uid="{44BCA075-84AC-4361-B3BF-1737A343B8B4}"/>
    <hyperlink ref="G4" r:id="rId17" display="https://xrspace.atlassian.net/issues/?jql=created+%3E%3D+2025-02-01+AND+created+%3C%3D+2026-12-31+AND+type+%3D+Bug+AND+project+%3D+SOVA+AND+Sprint+%3D+2157+AND+status+%3D+%22Done+%28100%25%29%22" xr:uid="{DECFC323-AB02-4745-94A7-79CCFB384E3B}"/>
    <hyperlink ref="E4" r:id="rId18" display="https://xrspace.atlassian.net/issues/?jql=created+%3E%3D+2025-02-01+AND+created+%3C%3D+2026-12-31+AND+type+%3D+Bug+AND+project+%3D+SOVA+AND+Sprint+%3D+2157+AND+status+%3D+%22IN+REVIEW+%2880%25%29%22" xr:uid="{2DD9B9B7-89F3-4818-AF5D-51EF03E1B4C1}"/>
    <hyperlink ref="H4" r:id="rId19" display="https://xrspace.atlassian.net/issues/?jql=created+%3E%3D+2025-02-01+AND+created+%3C%3D+2026-12-31+AND+type+%3D+Bug+AND+project+%3D+SOVA+AND+Sprint+%3D+2157+AND+status+%3D+%22WON%27T+DO+%28100%25%29%22" xr:uid="{02DCE810-6BB2-4C13-A8E6-29CA9044C881}"/>
    <hyperlink ref="C4" r:id="rId20" display="https://xrspace.atlassian.net/issues/?jql=created+%3E%3D+2025-02-01+AND+created+%3C%3D+2026-12-31+AND+type+%3D+Bug+AND+project+%3D+SOVA+AND+Sprint+%3D+2157+AND+status+%3D+%22STARTING+%2810+%7E+40%25%29%22" xr:uid="{9FBD8793-FEAC-49B9-9607-CD8F9F45B1CC}"/>
    <hyperlink ref="F4" r:id="rId21" display="https://xrspace.atlassian.net/issues/?jql=created+%3E%3D+2025-02-01+AND+created+%3C%3D+2026-12-31+AND+type+%3D+Bug+AND+project+%3D+SOVA+AND+Sprint+%3D+2157+AND+status+%3D+%22READY+FOR+TESTING+%2890%25%29%22" xr:uid="{6F3B394A-72FE-4700-8369-240BB81DCE44}"/>
    <hyperlink ref="B5" r:id="rId22" display="https://xrspace.atlassian.net/issues/?jql=created+%3E%3D+2025-02-01+AND+created+%3C%3D+2026-12-31+AND+type+%3D+Bug+AND+project+%3D+SOVA+AND+Sprint+%3D+2618+AND+status+%3D+%22To+Do+%280%25%29%22" xr:uid="{8BAD55EB-90D0-4AD6-9706-A8D208B27D1D}"/>
    <hyperlink ref="D5" r:id="rId23" display="https://xrspace.atlassian.net/issues/?jql=created+%3E%3D+2025-02-01+AND+created+%3C%3D+2026-12-31+AND+type+%3D+Bug+AND+project+%3D+SOVA+AND+Sprint+%3D+2618+AND+status+%3D+%22In+Progress+%2850+%7E+70%25%29%22" xr:uid="{14E8BFCC-A84B-40B1-A064-54E14EBE8DDF}"/>
    <hyperlink ref="G5" r:id="rId24" display="https://xrspace.atlassian.net/issues/?jql=created+%3E%3D+2025-02-01+AND+created+%3C%3D+2026-12-31+AND+type+%3D+Bug+AND+project+%3D+SOVA+AND+Sprint+%3D+2618+AND+status+%3D+%22Done+%28100%25%29%22" xr:uid="{629ECA61-F425-4703-9ABA-B8D87E01FF42}"/>
    <hyperlink ref="E5" r:id="rId25" display="https://xrspace.atlassian.net/issues/?jql=created+%3E%3D+2025-02-01+AND+created+%3C%3D+2026-12-31+AND+type+%3D+Bug+AND+project+%3D+SOVA+AND+Sprint+%3D+2618+AND+status+%3D+%22IN+REVIEW+%2880%25%29%22" xr:uid="{8EAA964E-F294-43D3-B343-B6AFBB6E94D7}"/>
    <hyperlink ref="H5" r:id="rId26" display="https://xrspace.atlassian.net/issues/?jql=created+%3E%3D+2025-02-01+AND+created+%3C%3D+2026-12-31+AND+type+%3D+Bug+AND+project+%3D+SOVA+AND+Sprint+%3D+2618+AND+status+%3D+%22WON%27T+DO+%28100%25%29%22" xr:uid="{35B1344A-F214-47AD-BEB4-966C5A0AC2FA}"/>
    <hyperlink ref="C5" r:id="rId27" display="https://xrspace.atlassian.net/issues/?jql=created+%3E%3D+2025-02-01+AND+created+%3C%3D+2026-12-31+AND+type+%3D+Bug+AND+project+%3D+SOVA+AND+Sprint+%3D+2618+AND+status+%3D+%22STARTING+%2810+%7E+40%25%29%22" xr:uid="{21928EBB-EB7E-44A4-A8A7-B7AE9CE492F9}"/>
    <hyperlink ref="F5" r:id="rId28" display="https://xrspace.atlassian.net/issues/?jql=created+%3E%3D+2025-02-01+AND+created+%3C%3D+2026-12-31+AND+type+%3D+Bug+AND+project+%3D+SOVA+AND+Sprint+%3D+2618+AND+status+%3D+%22READY+FOR+TESTING+%2890%25%29%22" xr:uid="{B7263387-7038-4B3C-892B-0FB847A3D713}"/>
    <hyperlink ref="B6" r:id="rId29" display="https://xrspace.atlassian.net/issues/?jql=created+%3E%3D+2025-02-01+AND+created+%3C%3D+2026-12-31+AND+type+%3D+Bug+AND+project+%3D+SOVA+AND+Sprint+%3D+2619+AND+status+%3D+%22To+Do+%280%25%29%22" xr:uid="{C3D7ED8C-32E2-4503-B61D-29C7E22DB6C9}"/>
    <hyperlink ref="D6" r:id="rId30" display="https://xrspace.atlassian.net/issues/?jql=created+%3E%3D+2025-02-01+AND+created+%3C%3D+2026-12-31+AND+type+%3D+Bug+AND+project+%3D+SOVA+AND+Sprint+%3D+2619+AND+status+%3D+%22In+Progress+%2850+%7E+70%25%29%22" xr:uid="{DBA75831-6F53-42DF-92CF-675154509594}"/>
    <hyperlink ref="G6" r:id="rId31" display="https://xrspace.atlassian.net/issues/?jql=created+%3E%3D+2025-02-01+AND+created+%3C%3D+2026-12-31+AND+type+%3D+Bug+AND+project+%3D+SOVA+AND+Sprint+%3D+2619+AND+status+%3D+%22Done+%28100%25%29%22" xr:uid="{C8609D1F-0BD6-4A14-838C-C292282EFD8D}"/>
    <hyperlink ref="E6" r:id="rId32" display="https://xrspace.atlassian.net/issues/?jql=created+%3E%3D+2025-02-01+AND+created+%3C%3D+2026-12-31+AND+type+%3D+Bug+AND+project+%3D+SOVA+AND+Sprint+%3D+2619+AND+status+%3D+%22IN+REVIEW+%2880%25%29%22" xr:uid="{B78856CB-F3FD-47E4-8A85-E94C564F647A}"/>
    <hyperlink ref="H6" r:id="rId33" display="https://xrspace.atlassian.net/issues/?jql=created+%3E%3D+2025-02-01+AND+created+%3C%3D+2026-12-31+AND+type+%3D+Bug+AND+project+%3D+SOVA+AND+Sprint+%3D+2619+AND+status+%3D+%22WON%27T+DO+%28100%25%29%22" xr:uid="{60DE4A6A-8139-42BC-9A99-3C99A581556F}"/>
    <hyperlink ref="C6" r:id="rId34" display="https://xrspace.atlassian.net/issues/?jql=created+%3E%3D+2025-02-01+AND+created+%3C%3D+2026-12-31+AND+type+%3D+Bug+AND+project+%3D+SOVA+AND+Sprint+%3D+2619+AND+status+%3D+%22STARTING+%2810+%7E+40%25%29%22" xr:uid="{FD0FEBA6-4AE5-41D3-A749-932E17983459}"/>
    <hyperlink ref="F6" r:id="rId35" display="https://xrspace.atlassian.net/issues/?jql=created+%3E%3D+2025-02-01+AND+created+%3C%3D+2026-12-31+AND+type+%3D+Bug+AND+project+%3D+SOVA+AND+Sprint+%3D+2619+AND+status+%3D+%22READY+FOR+TESTING+%2890%25%29%22" xr:uid="{37B8A0DB-FB80-4CE4-9AD7-87443FC7F270}"/>
    <hyperlink ref="B7" r:id="rId36" display="https://xrspace.atlassian.net/issues/?jql=created+%3E%3D+2025-02-01+AND+created+%3C%3D+2026-12-31+AND+type+%3D+Bug+AND+project+%3D+SOVA+AND+Sprint+%3D+2882+AND+status+%3D+%22To+Do+%280%25%29%22" xr:uid="{0B301508-AF4F-44F3-AA4A-2C01021AF851}"/>
    <hyperlink ref="D7" r:id="rId37" display="https://xrspace.atlassian.net/issues/?jql=created+%3E%3D+2025-02-01+AND+created+%3C%3D+2026-12-31+AND+type+%3D+Bug+AND+project+%3D+SOVA+AND+Sprint+%3D+2882+AND+status+%3D+%22In+Progress+%2850+%7E+70%25%29%22" xr:uid="{D713B67D-8832-42F6-A9ED-0062F67E9077}"/>
    <hyperlink ref="G7" r:id="rId38" display="https://xrspace.atlassian.net/issues/?jql=created+%3E%3D+2025-02-01+AND+created+%3C%3D+2026-12-31+AND+type+%3D+Bug+AND+project+%3D+SOVA+AND+Sprint+%3D+2882+AND+status+%3D+%22Done+%28100%25%29%22" xr:uid="{AC1420BA-8514-49F7-B35E-4D1FD28E76D1}"/>
    <hyperlink ref="E7" r:id="rId39" display="https://xrspace.atlassian.net/issues/?jql=created+%3E%3D+2025-02-01+AND+created+%3C%3D+2026-12-31+AND+type+%3D+Bug+AND+project+%3D+SOVA+AND+Sprint+%3D+2882+AND+status+%3D+%22IN+REVIEW+%2880%25%29%22" xr:uid="{0ADA16B8-F45C-41D4-8C5F-D956C6D16B42}"/>
    <hyperlink ref="H7" r:id="rId40" display="https://xrspace.atlassian.net/issues/?jql=created+%3E%3D+2025-02-01+AND+created+%3C%3D+2026-12-31+AND+type+%3D+Bug+AND+project+%3D+SOVA+AND+Sprint+%3D+2882+AND+status+%3D+%22WON%27T+DO+%28100%25%29%22" xr:uid="{64CDDCC6-B91C-49FB-92BD-0780B29DF9FF}"/>
    <hyperlink ref="C7" r:id="rId41" display="https://xrspace.atlassian.net/issues/?jql=created+%3E%3D+2025-02-01+AND+created+%3C%3D+2026-12-31+AND+type+%3D+Bug+AND+project+%3D+SOVA+AND+Sprint+%3D+2882+AND+status+%3D+%22STARTING+%2810+%7E+40%25%29%22" xr:uid="{5038F61D-21C0-4FAB-B724-2E28D0CE1074}"/>
    <hyperlink ref="F7" r:id="rId42" display="https://xrspace.atlassian.net/issues/?jql=created+%3E%3D+2025-02-01+AND+created+%3C%3D+2026-12-31+AND+type+%3D+Bug+AND+project+%3D+SOVA+AND+Sprint+%3D+2882+AND+status+%3D+%22READY+FOR+TESTING+%2890%25%29%22" xr:uid="{0BDE8639-3915-4BC0-ADE8-22266356ABD9}"/>
    <hyperlink ref="B8" r:id="rId43" display="https://xrspace.atlassian.net/issues/?jql=created+%3E%3D+2025-02-01+AND+created+%3C%3D+2026-12-31+AND+type+%3D+Bug+AND+project+%3D+SOVA+AND+Sprint+%3D+3213+AND+status+%3D+%22To+Do+%280%25%29%22" xr:uid="{6318D2F1-4656-4527-9498-CF3C903FA0A2}"/>
    <hyperlink ref="D8" r:id="rId44" display="https://xrspace.atlassian.net/issues/?jql=created+%3E%3D+2025-02-01+AND+created+%3C%3D+2026-12-31+AND+type+%3D+Bug+AND+project+%3D+SOVA+AND+Sprint+%3D+3213+AND+status+%3D+%22In+Progress+%2850+%7E+70%25%29%22" xr:uid="{412376BB-1894-405F-951A-B5CE5755B22C}"/>
    <hyperlink ref="G8" r:id="rId45" display="https://xrspace.atlassian.net/issues/?jql=created+%3E%3D+2025-02-01+AND+created+%3C%3D+2026-12-31+AND+type+%3D+Bug+AND+project+%3D+SOVA+AND+Sprint+%3D+3213+AND+status+%3D+%22Done+%28100%25%29%22" xr:uid="{0FBB761D-0658-4CC4-95B7-1B7F9B4A0C64}"/>
    <hyperlink ref="E8" r:id="rId46" display="https://xrspace.atlassian.net/issues/?jql=created+%3E%3D+2025-02-01+AND+created+%3C%3D+2026-12-31+AND+type+%3D+Bug+AND+project+%3D+SOVA+AND+Sprint+%3D+3213+AND+status+%3D+%22IN+REVIEW+%2880%25%29%22" xr:uid="{4446CB20-73A7-4D73-A3E0-563FCC1184C9}"/>
    <hyperlink ref="H8" r:id="rId47" display="https://xrspace.atlassian.net/issues/?jql=created+%3E%3D+2025-02-01+AND+created+%3C%3D+2026-12-31+AND+type+%3D+Bug+AND+project+%3D+SOVA+AND+Sprint+%3D+3213+AND+status+%3D+%22WON%27T+DO+%28100%25%29%22" xr:uid="{2D64E32A-DC0B-4E97-863B-43D5146B3BD6}"/>
    <hyperlink ref="C8" r:id="rId48" display="https://xrspace.atlassian.net/issues/?jql=created+%3E%3D+2025-02-01+AND+created+%3C%3D+2026-12-31+AND+type+%3D+Bug+AND+project+%3D+SOVA+AND+Sprint+%3D+3213+AND+status+%3D+%22STARTING+%2810+%7E+40%25%29%22" xr:uid="{B4D60C72-EA21-428E-B2E9-4180AADD50C3}"/>
    <hyperlink ref="F8" r:id="rId49" display="https://xrspace.atlassian.net/issues/?jql=created+%3E%3D+2025-02-01+AND+created+%3C%3D+2026-12-31+AND+type+%3D+Bug+AND+project+%3D+SOVA+AND+Sprint+%3D+3213+AND+status+%3D+%22READY+FOR+TESTING+%2890%25%29%22" xr:uid="{26E3D28F-D7A9-4C2F-B1FB-8D73E913221F}"/>
    <hyperlink ref="B9" r:id="rId50" display="https://xrspace.atlassian.net/issues/?jql=created+%3E%3D+2025-02-01+AND+created+%3C%3D+2026-12-31+AND+type+%3D+Bug+AND+project+%3D+SOVA+AND+Sprint+%3D+3245+AND+status+%3D+%22To+Do+%280%25%29%22" xr:uid="{9C47A2E1-A5F6-4323-B7FC-84E0D2A35A41}"/>
    <hyperlink ref="D9" r:id="rId51" display="https://xrspace.atlassian.net/issues/?jql=created+%3E%3D+2025-02-01+AND+created+%3C%3D+2026-12-31+AND+type+%3D+Bug+AND+project+%3D+SOVA+AND+Sprint+%3D+3245+AND+status+%3D+%22In+Progress+%2850+%7E+70%25%29%22" xr:uid="{2BCFBC9B-A377-4D73-842E-8EC90D3E593E}"/>
    <hyperlink ref="G9" r:id="rId52" display="https://xrspace.atlassian.net/issues/?jql=created+%3E%3D+2025-02-01+AND+created+%3C%3D+2026-12-31+AND+type+%3D+Bug+AND+project+%3D+SOVA+AND+Sprint+%3D+3245+AND+status+%3D+%22Done+%28100%25%29%22" xr:uid="{51EA0688-1928-4D73-95DF-ACCE217B6EDD}"/>
    <hyperlink ref="E9" r:id="rId53" display="https://xrspace.atlassian.net/issues/?jql=created+%3E%3D+2025-02-01+AND+created+%3C%3D+2026-12-31+AND+type+%3D+Bug+AND+project+%3D+SOVA+AND+Sprint+%3D+3245+AND+status+%3D+%22IN+REVIEW+%2880%25%29%22" xr:uid="{844BEA60-E68A-4B97-B8AC-74903536E25D}"/>
    <hyperlink ref="H9" r:id="rId54" display="https://xrspace.atlassian.net/issues/?jql=created+%3E%3D+2025-02-01+AND+created+%3C%3D+2026-12-31+AND+type+%3D+Bug+AND+project+%3D+SOVA+AND+Sprint+%3D+3245+AND+status+%3D+%22WON%27T+DO+%28100%25%29%22" xr:uid="{E9793F71-80CD-4A7B-8B18-A825D505BCD2}"/>
    <hyperlink ref="C9" r:id="rId55" display="https://xrspace.atlassian.net/issues/?jql=created+%3E%3D+2025-02-01+AND+created+%3C%3D+2026-12-31+AND+type+%3D+Bug+AND+project+%3D+SOVA+AND+Sprint+%3D+3245+AND+status+%3D+%22STARTING+%2810+%7E+40%25%29%22" xr:uid="{A8FA0ED8-8CC4-4D9A-B09B-0AA50AF6815A}"/>
    <hyperlink ref="F9" r:id="rId56" display="https://xrspace.atlassian.net/issues/?jql=created+%3E%3D+2025-02-01+AND+created+%3C%3D+2026-12-31+AND+type+%3D+Bug+AND+project+%3D+SOVA+AND+Sprint+%3D+3245+AND+status+%3D+%22READY+FOR+TESTING+%2890%25%29%22" xr:uid="{C5918F7E-E6CF-4041-8AC0-EB9EF66D9236}"/>
    <hyperlink ref="B10" r:id="rId57" display="https://xrspace.atlassian.net/issues/?jql=created+%3E%3D+2025-02-01+AND+created+%3C%3D+2026-12-31+AND+type+%3D+Bug+AND+project+%3D+SOVA+AND+Sprint+%3D+3246+AND+status+%3D+%22To+Do+%280%25%29%22" xr:uid="{350E84CE-F968-4EB3-9710-57F61789AC27}"/>
    <hyperlink ref="D10" r:id="rId58" display="https://xrspace.atlassian.net/issues/?jql=created+%3E%3D+2025-02-01+AND+created+%3C%3D+2026-12-31+AND+type+%3D+Bug+AND+project+%3D+SOVA+AND+Sprint+%3D+3246+AND+status+%3D+%22In+Progress+%2850+%7E+70%25%29%22" xr:uid="{1CF911AA-89D0-457A-B577-9FBFEC516C58}"/>
    <hyperlink ref="G10" r:id="rId59" display="https://xrspace.atlassian.net/issues/?jql=created+%3E%3D+2025-02-01+AND+created+%3C%3D+2026-12-31+AND+type+%3D+Bug+AND+project+%3D+SOVA+AND+Sprint+%3D+3246+AND+status+%3D+%22Done+%28100%25%29%22" xr:uid="{5FA3C6C1-A5F6-407A-BFFD-15F2269A2767}"/>
    <hyperlink ref="E10" r:id="rId60" display="https://xrspace.atlassian.net/issues/?jql=created+%3E%3D+2025-02-01+AND+created+%3C%3D+2026-12-31+AND+type+%3D+Bug+AND+project+%3D+SOVA+AND+Sprint+%3D+3246+AND+status+%3D+%22IN+REVIEW+%2880%25%29%22" xr:uid="{D0839BC4-6FC7-4D80-9EB1-A4BE87BE07E1}"/>
    <hyperlink ref="H10" r:id="rId61" display="https://xrspace.atlassian.net/issues/?jql=created+%3E%3D+2025-02-01+AND+created+%3C%3D+2026-12-31+AND+type+%3D+Bug+AND+project+%3D+SOVA+AND+Sprint+%3D+3246+AND+status+%3D+%22WON%27T+DO+%28100%25%29%22" xr:uid="{61AB3BFA-DFA6-47A6-AC33-D4BE683F81BE}"/>
    <hyperlink ref="C10" r:id="rId62" display="https://xrspace.atlassian.net/issues/?jql=created+%3E%3D+2025-02-01+AND+created+%3C%3D+2026-12-31+AND+type+%3D+Bug+AND+project+%3D+SOVA+AND+Sprint+%3D+3246+AND+status+%3D+%22STARTING+%2810+%7E+40%25%29%22" xr:uid="{4077FB81-25D0-47DC-9EFF-EE4AE7C94109}"/>
    <hyperlink ref="F10" r:id="rId63" display="https://xrspace.atlassian.net/issues/?jql=created+%3E%3D+2025-02-01+AND+created+%3C%3D+2026-12-31+AND+type+%3D+Bug+AND+project+%3D+SOVA+AND+Sprint+%3D+3246+AND+status+%3D+%22READY+FOR+TESTING+%2890%25%29%22" xr:uid="{9CE66375-097B-4A05-B4F2-3B5E95A42BF4}"/>
    <hyperlink ref="B11" r:id="rId64" display="https://xrspace.atlassian.net/issues/?jql=created+%3E%3D+2025-02-01+AND+created+%3C%3D+2026-12-31+AND+type+%3D+Bug+AND+project+%3D+SOVA+AND+Sprint+%3D+3575+AND+status+%3D+%22To+Do+%280%25%29%22" xr:uid="{C6E5B636-78F3-4EAF-93B6-65D8DC58F867}"/>
    <hyperlink ref="D11" r:id="rId65" display="https://xrspace.atlassian.net/issues/?jql=created+%3E%3D+2025-02-01+AND+created+%3C%3D+2026-12-31+AND+type+%3D+Bug+AND+project+%3D+SOVA+AND+Sprint+%3D+3575+AND+status+%3D+%22In+Progress+%2850+%7E+70%25%29%22" xr:uid="{6F198A67-34D3-4656-8825-C850D704E10C}"/>
    <hyperlink ref="G11" r:id="rId66" display="https://xrspace.atlassian.net/issues/?jql=created+%3E%3D+2025-02-01+AND+created+%3C%3D+2026-12-31+AND+type+%3D+Bug+AND+project+%3D+SOVA+AND+Sprint+%3D+3575+AND+status+%3D+%22Done+%28100%25%29%22" xr:uid="{CE537456-33D0-45E5-982A-F19FF8052478}"/>
    <hyperlink ref="E11" r:id="rId67" display="https://xrspace.atlassian.net/issues/?jql=created+%3E%3D+2025-02-01+AND+created+%3C%3D+2026-12-31+AND+type+%3D+Bug+AND+project+%3D+SOVA+AND+Sprint+%3D+3575+AND+status+%3D+%22IN+REVIEW+%2880%25%29%22" xr:uid="{5DCCA5EE-A804-44F7-B390-55CE72C84A19}"/>
    <hyperlink ref="H11" r:id="rId68" display="https://xrspace.atlassian.net/issues/?jql=created+%3E%3D+2025-02-01+AND+created+%3C%3D+2026-12-31+AND+type+%3D+Bug+AND+project+%3D+SOVA+AND+Sprint+%3D+3575+AND+status+%3D+%22WON%27T+DO+%28100%25%29%22" xr:uid="{0AFD189A-A6BF-4EC4-9BD7-28278FC81648}"/>
    <hyperlink ref="C11" r:id="rId69" display="https://xrspace.atlassian.net/issues/?jql=created+%3E%3D+2025-02-01+AND+created+%3C%3D+2026-12-31+AND+type+%3D+Bug+AND+project+%3D+SOVA+AND+Sprint+%3D+3575+AND+status+%3D+%22STARTING+%2810+%7E+40%25%29%22" xr:uid="{4EF649A5-D5CB-4DDA-8DAD-E6AD55AFE0B3}"/>
    <hyperlink ref="F11" r:id="rId70" display="https://xrspace.atlassian.net/issues/?jql=created+%3E%3D+2025-02-01+AND+created+%3C%3D+2026-12-31+AND+type+%3D+Bug+AND+project+%3D+SOVA+AND+Sprint+%3D+3575+AND+status+%3D+%22READY+FOR+TESTING+%2890%25%29%22" xr:uid="{7B4F5059-EDBA-4F62-AF4B-9C4E679550E3}"/>
    <hyperlink ref="B12" r:id="rId71" display="https://xrspace.atlassian.net/issues/?jql=created+%3E%3D+2025-02-01+AND+created+%3C%3D+2026-12-31+AND+type+%3D+Bug+AND+project+%3D+SOVA+AND+Sprint+%3D+3608+AND+status+%3D+%22To+Do+%280%25%29%22" xr:uid="{D372CCC4-0FDD-4D65-B392-8A64C0FE94ED}"/>
    <hyperlink ref="D12" r:id="rId72" display="https://xrspace.atlassian.net/issues/?jql=created+%3E%3D+2025-02-01+AND+created+%3C%3D+2026-12-31+AND+type+%3D+Bug+AND+project+%3D+SOVA+AND+Sprint+%3D+3608+AND+status+%3D+%22In+Progress+%2850+%7E+70%25%29%22" xr:uid="{9B129C26-45AE-4101-B15F-225ED8002AB0}"/>
    <hyperlink ref="G12" r:id="rId73" display="https://xrspace.atlassian.net/issues/?jql=created+%3E%3D+2025-02-01+AND+created+%3C%3D+2026-12-31+AND+type+%3D+Bug+AND+project+%3D+SOVA+AND+Sprint+%3D+3608+AND+status+%3D+%22Done+%28100%25%29%22" xr:uid="{706C9157-13C6-427C-89F1-C38DDFC588FD}"/>
    <hyperlink ref="E12" r:id="rId74" display="https://xrspace.atlassian.net/issues/?jql=created+%3E%3D+2025-02-01+AND+created+%3C%3D+2026-12-31+AND+type+%3D+Bug+AND+project+%3D+SOVA+AND+Sprint+%3D+3608+AND+status+%3D+%22IN+REVIEW+%2880%25%29%22" xr:uid="{17F4C908-6E94-4071-9F12-70297BBBB65E}"/>
    <hyperlink ref="H12" r:id="rId75" display="https://xrspace.atlassian.net/issues/?jql=created+%3E%3D+2025-02-01+AND+created+%3C%3D+2026-12-31+AND+type+%3D+Bug+AND+project+%3D+SOVA+AND+Sprint+%3D+3608+AND+status+%3D+%22WON%27T+DO+%28100%25%29%22" xr:uid="{3B91C677-9CFD-4B28-A4BC-D4D07CBCB5D0}"/>
    <hyperlink ref="C12" r:id="rId76" display="https://xrspace.atlassian.net/issues/?jql=created+%3E%3D+2025-02-01+AND+created+%3C%3D+2026-12-31+AND+type+%3D+Bug+AND+project+%3D+SOVA+AND+Sprint+%3D+3608+AND+status+%3D+%22STARTING+%2810+%7E+40%25%29%22" xr:uid="{74199A6E-B75A-4DAB-B2EA-903A765995AD}"/>
    <hyperlink ref="F12" r:id="rId77" display="https://xrspace.atlassian.net/issues/?jql=created+%3E%3D+2025-02-01+AND+created+%3C%3D+2026-12-31+AND+type+%3D+Bug+AND+project+%3D+SOVA+AND+Sprint+%3D+3608+AND+status+%3D+%22READY+FOR+TESTING+%2890%25%29%22" xr:uid="{B53CB8B2-9B74-40F7-A907-50D93B32D91B}"/>
    <hyperlink ref="B13" r:id="rId78" display="https://xrspace.atlassian.net/issues/?jql=created+%3E%3D+2025-02-01+AND+created+%3C%3D+2026-12-31+AND+type+%3D+Bug+AND+project+%3D+SOVA+AND+Sprint+%3D+3872+AND+status+%3D+%22To+Do+%280%25%29%22" xr:uid="{2534FD19-020A-4EE1-BE0D-A1D732E046AF}"/>
    <hyperlink ref="D13" r:id="rId79" display="https://xrspace.atlassian.net/issues/?jql=created+%3E%3D+2025-02-01+AND+created+%3C%3D+2026-12-31+AND+type+%3D+Bug+AND+project+%3D+SOVA+AND+Sprint+%3D+3872+AND+status+%3D+%22In+Progress+%2850+%7E+70%25%29%22" xr:uid="{52FFD7AC-8DAB-4AFE-A94D-9F74875E26B0}"/>
    <hyperlink ref="G13" r:id="rId80" display="https://xrspace.atlassian.net/issues/?jql=created+%3E%3D+2025-02-01+AND+created+%3C%3D+2026-12-31+AND+type+%3D+Bug+AND+project+%3D+SOVA+AND+Sprint+%3D+3872+AND+status+%3D+%22Done+%28100%25%29%22" xr:uid="{0B71C7B9-CAB9-4513-AEE8-7D902192BB55}"/>
    <hyperlink ref="E13" r:id="rId81" display="https://xrspace.atlassian.net/issues/?jql=created+%3E%3D+2025-02-01+AND+created+%3C%3D+2026-12-31+AND+type+%3D+Bug+AND+project+%3D+SOVA+AND+Sprint+%3D+3872+AND+status+%3D+%22IN+REVIEW+%2880%25%29%22" xr:uid="{110844CE-359B-4176-832B-AE95F97404F2}"/>
    <hyperlink ref="H13" r:id="rId82" display="https://xrspace.atlassian.net/issues/?jql=created+%3E%3D+2025-02-01+AND+created+%3C%3D+2026-12-31+AND+type+%3D+Bug+AND+project+%3D+SOVA+AND+Sprint+%3D+3872+AND+status+%3D+%22WON%27T+DO+%28100%25%29%22" xr:uid="{B7FD7691-0569-4FF8-82AC-8300790776CF}"/>
    <hyperlink ref="C13" r:id="rId83" display="https://xrspace.atlassian.net/issues/?jql=created+%3E%3D+2025-02-01+AND+created+%3C%3D+2026-12-31+AND+type+%3D+Bug+AND+project+%3D+SOVA+AND+Sprint+%3D+3872+AND+status+%3D+%22STARTING+%2810+%7E+40%25%29%22" xr:uid="{420EA762-9A72-4CA1-846F-EA18FA882FA3}"/>
    <hyperlink ref="F13" r:id="rId84" display="https://xrspace.atlassian.net/issues/?jql=created+%3E%3D+2025-02-01+AND+created+%3C%3D+2026-12-31+AND+type+%3D+Bug+AND+project+%3D+SOVA+AND+Sprint+%3D+3872+AND+status+%3D+%22READY+FOR+TESTING+%2890%25%29%22" xr:uid="{4EC3DB9C-0F83-4CBC-AC64-AA51A16EE2BB}"/>
    <hyperlink ref="B14" r:id="rId85" display="https://xrspace.atlassian.net/issues/?jql=created+%3E%3D+2025-02-01+AND+created+%3C%3D+2026-12-31+AND+type+%3D+Bug+AND+project+%3D+SOVA+AND+Sprint+%3D+3873+AND+status+%3D+%22To+Do+%280%25%29%22" xr:uid="{0CDC764F-B5AD-4394-B6E4-2B5EB7EAFCC0}"/>
    <hyperlink ref="D14" r:id="rId86" display="https://xrspace.atlassian.net/issues/?jql=created+%3E%3D+2025-02-01+AND+created+%3C%3D+2026-12-31+AND+type+%3D+Bug+AND+project+%3D+SOVA+AND+Sprint+%3D+3873+AND+status+%3D+%22In+Progress+%2850+%7E+70%25%29%22" xr:uid="{478728AB-BB5A-4678-AFC4-00EBFA8A430A}"/>
    <hyperlink ref="G14" r:id="rId87" display="https://xrspace.atlassian.net/issues/?jql=created+%3E%3D+2025-02-01+AND+created+%3C%3D+2026-12-31+AND+type+%3D+Bug+AND+project+%3D+SOVA+AND+Sprint+%3D+3873+AND+status+%3D+%22Done+%28100%25%29%22" xr:uid="{3A3DE6BA-B502-404A-8CDF-9333661678E6}"/>
    <hyperlink ref="E14" r:id="rId88" display="https://xrspace.atlassian.net/issues/?jql=created+%3E%3D+2025-02-01+AND+created+%3C%3D+2026-12-31+AND+type+%3D+Bug+AND+project+%3D+SOVA+AND+Sprint+%3D+3873+AND+status+%3D+%22IN+REVIEW+%2880%25%29%22" xr:uid="{9104CEF4-3097-4856-9561-410C4AB4D716}"/>
    <hyperlink ref="H14" r:id="rId89" display="https://xrspace.atlassian.net/issues/?jql=created+%3E%3D+2025-02-01+AND+created+%3C%3D+2026-12-31+AND+type+%3D+Bug+AND+project+%3D+SOVA+AND+Sprint+%3D+3873+AND+status+%3D+%22WON%27T+DO+%28100%25%29%22" xr:uid="{7AB4578D-9F87-435C-A939-505BDCC02890}"/>
    <hyperlink ref="C14" r:id="rId90" display="https://xrspace.atlassian.net/issues/?jql=created+%3E%3D+2025-02-01+AND+created+%3C%3D+2026-12-31+AND+type+%3D+Bug+AND+project+%3D+SOVA+AND+Sprint+%3D+3873+AND+status+%3D+%22STARTING+%2810+%7E+40%25%29%22" xr:uid="{E9224761-6EF7-4233-B031-0B36CF5192D1}"/>
    <hyperlink ref="F14" r:id="rId91" display="https://xrspace.atlassian.net/issues/?jql=created+%3E%3D+2025-02-01+AND+created+%3C%3D+2026-12-31+AND+type+%3D+Bug+AND+project+%3D+SOVA+AND+Sprint+%3D+3873+AND+status+%3D+%22READY+FOR+TESTING+%2890%25%29%22" xr:uid="{9D093A32-31F4-4BF4-9966-A447932ECD08}"/>
    <hyperlink ref="B15" r:id="rId92" display="https://xrspace.atlassian.net/issues/?jql=created+%3E%3D+2025-02-01+AND+created+%3C%3D+2026-12-31+AND+type+%3D+Bug+AND+project+%3D+SOVA+AND+Sprint+%3D+4140+AND+status+%3D+%22To+Do+%280%25%29%22" xr:uid="{D31B34B6-63A3-45EF-83C9-FCEB40B92C85}"/>
    <hyperlink ref="D15" r:id="rId93" display="https://xrspace.atlassian.net/issues/?jql=created+%3E%3D+2025-02-01+AND+created+%3C%3D+2026-12-31+AND+type+%3D+Bug+AND+project+%3D+SOVA+AND+Sprint+%3D+4140+AND+status+%3D+%22In+Progress+%2850+%7E+70%25%29%22" xr:uid="{B26BC3A8-0C21-4490-A74A-68DCFB866457}"/>
    <hyperlink ref="G15" r:id="rId94" display="https://xrspace.atlassian.net/issues/?jql=created+%3E%3D+2025-02-01+AND+created+%3C%3D+2026-12-31+AND+type+%3D+Bug+AND+project+%3D+SOVA+AND+Sprint+%3D+4140+AND+status+%3D+%22Done+%28100%25%29%22" xr:uid="{4FA13B3B-33E2-4F5E-9AAF-0871331575F8}"/>
    <hyperlink ref="E15" r:id="rId95" display="https://xrspace.atlassian.net/issues/?jql=created+%3E%3D+2025-02-01+AND+created+%3C%3D+2026-12-31+AND+type+%3D+Bug+AND+project+%3D+SOVA+AND+Sprint+%3D+4140+AND+status+%3D+%22IN+REVIEW+%2880%25%29%22" xr:uid="{AD096D74-46D8-4676-A682-119050F75BC5}"/>
    <hyperlink ref="H15" r:id="rId96" display="https://xrspace.atlassian.net/issues/?jql=created+%3E%3D+2025-02-01+AND+created+%3C%3D+2026-12-31+AND+type+%3D+Bug+AND+project+%3D+SOVA+AND+Sprint+%3D+4140+AND+status+%3D+%22WON%27T+DO+%28100%25%29%22" xr:uid="{76646DD6-ACBA-449B-95AC-850112A3D7DB}"/>
    <hyperlink ref="C15" r:id="rId97" display="https://xrspace.atlassian.net/issues/?jql=created+%3E%3D+2025-02-01+AND+created+%3C%3D+2026-12-31+AND+type+%3D+Bug+AND+project+%3D+SOVA+AND+Sprint+%3D+4140+AND+status+%3D+%22STARTING+%2810+%7E+40%25%29%22" xr:uid="{F1EE5D73-6C06-4070-8908-F0A80AB102CB}"/>
    <hyperlink ref="F15" r:id="rId98" display="https://xrspace.atlassian.net/issues/?jql=created+%3E%3D+2025-02-01+AND+created+%3C%3D+2026-12-31+AND+type+%3D+Bug+AND+project+%3D+SOVA+AND+Sprint+%3D+4140+AND+status+%3D+%22READY+FOR+TESTING+%2890%25%29%22" xr:uid="{6480DEDC-15DA-4230-8F95-DA170BB79EB4}"/>
    <hyperlink ref="B16" r:id="rId99" display="https://xrspace.atlassian.net/issues/?jql=created+%3E%3D+2025-02-01+AND+created+%3C%3D+2026-12-31+AND+type+%3D+Bug+AND+project+%3D+SOVA+AND+Sprint+%3D+4206+AND+status+%3D+%22To+Do+%280%25%29%22" xr:uid="{1FC9F597-7790-4126-A581-1FB24BA9C08B}"/>
    <hyperlink ref="D16" r:id="rId100" display="https://xrspace.atlassian.net/issues/?jql=created+%3E%3D+2025-02-01+AND+created+%3C%3D+2026-12-31+AND+type+%3D+Bug+AND+project+%3D+SOVA+AND+Sprint+%3D+4206+AND+status+%3D+%22In+Progress+%2850+%7E+70%25%29%22" xr:uid="{702F4E9D-1699-4299-8DF0-3A8D2B5D7123}"/>
    <hyperlink ref="G16" r:id="rId101" display="https://xrspace.atlassian.net/issues/?jql=created+%3E%3D+2025-02-01+AND+created+%3C%3D+2026-12-31+AND+type+%3D+Bug+AND+project+%3D+SOVA+AND+Sprint+%3D+4206+AND+status+%3D+%22Done+%28100%25%29%22" xr:uid="{35FCE29A-50A4-44FF-9066-48973F4C91B5}"/>
    <hyperlink ref="E16" r:id="rId102" display="https://xrspace.atlassian.net/issues/?jql=created+%3E%3D+2025-02-01+AND+created+%3C%3D+2026-12-31+AND+type+%3D+Bug+AND+project+%3D+SOVA+AND+Sprint+%3D+4206+AND+status+%3D+%22IN+REVIEW+%2880%25%29%22" xr:uid="{EFAC0BA2-EE20-4299-A873-D414D98F3217}"/>
    <hyperlink ref="H16" r:id="rId103" display="https://xrspace.atlassian.net/issues/?jql=created+%3E%3D+2025-02-01+AND+created+%3C%3D+2026-12-31+AND+type+%3D+Bug+AND+project+%3D+SOVA+AND+Sprint+%3D+4206+AND+status+%3D+%22WON%27T+DO+%28100%25%29%22" xr:uid="{DECCDEBB-C83B-4E52-98FC-66A9AAEDA79C}"/>
    <hyperlink ref="C16" r:id="rId104" display="https://xrspace.atlassian.net/issues/?jql=created+%3E%3D+2025-02-01+AND+created+%3C%3D+2026-12-31+AND+type+%3D+Bug+AND+project+%3D+SOVA+AND+Sprint+%3D+4206+AND+status+%3D+%22STARTING+%2810+%7E+40%25%29%22" xr:uid="{661E1012-FF91-46F9-946A-8B2F1D050030}"/>
    <hyperlink ref="F16" r:id="rId105" display="https://xrspace.atlassian.net/issues/?jql=created+%3E%3D+2025-02-01+AND+created+%3C%3D+2026-12-31+AND+type+%3D+Bug+AND+project+%3D+SOVA+AND+Sprint+%3D+4206+AND+status+%3D+%22READY+FOR+TESTING+%2890%25%29%22" xr:uid="{7661A61B-87E2-4BD7-AE6F-A6287FA1F4D3}"/>
    <hyperlink ref="B17" r:id="rId106" display="https://xrspace.atlassian.net/issues/?jql=created+%3E%3D+2025-02-01+AND+created+%3C%3D+2026-12-31+AND+type+%3D+Bug+AND+project+%3D+SOVA+AND+Sprint+%3D+4477+AND+status+%3D+%22To+Do+%280%25%29%22" xr:uid="{9B0AD501-C8F0-41DC-9869-CE4A1EDD25B5}"/>
    <hyperlink ref="D17" r:id="rId107" display="https://xrspace.atlassian.net/issues/?jql=created+%3E%3D+2025-02-01+AND+created+%3C%3D+2026-12-31+AND+type+%3D+Bug+AND+project+%3D+SOVA+AND+Sprint+%3D+4477+AND+status+%3D+%22In+Progress+%2850+%7E+70%25%29%22" xr:uid="{EA3316F1-C551-4840-AEC1-7F4874B16A7A}"/>
    <hyperlink ref="G17" r:id="rId108" display="https://xrspace.atlassian.net/issues/?jql=created+%3E%3D+2025-02-01+AND+created+%3C%3D+2026-12-31+AND+type+%3D+Bug+AND+project+%3D+SOVA+AND+Sprint+%3D+4477+AND+status+%3D+%22Done+%28100%25%29%22" xr:uid="{A3E76B20-F711-4CDE-B4E2-76803F667939}"/>
    <hyperlink ref="E17" r:id="rId109" display="https://xrspace.atlassian.net/issues/?jql=created+%3E%3D+2025-02-01+AND+created+%3C%3D+2026-12-31+AND+type+%3D+Bug+AND+project+%3D+SOVA+AND+Sprint+%3D+4477+AND+status+%3D+%22IN+REVIEW+%2880%25%29%22" xr:uid="{6C3961B8-9F78-40EA-BF12-7F09FAA1E55B}"/>
    <hyperlink ref="H17" r:id="rId110" display="https://xrspace.atlassian.net/issues/?jql=created+%3E%3D+2025-02-01+AND+created+%3C%3D+2026-12-31+AND+type+%3D+Bug+AND+project+%3D+SOVA+AND+Sprint+%3D+4477+AND+status+%3D+%22WON%27T+DO+%28100%25%29%22" xr:uid="{86054EAC-1C0C-459A-B57F-F5446B017C22}"/>
    <hyperlink ref="C17" r:id="rId111" display="https://xrspace.atlassian.net/issues/?jql=created+%3E%3D+2025-02-01+AND+created+%3C%3D+2026-12-31+AND+type+%3D+Bug+AND+project+%3D+SOVA+AND+Sprint+%3D+4477+AND+status+%3D+%22STARTING+%2810+%7E+40%25%29%22" xr:uid="{5DC6A7FD-A242-4043-B99B-4F3F4203E10A}"/>
    <hyperlink ref="F17" r:id="rId112" display="https://xrspace.atlassian.net/issues/?jql=created+%3E%3D+2025-02-01+AND+created+%3C%3D+2026-12-31+AND+type+%3D+Bug+AND+project+%3D+SOVA+AND+Sprint+%3D+4477+AND+status+%3D+%22READY+FOR+TESTING+%2890%25%29%22" xr:uid="{D0A44714-F360-4084-94EE-D2157E2363BE}"/>
    <hyperlink ref="B18" r:id="rId113" display="https://xrspace.atlassian.net/issues/?jql=created+%3E%3D+2025-02-01+AND+created+%3C%3D+2026-12-31+AND+type+%3D+Bug+AND+project+%3D+SOVA+AND+Sprint+%3D+4478+AND+status+%3D+%22To+Do+%280%25%29%22" xr:uid="{FE9D2D7A-48F3-4206-93AF-30FD12A71A4C}"/>
    <hyperlink ref="D18" r:id="rId114" display="https://xrspace.atlassian.net/issues/?jql=created+%3E%3D+2025-02-01+AND+created+%3C%3D+2026-12-31+AND+type+%3D+Bug+AND+project+%3D+SOVA+AND+Sprint+%3D+4478+AND+status+%3D+%22In+Progress+%2850+%7E+70%25%29%22" xr:uid="{1F39E3ED-8ACA-46C7-873C-04804D51577F}"/>
    <hyperlink ref="G18" r:id="rId115" display="https://xrspace.atlassian.net/issues/?jql=created+%3E%3D+2025-02-01+AND+created+%3C%3D+2026-12-31+AND+type+%3D+Bug+AND+project+%3D+SOVA+AND+Sprint+%3D+4478+AND+status+%3D+%22Done+%28100%25%29%22" xr:uid="{FF8F86C9-65C0-4794-B4EB-90A483C89A38}"/>
    <hyperlink ref="E18" r:id="rId116" display="https://xrspace.atlassian.net/issues/?jql=created+%3E%3D+2025-02-01+AND+created+%3C%3D+2026-12-31+AND+type+%3D+Bug+AND+project+%3D+SOVA+AND+Sprint+%3D+4478+AND+status+%3D+%22IN+REVIEW+%2880%25%29%22" xr:uid="{BDB89618-4537-4CAE-AA20-02BB5874E4DE}"/>
    <hyperlink ref="H18" r:id="rId117" display="https://xrspace.atlassian.net/issues/?jql=created+%3E%3D+2025-02-01+AND+created+%3C%3D+2026-12-31+AND+type+%3D+Bug+AND+project+%3D+SOVA+AND+Sprint+%3D+4478+AND+status+%3D+%22WON%27T+DO+%28100%25%29%22" xr:uid="{79A2314C-A68F-4957-ACE8-755C0C8EE532}"/>
    <hyperlink ref="C18" r:id="rId118" display="https://xrspace.atlassian.net/issues/?jql=created+%3E%3D+2025-02-01+AND+created+%3C%3D+2026-12-31+AND+type+%3D+Bug+AND+project+%3D+SOVA+AND+Sprint+%3D+4478+AND+status+%3D+%22STARTING+%2810+%7E+40%25%29%22" xr:uid="{C5A3931A-E9D1-442E-AE38-D4E487D0BF61}"/>
    <hyperlink ref="F18" r:id="rId119" display="https://xrspace.atlassian.net/issues/?jql=created+%3E%3D+2025-02-01+AND+created+%3C%3D+2026-12-31+AND+type+%3D+Bug+AND+project+%3D+SOVA+AND+Sprint+%3D+4478+AND+status+%3D+%22READY+FOR+TESTING+%2890%25%29%22" xr:uid="{FA8C926F-E6F4-4CBE-A45B-B4C8234A7B36}"/>
    <hyperlink ref="B19" r:id="rId120" display="https://xrspace.atlassian.net/issues/?jql=created+%3E%3D+2025-02-01+AND+created+%3C%3D+2026-12-31+AND+type+%3D+Bug+AND+project+%3D+SOVA+AND+Sprint+%3D+4677+AND+status+%3D+%22To+Do+%280%25%29%22" xr:uid="{D40B7D60-4193-46E8-A046-E3F187FCF3C1}"/>
    <hyperlink ref="D19" r:id="rId121" display="https://xrspace.atlassian.net/issues/?jql=created+%3E%3D+2025-02-01+AND+created+%3C%3D+2026-12-31+AND+type+%3D+Bug+AND+project+%3D+SOVA+AND+Sprint+%3D+4677+AND+status+%3D+%22In+Progress+%2850+%7E+70%25%29%22" xr:uid="{F26D450E-8BBE-4DD8-B705-B678629D2075}"/>
    <hyperlink ref="G19" r:id="rId122" display="https://xrspace.atlassian.net/issues/?jql=created+%3E%3D+2025-02-01+AND+created+%3C%3D+2026-12-31+AND+type+%3D+Bug+AND+project+%3D+SOVA+AND+Sprint+%3D+4677+AND+status+%3D+%22Done+%28100%25%29%22" xr:uid="{2FA36934-1427-4B38-A559-804FBF47BC65}"/>
    <hyperlink ref="E19" r:id="rId123" display="https://xrspace.atlassian.net/issues/?jql=created+%3E%3D+2025-02-01+AND+created+%3C%3D+2026-12-31+AND+type+%3D+Bug+AND+project+%3D+SOVA+AND+Sprint+%3D+4677+AND+status+%3D+%22IN+REVIEW+%2880%25%29%22" xr:uid="{4EC41D2E-F872-4288-AEA1-7B9BE9A84BDE}"/>
    <hyperlink ref="H19" r:id="rId124" display="https://xrspace.atlassian.net/issues/?jql=created+%3E%3D+2025-02-01+AND+created+%3C%3D+2026-12-31+AND+type+%3D+Bug+AND+project+%3D+SOVA+AND+Sprint+%3D+4677+AND+status+%3D+%22WON%27T+DO+%28100%25%29%22" xr:uid="{9E0DE62B-9AF0-40CC-A06E-264A0BBDCABF}"/>
    <hyperlink ref="C19" r:id="rId125" display="https://xrspace.atlassian.net/issues/?jql=created+%3E%3D+2025-02-01+AND+created+%3C%3D+2026-12-31+AND+type+%3D+Bug+AND+project+%3D+SOVA+AND+Sprint+%3D+4677+AND+status+%3D+%22STARTING+%2810+%7E+40%25%29%22" xr:uid="{9861109D-6D43-4810-8808-D2A4BFA709A6}"/>
    <hyperlink ref="F19" r:id="rId126" display="https://xrspace.atlassian.net/issues/?jql=created+%3E%3D+2025-02-01+AND+created+%3C%3D+2026-12-31+AND+type+%3D+Bug+AND+project+%3D+SOVA+AND+Sprint+%3D+4677+AND+status+%3D+%22READY+FOR+TESTING+%2890%25%29%22" xr:uid="{F198D3B0-9FD2-44DD-8BB2-38BB5D18B86D}"/>
    <hyperlink ref="B20" r:id="rId127" display="https://xrspace.atlassian.net/issues/?jql=created+%3E%3D+2025-02-01+AND+created+%3C%3D+2026-12-31+AND+type+%3D+Bug+AND+project+%3D+SOVA+AND+Sprint+%3D+4678+AND+status+%3D+%22To+Do+%280%25%29%22" xr:uid="{19050AA6-6287-43E6-9837-A06778D6504B}"/>
    <hyperlink ref="D20" r:id="rId128" display="https://xrspace.atlassian.net/issues/?jql=created+%3E%3D+2025-02-01+AND+created+%3C%3D+2026-12-31+AND+type+%3D+Bug+AND+project+%3D+SOVA+AND+Sprint+%3D+4678+AND+status+%3D+%22In+Progress+%2850+%7E+70%25%29%22" xr:uid="{7B2B845D-8534-4871-9A80-705FCE99D199}"/>
    <hyperlink ref="G20" r:id="rId129" display="https://xrspace.atlassian.net/issues/?jql=created+%3E%3D+2025-02-01+AND+created+%3C%3D+2026-12-31+AND+type+%3D+Bug+AND+project+%3D+SOVA+AND+Sprint+%3D+4678+AND+status+%3D+%22Done+%28100%25%29%22" xr:uid="{F328DCF1-9F7A-4220-A4E3-CE4F8DBBF6BA}"/>
    <hyperlink ref="E20" r:id="rId130" display="https://xrspace.atlassian.net/issues/?jql=created+%3E%3D+2025-02-01+AND+created+%3C%3D+2026-12-31+AND+type+%3D+Bug+AND+project+%3D+SOVA+AND+Sprint+%3D+4678+AND+status+%3D+%22IN+REVIEW+%2880%25%29%22" xr:uid="{35A5631F-26B3-4615-8DC7-73EC110A996F}"/>
    <hyperlink ref="H20" r:id="rId131" display="https://xrspace.atlassian.net/issues/?jql=created+%3E%3D+2025-02-01+AND+created+%3C%3D+2026-12-31+AND+type+%3D+Bug+AND+project+%3D+SOVA+AND+Sprint+%3D+4678+AND+status+%3D+%22WON%27T+DO+%28100%25%29%22" xr:uid="{0123B725-D70C-4A7B-BD81-06240CE14B95}"/>
    <hyperlink ref="C20" r:id="rId132" display="https://xrspace.atlassian.net/issues/?jql=created+%3E%3D+2025-02-01+AND+created+%3C%3D+2026-12-31+AND+type+%3D+Bug+AND+project+%3D+SOVA+AND+Sprint+%3D+4678+AND+status+%3D+%22STARTING+%2810+%7E+40%25%29%22" xr:uid="{997F3E00-A938-403A-82C9-DD52813F5B7C}"/>
    <hyperlink ref="F20" r:id="rId133" display="https://xrspace.atlassian.net/issues/?jql=created+%3E%3D+2025-02-01+AND+created+%3C%3D+2026-12-31+AND+type+%3D+Bug+AND+project+%3D+SOVA+AND+Sprint+%3D+4678+AND+status+%3D+%22READY+FOR+TESTING+%2890%25%29%22" xr:uid="{10876BD8-1357-4FFF-B5CC-9DC33F9C9CF1}"/>
    <hyperlink ref="B21" r:id="rId134" display="https://xrspace.atlassian.net/issues/?jql=created+%3E%3D+2025-02-01+AND+created+%3C%3D+2026-12-31+AND+type+%3D+Bug+AND+project+%3D+SOVA+AND+Sprint+%3D+4910+AND+status+%3D+%22To+Do+%280%25%29%22" xr:uid="{F987F7E0-8334-4C2D-A578-0FDCCB79306F}"/>
    <hyperlink ref="D21" r:id="rId135" display="https://xrspace.atlassian.net/issues/?jql=created+%3E%3D+2025-02-01+AND+created+%3C%3D+2026-12-31+AND+type+%3D+Bug+AND+project+%3D+SOVA+AND+Sprint+%3D+4910+AND+status+%3D+%22In+Progress+%2850+%7E+70%25%29%22" xr:uid="{E38CB781-3F8D-4757-A96B-FCE3E0FF93C3}"/>
    <hyperlink ref="G21" r:id="rId136" display="https://xrspace.atlassian.net/issues/?jql=created+%3E%3D+2025-02-01+AND+created+%3C%3D+2026-12-31+AND+type+%3D+Bug+AND+project+%3D+SOVA+AND+Sprint+%3D+4910+AND+status+%3D+%22Done+%28100%25%29%22" xr:uid="{A2630D13-42EA-40D2-BD99-3C6FC7620097}"/>
    <hyperlink ref="E21" r:id="rId137" display="https://xrspace.atlassian.net/issues/?jql=created+%3E%3D+2025-02-01+AND+created+%3C%3D+2026-12-31+AND+type+%3D+Bug+AND+project+%3D+SOVA+AND+Sprint+%3D+4910+AND+status+%3D+%22IN+REVIEW+%2880%25%29%22" xr:uid="{6F5AEA4B-1F75-42EA-BBC7-FEFC959C659E}"/>
    <hyperlink ref="H21" r:id="rId138" display="https://xrspace.atlassian.net/issues/?jql=created+%3E%3D+2025-02-01+AND+created+%3C%3D+2026-12-31+AND+type+%3D+Bug+AND+project+%3D+SOVA+AND+Sprint+%3D+4910+AND+status+%3D+%22WON%27T+DO+%28100%25%29%22" xr:uid="{76A89D28-754E-4178-BE1A-EC2C5C3F33ED}"/>
    <hyperlink ref="C21" r:id="rId139" display="https://xrspace.atlassian.net/issues/?jql=created+%3E%3D+2025-02-01+AND+created+%3C%3D+2026-12-31+AND+type+%3D+Bug+AND+project+%3D+SOVA+AND+Sprint+%3D+4910+AND+status+%3D+%22STARTING+%2810+%7E+40%25%29%22" xr:uid="{3CEFB97D-7DE4-4803-99AB-90BE85E69A24}"/>
    <hyperlink ref="F21" r:id="rId140" display="https://xrspace.atlassian.net/issues/?jql=created+%3E%3D+2025-02-01+AND+created+%3C%3D+2026-12-31+AND+type+%3D+Bug+AND+project+%3D+SOVA+AND+Sprint+%3D+4910+AND+status+%3D+%22READY+FOR+TESTING+%2890%25%29%22" xr:uid="{9889BF83-5F02-4D07-B306-D514BD47B9A3}"/>
    <hyperlink ref="B22" r:id="rId141" display="https://xrspace.atlassian.net/issues/?jql=created+%3E%3D+2025-02-01+AND+created+%3C%3D+2026-12-31+AND+type+%3D+Bug+AND+project+%3D+SOVA+AND+Sprint+%3D+5044+AND+status+%3D+%22To+Do+%280%25%29%22" xr:uid="{3C3BBB93-25B6-44A2-9380-CDAD3001162E}"/>
    <hyperlink ref="D22" r:id="rId142" display="https://xrspace.atlassian.net/issues/?jql=created+%3E%3D+2025-02-01+AND+created+%3C%3D+2026-12-31+AND+type+%3D+Bug+AND+project+%3D+SOVA+AND+Sprint+%3D+5044+AND+status+%3D+%22In+Progress+%2850+%7E+70%25%29%22" xr:uid="{CAE91713-6732-4DC6-BE52-C6EADAE61F50}"/>
    <hyperlink ref="G22" r:id="rId143" display="https://xrspace.atlassian.net/issues/?jql=created+%3E%3D+2025-02-01+AND+created+%3C%3D+2026-12-31+AND+type+%3D+Bug+AND+project+%3D+SOVA+AND+Sprint+%3D+5044+AND+status+%3D+%22Done+%28100%25%29%22" xr:uid="{6F810329-F5FC-4D08-94BB-AB072658E239}"/>
    <hyperlink ref="E22" r:id="rId144" display="https://xrspace.atlassian.net/issues/?jql=created+%3E%3D+2025-02-01+AND+created+%3C%3D+2026-12-31+AND+type+%3D+Bug+AND+project+%3D+SOVA+AND+Sprint+%3D+5044+AND+status+%3D+%22IN+REVIEW+%2880%25%29%22" xr:uid="{A76838FA-4BBE-4266-9F5D-62AD42C54C40}"/>
    <hyperlink ref="H22" r:id="rId145" display="https://xrspace.atlassian.net/issues/?jql=created+%3E%3D+2025-02-01+AND+created+%3C%3D+2026-12-31+AND+type+%3D+Bug+AND+project+%3D+SOVA+AND+Sprint+%3D+5044+AND+status+%3D+%22WON%27T+DO+%28100%25%29%22" xr:uid="{FD956301-1543-4223-B682-629D588D073B}"/>
    <hyperlink ref="C22" r:id="rId146" display="https://xrspace.atlassian.net/issues/?jql=created+%3E%3D+2025-02-01+AND+created+%3C%3D+2026-12-31+AND+type+%3D+Bug+AND+project+%3D+SOVA+AND+Sprint+%3D+5044+AND+status+%3D+%22STARTING+%2810+%7E+40%25%29%22" xr:uid="{B9F1EB2D-850A-4124-A594-3922A221477B}"/>
    <hyperlink ref="F22" r:id="rId147" display="https://xrspace.atlassian.net/issues/?jql=created+%3E%3D+2025-02-01+AND+created+%3C%3D+2026-12-31+AND+type+%3D+Bug+AND+project+%3D+SOVA+AND+Sprint+%3D+5044+AND+status+%3D+%22READY+FOR+TESTING+%2890%25%29%22" xr:uid="{35A4E045-4E1E-42B9-B31B-70205F5002D1}"/>
    <hyperlink ref="B23" r:id="rId148" display="https://xrspace.atlassian.net/issues/?jql=created+%3E%3D+2025-02-01+AND+created+%3C%3D+2026-12-31+AND+type+%3D+Bug+AND+project+%3D+SOVA+AND+Sprint+%3D+5045+AND+status+%3D+%22To+Do+%280%25%29%22" xr:uid="{E6C121AE-CA2D-4A02-B242-37D4B17855BF}"/>
    <hyperlink ref="D23" r:id="rId149" display="https://xrspace.atlassian.net/issues/?jql=created+%3E%3D+2025-02-01+AND+created+%3C%3D+2026-12-31+AND+type+%3D+Bug+AND+project+%3D+SOVA+AND+Sprint+%3D+5045+AND+status+%3D+%22In+Progress+%2850+%7E+70%25%29%22" xr:uid="{1779EAFC-449E-4713-B38C-666945A2996D}"/>
    <hyperlink ref="G23" r:id="rId150" display="https://xrspace.atlassian.net/issues/?jql=created+%3E%3D+2025-02-01+AND+created+%3C%3D+2026-12-31+AND+type+%3D+Bug+AND+project+%3D+SOVA+AND+Sprint+%3D+5045+AND+status+%3D+%22Done+%28100%25%29%22" xr:uid="{91C1871B-60B7-4122-AE5C-55D3F373E9D5}"/>
    <hyperlink ref="E23" r:id="rId151" display="https://xrspace.atlassian.net/issues/?jql=created+%3E%3D+2025-02-01+AND+created+%3C%3D+2026-12-31+AND+type+%3D+Bug+AND+project+%3D+SOVA+AND+Sprint+%3D+5045+AND+status+%3D+%22IN+REVIEW+%2880%25%29%22" xr:uid="{B31D41C1-E956-454E-8FE6-2D7C76A5A74D}"/>
    <hyperlink ref="H23" r:id="rId152" display="https://xrspace.atlassian.net/issues/?jql=created+%3E%3D+2025-02-01+AND+created+%3C%3D+2026-12-31+AND+type+%3D+Bug+AND+project+%3D+SOVA+AND+Sprint+%3D+5045+AND+status+%3D+%22WON%27T+DO+%28100%25%29%22" xr:uid="{B81792B0-2634-41CE-B033-69A945428905}"/>
    <hyperlink ref="C23" r:id="rId153" display="https://xrspace.atlassian.net/issues/?jql=created+%3E%3D+2025-02-01+AND+created+%3C%3D+2026-12-31+AND+type+%3D+Bug+AND+project+%3D+SOVA+AND+Sprint+%3D+5045+AND+status+%3D+%22STARTING+%2810+%7E+40%25%29%22" xr:uid="{35EA7A80-DA90-4F1B-A029-732D90495731}"/>
    <hyperlink ref="F23" r:id="rId154" display="https://xrspace.atlassian.net/issues/?jql=created+%3E%3D+2025-02-01+AND+created+%3C%3D+2026-12-31+AND+type+%3D+Bug+AND+project+%3D+SOVA+AND+Sprint+%3D+5045+AND+status+%3D+%22READY+FOR+TESTING+%2890%25%29%22" xr:uid="{6B06A689-72B1-481B-90B4-3C95B96F24FE}"/>
    <hyperlink ref="B24" r:id="rId155" display="https://xrspace.atlassian.net/issues/?jql=created+%3E%3D+2025-02-01+AND+created+%3C%3D+2026-12-31+AND+type+%3D+Bug+AND+project+%3D+SOVA+AND+Sprint+%3D+5078+AND+status+%3D+%22To+Do+%280%25%29%22" xr:uid="{C710A40F-9091-4FCD-9984-DFAF1FD08674}"/>
    <hyperlink ref="D24" r:id="rId156" display="https://xrspace.atlassian.net/issues/?jql=created+%3E%3D+2025-02-01+AND+created+%3C%3D+2026-12-31+AND+type+%3D+Bug+AND+project+%3D+SOVA+AND+Sprint+%3D+5078+AND+status+%3D+%22In+Progress+%2850+%7E+70%25%29%22" xr:uid="{83C91B1E-6C35-4889-8199-4771DEEB4600}"/>
    <hyperlink ref="G24" r:id="rId157" display="https://xrspace.atlassian.net/issues/?jql=created+%3E%3D+2025-02-01+AND+created+%3C%3D+2026-12-31+AND+type+%3D+Bug+AND+project+%3D+SOVA+AND+Sprint+%3D+5078+AND+status+%3D+%22Done+%28100%25%29%22" xr:uid="{C12E69D0-4E8C-4D1C-B9FD-8A096523051F}"/>
    <hyperlink ref="E24" r:id="rId158" display="https://xrspace.atlassian.net/issues/?jql=created+%3E%3D+2025-02-01+AND+created+%3C%3D+2026-12-31+AND+type+%3D+Bug+AND+project+%3D+SOVA+AND+Sprint+%3D+5078+AND+status+%3D+%22IN+REVIEW+%2880%25%29%22" xr:uid="{86F7C565-8216-4660-856F-42C029107EA7}"/>
    <hyperlink ref="H24" r:id="rId159" display="https://xrspace.atlassian.net/issues/?jql=created+%3E%3D+2025-02-01+AND+created+%3C%3D+2026-12-31+AND+type+%3D+Bug+AND+project+%3D+SOVA+AND+Sprint+%3D+5078+AND+status+%3D+%22WON%27T+DO+%28100%25%29%22" xr:uid="{A17AD685-FA11-4DD1-905C-9CDE825491E3}"/>
    <hyperlink ref="C24" r:id="rId160" display="https://xrspace.atlassian.net/issues/?jql=created+%3E%3D+2025-02-01+AND+created+%3C%3D+2026-12-31+AND+type+%3D+Bug+AND+project+%3D+SOVA+AND+Sprint+%3D+5078+AND+status+%3D+%22STARTING+%2810+%7E+40%25%29%22" xr:uid="{BFF1C317-D150-46DB-AC2E-718F4AB38E1F}"/>
    <hyperlink ref="F24" r:id="rId161" display="https://xrspace.atlassian.net/issues/?jql=created+%3E%3D+2025-02-01+AND+created+%3C%3D+2026-12-31+AND+type+%3D+Bug+AND+project+%3D+SOVA+AND+Sprint+%3D+5078+AND+status+%3D+%22READY+FOR+TESTING+%2890%25%29%22" xr:uid="{E11A8AA3-0447-4986-8F69-9BF566CF1CAF}"/>
  </hyperlinks>
  <pageMargins left="0.7" right="0.7" top="0.75" bottom="0.75" header="0.3" footer="0.3"/>
  <pageSetup orientation="portrait" r:id="rId162"/>
  <drawing r:id="rId163"/>
  <tableParts count="1">
    <tablePart r:id="rId164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3F3FC-17EF-4D6A-9290-8FAFFC789915}">
  <dimension ref="A1:E28"/>
  <sheetViews>
    <sheetView topLeftCell="A10" workbookViewId="0">
      <selection activeCell="I29" sqref="I29"/>
    </sheetView>
  </sheetViews>
  <sheetFormatPr defaultRowHeight="15"/>
  <cols>
    <col min="1" max="1" width="9.5546875" customWidth="1"/>
    <col min="2" max="5" width="20.77734375" customWidth="1"/>
  </cols>
  <sheetData>
    <row r="1" spans="1:5">
      <c r="A1" s="2" t="s">
        <v>36</v>
      </c>
      <c r="B1" s="2" t="s">
        <v>1</v>
      </c>
      <c r="C1" s="2" t="s">
        <v>2</v>
      </c>
      <c r="D1" s="2" t="s">
        <v>0</v>
      </c>
      <c r="E1" s="2" t="s">
        <v>3</v>
      </c>
    </row>
    <row r="2" spans="1:5" ht="20.100000000000001" customHeight="1">
      <c r="A2" s="2" t="s">
        <v>56</v>
      </c>
      <c r="B2" s="13">
        <v>0</v>
      </c>
      <c r="C2" s="13">
        <v>0</v>
      </c>
      <c r="D2" s="13">
        <v>91</v>
      </c>
      <c r="E2" s="13">
        <f>SUM(Table25[[#This Row],[Done]:[TODO (P1)]])</f>
        <v>91</v>
      </c>
    </row>
    <row r="3" spans="1:5" ht="20.100000000000001" customHeight="1">
      <c r="A3" s="3" t="s">
        <v>57</v>
      </c>
      <c r="B3" s="14">
        <v>0</v>
      </c>
      <c r="C3" s="14">
        <v>1</v>
      </c>
      <c r="D3" s="14">
        <v>90</v>
      </c>
      <c r="E3" s="14">
        <f>SUM(Table25[[#This Row],[Done]:[TODO (P1)]])</f>
        <v>91</v>
      </c>
    </row>
    <row r="4" spans="1:5" ht="20.100000000000001" customHeight="1">
      <c r="A4" s="2" t="s">
        <v>58</v>
      </c>
      <c r="B4" s="14">
        <v>0</v>
      </c>
      <c r="C4" s="14">
        <v>1</v>
      </c>
      <c r="D4" s="14">
        <v>90</v>
      </c>
      <c r="E4" s="14">
        <f>SUM(Table25[[#This Row],[Done]:[TODO (P1)]])</f>
        <v>91</v>
      </c>
    </row>
    <row r="5" spans="1:5" ht="20.100000000000001" customHeight="1">
      <c r="A5" s="3" t="s">
        <v>59</v>
      </c>
      <c r="B5" s="14">
        <v>0</v>
      </c>
      <c r="C5" s="14">
        <v>1</v>
      </c>
      <c r="D5" s="14">
        <v>90</v>
      </c>
      <c r="E5" s="14">
        <f>SUM(Table25[[#This Row],[Done]:[TODO (P1)]])</f>
        <v>91</v>
      </c>
    </row>
    <row r="6" spans="1:5" ht="20.100000000000001" customHeight="1">
      <c r="A6" s="3" t="s">
        <v>60</v>
      </c>
      <c r="B6" s="14">
        <v>5</v>
      </c>
      <c r="C6" s="14">
        <v>0</v>
      </c>
      <c r="D6" s="14">
        <v>77</v>
      </c>
      <c r="E6" s="14">
        <f>SUM(Table25[[#This Row],[Done]:[TODO (P1)]])</f>
        <v>82</v>
      </c>
    </row>
    <row r="7" spans="1:5" ht="20.100000000000001" customHeight="1">
      <c r="A7" s="3" t="s">
        <v>61</v>
      </c>
      <c r="B7" s="14">
        <v>5</v>
      </c>
      <c r="C7" s="14">
        <v>0</v>
      </c>
      <c r="D7" s="14">
        <v>77</v>
      </c>
      <c r="E7" s="14">
        <f>SUM(Table25[[#This Row],[Done]:[TODO (P1)]])</f>
        <v>82</v>
      </c>
    </row>
    <row r="8" spans="1:5" ht="20.100000000000001" customHeight="1">
      <c r="A8" s="3" t="s">
        <v>62</v>
      </c>
      <c r="B8" s="14">
        <v>5</v>
      </c>
      <c r="C8" s="14">
        <v>1</v>
      </c>
      <c r="D8" s="14">
        <v>76</v>
      </c>
      <c r="E8" s="14">
        <f>SUM(Table25[[#This Row],[Done]:[TODO (P1)]])</f>
        <v>82</v>
      </c>
    </row>
    <row r="9" spans="1:5" ht="20.100000000000001" customHeight="1">
      <c r="A9" s="3" t="s">
        <v>63</v>
      </c>
      <c r="B9" s="14">
        <v>6</v>
      </c>
      <c r="C9" s="14">
        <v>1</v>
      </c>
      <c r="D9" s="14">
        <v>76</v>
      </c>
      <c r="E9" s="14">
        <f>SUM(Table25[[#This Row],[Done]:[TODO (P1)]])</f>
        <v>83</v>
      </c>
    </row>
    <row r="10" spans="1:5" ht="20.100000000000001" customHeight="1">
      <c r="A10" s="3" t="s">
        <v>64</v>
      </c>
      <c r="B10" s="14">
        <v>6</v>
      </c>
      <c r="C10" s="14">
        <v>1</v>
      </c>
      <c r="D10" s="14">
        <v>76</v>
      </c>
      <c r="E10" s="14">
        <f>SUM(Table25[[#This Row],[Done]:[TODO (P1)]])</f>
        <v>83</v>
      </c>
    </row>
    <row r="11" spans="1:5" ht="20.100000000000001" customHeight="1">
      <c r="A11" s="3" t="s">
        <v>65</v>
      </c>
      <c r="B11" s="14">
        <v>12</v>
      </c>
      <c r="C11" s="14">
        <v>0</v>
      </c>
      <c r="D11" s="14">
        <v>77</v>
      </c>
      <c r="E11" s="14">
        <v>89</v>
      </c>
    </row>
    <row r="12" spans="1:5" ht="20.100000000000001" customHeight="1">
      <c r="A12" s="3" t="s">
        <v>66</v>
      </c>
      <c r="B12" s="14">
        <v>22</v>
      </c>
      <c r="C12" s="14">
        <v>0</v>
      </c>
      <c r="D12" s="14">
        <v>74</v>
      </c>
      <c r="E12" s="14">
        <f>SUM(Table25[[#This Row],[Done]:[TODO (P1)]])</f>
        <v>96</v>
      </c>
    </row>
    <row r="13" spans="1:5" ht="20.100000000000001" customHeight="1">
      <c r="A13" s="3" t="s">
        <v>67</v>
      </c>
      <c r="B13" s="14">
        <v>27</v>
      </c>
      <c r="C13" s="14">
        <v>0</v>
      </c>
      <c r="D13" s="14">
        <v>69</v>
      </c>
      <c r="E13" s="14">
        <f>SUM(Table25[[#This Row],[Done]:[TODO (P1)]])</f>
        <v>96</v>
      </c>
    </row>
    <row r="14" spans="1:5" ht="20.100000000000001" customHeight="1">
      <c r="A14" s="3" t="s">
        <v>55</v>
      </c>
      <c r="B14" s="14">
        <v>27</v>
      </c>
      <c r="C14" s="14">
        <v>2</v>
      </c>
      <c r="D14" s="14">
        <v>67</v>
      </c>
      <c r="E14" s="14">
        <f>SUM(Table25[[#This Row],[Done]:[TODO (P1)]])</f>
        <v>96</v>
      </c>
    </row>
    <row r="15" spans="1:5" ht="20.100000000000001" customHeight="1">
      <c r="A15" s="3" t="s">
        <v>68</v>
      </c>
      <c r="B15" s="14">
        <v>44</v>
      </c>
      <c r="C15" s="14">
        <v>3</v>
      </c>
      <c r="D15" s="14">
        <v>50</v>
      </c>
      <c r="E15" s="14">
        <f>SUM(Table25[[#This Row],[Done]:[TODO (P1)]])</f>
        <v>97</v>
      </c>
    </row>
    <row r="16" spans="1:5" ht="20.100000000000001" customHeight="1">
      <c r="A16" s="3" t="s">
        <v>83</v>
      </c>
      <c r="B16" s="14">
        <v>57</v>
      </c>
      <c r="C16" s="14">
        <v>0</v>
      </c>
      <c r="D16" s="14">
        <v>41</v>
      </c>
      <c r="E16" s="14">
        <f>SUM(Table25[[#This Row],[Done]:[TODO (P1)]])</f>
        <v>98</v>
      </c>
    </row>
    <row r="17" spans="1:5" ht="20.100000000000001" customHeight="1">
      <c r="A17" s="3" t="s">
        <v>84</v>
      </c>
      <c r="B17" s="14">
        <v>68</v>
      </c>
      <c r="C17" s="14">
        <v>0</v>
      </c>
      <c r="D17" s="14">
        <v>38</v>
      </c>
      <c r="E17" s="14">
        <f>SUM(Table25[[#This Row],[Done]:[TODO (P1)]])</f>
        <v>106</v>
      </c>
    </row>
    <row r="18" spans="1:5" ht="20.100000000000001" customHeight="1">
      <c r="A18" s="3" t="s">
        <v>85</v>
      </c>
      <c r="B18" s="14">
        <v>80</v>
      </c>
      <c r="C18" s="14">
        <v>0</v>
      </c>
      <c r="D18" s="14">
        <v>27</v>
      </c>
      <c r="E18" s="14">
        <f>SUM(Table25[[#This Row],[Done]:[TODO (P1)]])</f>
        <v>107</v>
      </c>
    </row>
    <row r="19" spans="1:5" ht="20.100000000000001" customHeight="1">
      <c r="A19" s="3" t="s">
        <v>89</v>
      </c>
      <c r="B19" s="14">
        <v>92</v>
      </c>
      <c r="C19" s="14">
        <v>6</v>
      </c>
      <c r="D19" s="14">
        <v>13</v>
      </c>
      <c r="E19" s="14">
        <f>SUM(Table25[[#This Row],[Done]:[TODO (P1)]])</f>
        <v>111</v>
      </c>
    </row>
    <row r="20" spans="1:5" ht="20.100000000000001" customHeight="1">
      <c r="A20" s="3" t="s">
        <v>90</v>
      </c>
      <c r="B20" s="14">
        <v>97</v>
      </c>
      <c r="C20" s="14">
        <v>3</v>
      </c>
      <c r="D20" s="14">
        <v>13</v>
      </c>
      <c r="E20" s="14">
        <f>SUM(Table25[[#This Row],[Done]:[TODO (P1)]])</f>
        <v>113</v>
      </c>
    </row>
    <row r="21" spans="1:5" ht="20.100000000000001" customHeight="1">
      <c r="A21" s="3" t="s">
        <v>91</v>
      </c>
      <c r="B21" s="14">
        <v>98</v>
      </c>
      <c r="C21" s="14">
        <v>1</v>
      </c>
      <c r="D21" s="14">
        <v>14</v>
      </c>
      <c r="E21" s="14">
        <f>SUM(Table25[[#This Row],[Done]:[TODO (P1)]])</f>
        <v>113</v>
      </c>
    </row>
    <row r="22" spans="1:5" ht="20.100000000000001" customHeight="1">
      <c r="A22" s="3" t="s">
        <v>100</v>
      </c>
      <c r="B22" s="14">
        <v>98</v>
      </c>
      <c r="C22" s="14">
        <v>1</v>
      </c>
      <c r="D22" s="14">
        <v>14</v>
      </c>
      <c r="E22" s="14">
        <f>SUM(Table25[[#This Row],[Done]:[TODO (P1)]])</f>
        <v>113</v>
      </c>
    </row>
    <row r="23" spans="1:5" ht="20.100000000000001" customHeight="1">
      <c r="A23" s="3" t="s">
        <v>102</v>
      </c>
      <c r="B23" s="14">
        <v>98</v>
      </c>
      <c r="C23" s="14">
        <v>1</v>
      </c>
      <c r="D23" s="14">
        <v>14</v>
      </c>
      <c r="E23" s="14">
        <f>SUM(Table25[[#This Row],[Done]:[TODO (P1)]])</f>
        <v>113</v>
      </c>
    </row>
    <row r="24" spans="1:5" ht="20.100000000000001" customHeight="1">
      <c r="A24" s="3" t="s">
        <v>104</v>
      </c>
      <c r="B24" s="14">
        <v>98</v>
      </c>
      <c r="C24" s="14">
        <v>1</v>
      </c>
      <c r="D24" s="14">
        <v>14</v>
      </c>
      <c r="E24" s="14">
        <f>SUM(Table25[[#This Row],[Done]:[TODO (P1)]])</f>
        <v>113</v>
      </c>
    </row>
    <row r="25" spans="1:5" ht="20.100000000000001" customHeight="1">
      <c r="A25" s="3" t="s">
        <v>107</v>
      </c>
      <c r="B25" s="14">
        <v>98</v>
      </c>
      <c r="C25" s="14">
        <v>1</v>
      </c>
      <c r="D25" s="14">
        <v>14</v>
      </c>
      <c r="E25" s="14">
        <f>SUM(Table25[[#This Row],[Done]:[TODO (P1)]])</f>
        <v>113</v>
      </c>
    </row>
    <row r="26" spans="1:5" ht="20.100000000000001" customHeight="1">
      <c r="A26" s="3" t="s">
        <v>108</v>
      </c>
      <c r="B26" s="14">
        <v>98</v>
      </c>
      <c r="C26" s="14">
        <v>1</v>
      </c>
      <c r="D26" s="14">
        <v>14</v>
      </c>
      <c r="E26" s="14">
        <f>SUM(Table25[[#This Row],[Done]:[TODO (P1)]])</f>
        <v>113</v>
      </c>
    </row>
    <row r="27" spans="1:5" ht="20.100000000000001" customHeight="1">
      <c r="A27" s="3" t="s">
        <v>109</v>
      </c>
      <c r="B27" s="14">
        <v>98</v>
      </c>
      <c r="C27" s="14">
        <v>1</v>
      </c>
      <c r="D27" s="14">
        <v>14</v>
      </c>
      <c r="E27" s="14">
        <f>SUM(Table25[[#This Row],[Done]:[TODO (P1)]])</f>
        <v>113</v>
      </c>
    </row>
    <row r="28" spans="1:5" ht="20.100000000000001" customHeight="1">
      <c r="A28" s="3" t="s">
        <v>112</v>
      </c>
      <c r="B28" s="14">
        <v>100</v>
      </c>
      <c r="C28" s="14">
        <v>0</v>
      </c>
      <c r="D28" s="14">
        <v>98</v>
      </c>
      <c r="E28" s="14">
        <f>SUM(Table25[[#This Row],[Done]:[TODO (P1)]])</f>
        <v>198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8DEA836-90D3-4533-84B8-03F1DE36876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TestAutomationProgress</vt:lpstr>
      <vt:lpstr>Humi-TestResult</vt:lpstr>
      <vt:lpstr>SOVA-TestResult</vt:lpstr>
      <vt:lpstr>Humi-BugTrend</vt:lpstr>
      <vt:lpstr>SOVA-BugTrend</vt:lpstr>
      <vt:lpstr>SOVA-UIAutomation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Hsu</dc:creator>
  <cp:lastModifiedBy>William Hsu</cp:lastModifiedBy>
  <dcterms:created xsi:type="dcterms:W3CDTF">2025-08-28T03:22:38Z</dcterms:created>
  <dcterms:modified xsi:type="dcterms:W3CDTF">2026-04-23T23:49:58Z</dcterms:modified>
</cp:coreProperties>
</file>