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CAF2DBBA-E8AA-4A70-B6F0-FFE54E07E96B}" xr6:coauthVersionLast="47" xr6:coauthVersionMax="47" xr10:uidLastSave="{00000000-0000-0000-0000-000000000000}"/>
  <bookViews>
    <workbookView xWindow="-120" yWindow="-120" windowWidth="29040" windowHeight="15720" activeTab="2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" i="2" l="1"/>
  <c r="E6" i="6"/>
  <c r="E15" i="1"/>
  <c r="E5" i="6"/>
  <c r="E16" i="1"/>
  <c r="H18" i="2"/>
  <c r="E7" i="6"/>
  <c r="H22" i="3"/>
  <c r="H23" i="3"/>
  <c r="E14" i="1"/>
  <c r="H20" i="2"/>
  <c r="E13" i="1"/>
  <c r="E12" i="1"/>
  <c r="E3" i="6"/>
  <c r="E2" i="6"/>
  <c r="E4" i="6"/>
  <c r="H16" i="2"/>
  <c r="H21" i="3"/>
  <c r="E2" i="1"/>
  <c r="E3" i="1"/>
  <c r="E4" i="1"/>
  <c r="E5" i="1"/>
  <c r="E6" i="1"/>
  <c r="E7" i="1"/>
  <c r="E8" i="1"/>
  <c r="E9" i="1"/>
  <c r="E10" i="1"/>
  <c r="E11" i="1"/>
  <c r="H10" i="4"/>
  <c r="H20" i="3"/>
  <c r="H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" i="3"/>
  <c r="H6" i="2"/>
  <c r="H2" i="2"/>
  <c r="H4" i="2"/>
  <c r="H8" i="2"/>
  <c r="H10" i="2"/>
  <c r="H12" i="2"/>
  <c r="H9" i="4"/>
  <c r="H3" i="4"/>
  <c r="H4" i="4"/>
  <c r="H5" i="4"/>
  <c r="H6" i="4"/>
  <c r="H7" i="4"/>
  <c r="H8" i="4"/>
  <c r="H2" i="4"/>
</calcChain>
</file>

<file path=xl/sharedStrings.xml><?xml version="1.0" encoding="utf-8"?>
<sst xmlns="http://schemas.openxmlformats.org/spreadsheetml/2006/main" count="134" uniqueCount="85">
  <si>
    <t>TODO (P1)</t>
  </si>
  <si>
    <t>W32</t>
  </si>
  <si>
    <t>W33</t>
  </si>
  <si>
    <t>W34</t>
  </si>
  <si>
    <t>W35</t>
  </si>
  <si>
    <t>Done</t>
  </si>
  <si>
    <t>In Review/Progress</t>
  </si>
  <si>
    <t>Total</t>
  </si>
  <si>
    <t>W36</t>
  </si>
  <si>
    <t>W37</t>
  </si>
  <si>
    <t>W38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</si>
  <si>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</si>
  <si>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</si>
  <si>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</si>
  <si>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</si>
  <si>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</si>
  <si>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</si>
  <si>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</si>
  <si>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</si>
  <si>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</si>
  <si>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</si>
  <si>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</si>
  <si>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</si>
  <si>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W28</t>
  </si>
  <si>
    <t>W29</t>
  </si>
  <si>
    <t>W30</t>
  </si>
  <si>
    <t>W31</t>
  </si>
  <si>
    <t>Blocked</t>
  </si>
  <si>
    <t>In Review</t>
  </si>
  <si>
    <t>To Do</t>
  </si>
  <si>
    <t>v1.12</t>
  </si>
  <si>
    <t>v1.13</t>
  </si>
  <si>
    <t>v1.14</t>
  </si>
  <si>
    <t>v1.15</t>
  </si>
  <si>
    <t>v1.16</t>
  </si>
  <si>
    <t>v1.17</t>
  </si>
  <si>
    <t>v1.18</t>
  </si>
  <si>
    <t>v1.19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</si>
  <si>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</si>
  <si>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</si>
  <si>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</si>
  <si>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</si>
  <si>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</si>
  <si>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</si>
  <si>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</si>
  <si>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</si>
  <si>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</si>
  <si>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y25w28</t>
  </si>
  <si>
    <t>y25w30</t>
  </si>
  <si>
    <t>y25w32</t>
  </si>
  <si>
    <t>y25w34</t>
  </si>
  <si>
    <t>y25w36</t>
  </si>
  <si>
    <t>Versions</t>
  </si>
  <si>
    <t>y25w38</t>
  </si>
  <si>
    <t>y25w40</t>
  </si>
  <si>
    <t>y25w12</t>
  </si>
  <si>
    <t>y25w14</t>
  </si>
  <si>
    <t>y25w16</t>
  </si>
  <si>
    <t>y25w18</t>
  </si>
  <si>
    <t>y25w20</t>
  </si>
  <si>
    <t>y25w22</t>
  </si>
  <si>
    <t>y25w24</t>
  </si>
  <si>
    <t>y25w26</t>
  </si>
  <si>
    <t>In Progress</t>
  </si>
  <si>
    <t>Week</t>
  </si>
  <si>
    <t>v1.29</t>
  </si>
  <si>
    <t>W39</t>
  </si>
  <si>
    <t>In QA</t>
  </si>
  <si>
    <t>Internal Test</t>
  </si>
  <si>
    <t>In Progress (50 ~ 70%)</t>
  </si>
  <si>
    <t>y25w42</t>
  </si>
  <si>
    <t>W40</t>
  </si>
  <si>
    <t>v1.30</t>
  </si>
  <si>
    <t>W41</t>
  </si>
  <si>
    <t>W42</t>
  </si>
  <si>
    <t>v1.31</t>
  </si>
  <si>
    <t>y25w44</t>
  </si>
  <si>
    <t>W43</t>
  </si>
  <si>
    <t>y25w46</t>
  </si>
  <si>
    <t>W44</t>
  </si>
  <si>
    <t>v1.32</t>
  </si>
  <si>
    <t>v1.33</t>
  </si>
  <si>
    <t>W45</t>
  </si>
  <si>
    <t>y25w48</t>
  </si>
  <si>
    <t>W46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</si>
</sst>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</cellXfs>
  <cellStyles count="2">
    <cellStyle name="Hyperlink" xfId="1" builtinId="8"/>
    <cellStyle name="Normal" xfId="0" builtinId="0"/>
  </cellStyles>
  <dxfs count="28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1" formatCode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TestAutomationProgress!$A$2:$A$16</c:f>
              <c:strCache>
                <c:ptCount val="15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</c:strCache>
            </c:strRef>
          </c:cat>
          <c:val>
            <c:numRef>
              <c:f>TestAutomationProgress!$B$2:$B$16</c:f>
              <c:numCache>
                <c:formatCode>General</c:formatCode>
                <c:ptCount val="15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15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15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TestAutomationProgress!$A$2:$A$16</c:f>
              <c:strCache>
                <c:ptCount val="15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</c:strCache>
            </c:strRef>
          </c:cat>
          <c:val>
            <c:numRef>
              <c:f>TestAutomationProgress!$C$2:$C$16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11</c:v>
                </c:pt>
                <c:pt idx="10">
                  <c:v>11</c:v>
                </c:pt>
                <c:pt idx="11">
                  <c:v>12</c:v>
                </c:pt>
                <c:pt idx="12">
                  <c:v>11</c:v>
                </c:pt>
                <c:pt idx="13">
                  <c:v>14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TestAutomationProgress!$A$2:$A$16</c:f>
              <c:strCache>
                <c:ptCount val="15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</c:strCache>
            </c:strRef>
          </c:cat>
          <c:val>
            <c:numRef>
              <c:f>TestAutomationProgress!$D$2:$D$16</c:f>
              <c:numCache>
                <c:formatCode>General</c:formatCode>
                <c:ptCount val="15"/>
                <c:pt idx="0">
                  <c:v>115</c:v>
                </c:pt>
                <c:pt idx="1">
                  <c:v>114</c:v>
                </c:pt>
                <c:pt idx="2">
                  <c:v>109</c:v>
                </c:pt>
                <c:pt idx="3">
                  <c:v>108</c:v>
                </c:pt>
                <c:pt idx="4">
                  <c:v>104</c:v>
                </c:pt>
                <c:pt idx="5">
                  <c:v>228</c:v>
                </c:pt>
                <c:pt idx="6">
                  <c:v>224</c:v>
                </c:pt>
                <c:pt idx="7">
                  <c:v>220</c:v>
                </c:pt>
                <c:pt idx="8">
                  <c:v>219</c:v>
                </c:pt>
                <c:pt idx="9">
                  <c:v>173</c:v>
                </c:pt>
                <c:pt idx="10">
                  <c:v>172</c:v>
                </c:pt>
                <c:pt idx="11">
                  <c:v>168</c:v>
                </c:pt>
                <c:pt idx="12">
                  <c:v>166</c:v>
                </c:pt>
                <c:pt idx="13">
                  <c:v>160</c:v>
                </c:pt>
                <c:pt idx="14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'Humi-TestResult'!$A$2:$A$12</c:f>
              <c:strCache>
                <c:ptCount val="11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</c:strCache>
            </c:strRef>
          </c:cat>
          <c:val>
            <c:numRef>
              <c:f>'Humi-TestResult'!$B$2:$B$12</c:f>
              <c:numCache>
                <c:formatCode>General</c:formatCode>
                <c:ptCount val="11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'Humi-TestResult'!$A$2:$A$12</c:f>
              <c:strCache>
                <c:ptCount val="11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</c:strCache>
            </c:strRef>
          </c:cat>
          <c:val>
            <c:numRef>
              <c:f>'Humi-TestResult'!$C$2:$C$12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'Humi-TestResult'!$A$2:$A$12</c:f>
              <c:strCache>
                <c:ptCount val="11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</c:strCache>
            </c:strRef>
          </c:cat>
          <c:val>
            <c:numRef>
              <c:f>'Humi-TestResult'!$D$2:$D$12</c:f>
              <c:numCache>
                <c:formatCode>General</c:formatCode>
                <c:ptCount val="11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'Humi-TestResult'!$A$2:$A$12</c:f>
              <c:strCache>
                <c:ptCount val="11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</c:strCache>
            </c:strRef>
          </c:cat>
          <c:val>
            <c:numRef>
              <c:f>'Humi-TestResult'!$E$2:$E$12</c:f>
              <c:numCache>
                <c:formatCode>General</c:formatCode>
                <c:ptCount val="11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'Humi-TestResult'!$A$2:$A$12</c:f>
              <c:strCache>
                <c:ptCount val="11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</c:strCache>
            </c:strRef>
          </c:cat>
          <c:val>
            <c:numRef>
              <c:f>'Humi-TestResult'!$F$2:$F$12</c:f>
              <c:numCache>
                <c:formatCode>General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'Humi-TestResult'!$A$2:$A$12</c:f>
              <c:strCache>
                <c:ptCount val="11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</c:strCache>
            </c:strRef>
          </c:cat>
          <c:val>
            <c:numRef>
              <c:f>'Humi-TestResult'!$G$2:$G$12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'Humi-TestResult'!$A$2:$A$12</c:f>
              <c:strCache>
                <c:ptCount val="11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</c:strCache>
            </c:strRef>
          </c:cat>
          <c:val>
            <c:numRef>
              <c:f>'Humi-TestResult'!$H$2:$H$12</c:f>
              <c:numCache>
                <c:formatCode>General</c:formatCode>
                <c:ptCount val="11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'SOVA-TestResult'!$A$2:$A$20</c:f>
              <c:strCache>
                <c:ptCount val="19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</c:strCache>
            </c:strRef>
          </c:cat>
          <c:val>
            <c:numRef>
              <c:f>'SOVA-TestResult'!$B$2:$B$20</c:f>
              <c:numCache>
                <c:formatCode>General</c:formatCode>
                <c:ptCount val="19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'SOVA-TestResult'!$A$2:$A$20</c:f>
              <c:strCache>
                <c:ptCount val="19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</c:strCache>
            </c:strRef>
          </c:cat>
          <c:val>
            <c:numRef>
              <c:f>'SOVA-TestResult'!$C$2:$C$20</c:f>
              <c:numCache>
                <c:formatCode>General</c:formatCode>
                <c:ptCount val="19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'SOVA-TestResult'!$A$2:$A$20</c:f>
              <c:strCache>
                <c:ptCount val="19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</c:strCache>
            </c:strRef>
          </c:cat>
          <c:val>
            <c:numRef>
              <c:f>'SOVA-TestResult'!$D$2:$D$20</c:f>
              <c:numCache>
                <c:formatCode>General</c:formatCode>
                <c:ptCount val="19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'SOVA-TestResult'!$A$2:$A$20</c:f>
              <c:strCache>
                <c:ptCount val="19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</c:strCache>
            </c:strRef>
          </c:cat>
          <c:val>
            <c:numRef>
              <c:f>'SOVA-TestResult'!$E$2:$E$20</c:f>
              <c:numCache>
                <c:formatCode>General</c:formatCode>
                <c:ptCount val="19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'SOVA-TestResult'!$A$2:$A$20</c:f>
              <c:strCache>
                <c:ptCount val="19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</c:strCache>
            </c:strRef>
          </c:cat>
          <c:val>
            <c:numRef>
              <c:f>'SOVA-TestResult'!$F$2:$F$20</c:f>
              <c:numCache>
                <c:formatCode>General</c:formatCode>
                <c:ptCount val="19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'SOVA-TestResult'!$A$2:$A$20</c:f>
              <c:strCache>
                <c:ptCount val="19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</c:strCache>
            </c:strRef>
          </c:cat>
          <c:val>
            <c:numRef>
              <c:f>'SOVA-TestResult'!$G$2:$G$20</c:f>
              <c:numCache>
                <c:formatCode>General</c:formatCode>
                <c:ptCount val="19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'SOVA-TestResult'!$A$2:$A$20</c:f>
              <c:strCache>
                <c:ptCount val="19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</c:strCache>
            </c:strRef>
          </c:cat>
          <c:val>
            <c:numRef>
              <c:f>'SOVA-TestResult'!$H$2:$H$20</c:f>
              <c:numCache>
                <c:formatCode>General</c:formatCode>
                <c:ptCount val="19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'Humi-BugTrend'!$A$2:$A$23</c:f>
              <c:strCache>
                <c:ptCount val="22"/>
                <c:pt idx="0">
                  <c:v>v1.12</c:v>
                </c:pt>
                <c:pt idx="1">
                  <c:v>v1.13</c:v>
                </c:pt>
                <c:pt idx="2">
                  <c:v>v1.14</c:v>
                </c:pt>
                <c:pt idx="3">
                  <c:v>v1.15</c:v>
                </c:pt>
                <c:pt idx="4">
                  <c:v>v1.16</c:v>
                </c:pt>
                <c:pt idx="5">
                  <c:v>v1.17</c:v>
                </c:pt>
                <c:pt idx="6">
                  <c:v>v1.18</c:v>
                </c:pt>
                <c:pt idx="7">
                  <c:v>v1.19</c:v>
                </c:pt>
                <c:pt idx="8">
                  <c:v>v1.20</c:v>
                </c:pt>
                <c:pt idx="9">
                  <c:v>v1.21</c:v>
                </c:pt>
                <c:pt idx="10">
                  <c:v>v1.22</c:v>
                </c:pt>
                <c:pt idx="11">
                  <c:v>v1.23</c:v>
                </c:pt>
                <c:pt idx="12">
                  <c:v>v1.24</c:v>
                </c:pt>
                <c:pt idx="13">
                  <c:v>v1.25</c:v>
                </c:pt>
                <c:pt idx="14">
                  <c:v>v1.26</c:v>
                </c:pt>
                <c:pt idx="15">
                  <c:v>v1.27</c:v>
                </c:pt>
                <c:pt idx="16">
                  <c:v>v1.28</c:v>
                </c:pt>
                <c:pt idx="17">
                  <c:v>v1.29</c:v>
                </c:pt>
                <c:pt idx="18">
                  <c:v>v1.30</c:v>
                </c:pt>
                <c:pt idx="19">
                  <c:v>v1.31</c:v>
                </c:pt>
                <c:pt idx="20">
                  <c:v>v1.32</c:v>
                </c:pt>
                <c:pt idx="21">
                  <c:v>v1.33</c:v>
                </c:pt>
              </c:strCache>
            </c:strRef>
          </c:cat>
          <c:val>
            <c:numRef>
              <c:f>'Humi-BugTrend'!$B$2:$B$23</c:f>
              <c:numCache>
                <c:formatCode>General</c:formatCode>
                <c:ptCount val="22"/>
                <c:pt idx="0">
                  <c:v>2</c:v>
                </c:pt>
                <c:pt idx="1">
                  <c:v>7</c:v>
                </c:pt>
                <c:pt idx="2">
                  <c:v>7</c:v>
                </c:pt>
                <c:pt idx="3">
                  <c:v>13</c:v>
                </c:pt>
                <c:pt idx="4">
                  <c:v>8</c:v>
                </c:pt>
                <c:pt idx="5">
                  <c:v>34</c:v>
                </c:pt>
                <c:pt idx="6">
                  <c:v>34</c:v>
                </c:pt>
                <c:pt idx="7">
                  <c:v>16</c:v>
                </c:pt>
                <c:pt idx="8">
                  <c:v>18</c:v>
                </c:pt>
                <c:pt idx="9">
                  <c:v>7</c:v>
                </c:pt>
                <c:pt idx="10">
                  <c:v>18</c:v>
                </c:pt>
                <c:pt idx="11">
                  <c:v>20</c:v>
                </c:pt>
                <c:pt idx="12">
                  <c:v>26</c:v>
                </c:pt>
                <c:pt idx="13">
                  <c:v>17</c:v>
                </c:pt>
                <c:pt idx="14">
                  <c:v>10</c:v>
                </c:pt>
                <c:pt idx="15">
                  <c:v>7</c:v>
                </c:pt>
                <c:pt idx="16">
                  <c:v>13</c:v>
                </c:pt>
                <c:pt idx="17">
                  <c:v>3</c:v>
                </c:pt>
                <c:pt idx="18">
                  <c:v>16</c:v>
                </c:pt>
                <c:pt idx="19">
                  <c:v>3</c:v>
                </c:pt>
                <c:pt idx="20">
                  <c:v>5</c:v>
                </c:pt>
                <c:pt idx="2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v1.12</c:v>
                </c:pt>
                <c:pt idx="1">
                  <c:v>v1.13</c:v>
                </c:pt>
                <c:pt idx="2">
                  <c:v>v1.14</c:v>
                </c:pt>
                <c:pt idx="3">
                  <c:v>v1.15</c:v>
                </c:pt>
                <c:pt idx="4">
                  <c:v>v1.16</c:v>
                </c:pt>
                <c:pt idx="5">
                  <c:v>v1.17</c:v>
                </c:pt>
                <c:pt idx="6">
                  <c:v>v1.18</c:v>
                </c:pt>
                <c:pt idx="7">
                  <c:v>v1.19</c:v>
                </c:pt>
                <c:pt idx="8">
                  <c:v>v1.20</c:v>
                </c:pt>
                <c:pt idx="9">
                  <c:v>v1.21</c:v>
                </c:pt>
                <c:pt idx="10">
                  <c:v>v1.22</c:v>
                </c:pt>
                <c:pt idx="11">
                  <c:v>v1.23</c:v>
                </c:pt>
                <c:pt idx="12">
                  <c:v>v1.24</c:v>
                </c:pt>
                <c:pt idx="13">
                  <c:v>v1.25</c:v>
                </c:pt>
                <c:pt idx="14">
                  <c:v>v1.26</c:v>
                </c:pt>
                <c:pt idx="15">
                  <c:v>v1.27</c:v>
                </c:pt>
                <c:pt idx="16">
                  <c:v>v1.28</c:v>
                </c:pt>
                <c:pt idx="17">
                  <c:v>v1.29</c:v>
                </c:pt>
                <c:pt idx="18">
                  <c:v>v1.30</c:v>
                </c:pt>
                <c:pt idx="19">
                  <c:v>v1.31</c:v>
                </c:pt>
                <c:pt idx="20">
                  <c:v>v1.32</c:v>
                </c:pt>
                <c:pt idx="21">
                  <c:v>v1.33</c:v>
                </c:pt>
              </c:strCache>
            </c:strRef>
          </c:cat>
          <c:val>
            <c:numRef>
              <c:f>'Humi-BugTrend'!$C$2:$C$23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v1.12</c:v>
                </c:pt>
                <c:pt idx="1">
                  <c:v>v1.13</c:v>
                </c:pt>
                <c:pt idx="2">
                  <c:v>v1.14</c:v>
                </c:pt>
                <c:pt idx="3">
                  <c:v>v1.15</c:v>
                </c:pt>
                <c:pt idx="4">
                  <c:v>v1.16</c:v>
                </c:pt>
                <c:pt idx="5">
                  <c:v>v1.17</c:v>
                </c:pt>
                <c:pt idx="6">
                  <c:v>v1.18</c:v>
                </c:pt>
                <c:pt idx="7">
                  <c:v>v1.19</c:v>
                </c:pt>
                <c:pt idx="8">
                  <c:v>v1.20</c:v>
                </c:pt>
                <c:pt idx="9">
                  <c:v>v1.21</c:v>
                </c:pt>
                <c:pt idx="10">
                  <c:v>v1.22</c:v>
                </c:pt>
                <c:pt idx="11">
                  <c:v>v1.23</c:v>
                </c:pt>
                <c:pt idx="12">
                  <c:v>v1.24</c:v>
                </c:pt>
                <c:pt idx="13">
                  <c:v>v1.25</c:v>
                </c:pt>
                <c:pt idx="14">
                  <c:v>v1.26</c:v>
                </c:pt>
                <c:pt idx="15">
                  <c:v>v1.27</c:v>
                </c:pt>
                <c:pt idx="16">
                  <c:v>v1.28</c:v>
                </c:pt>
                <c:pt idx="17">
                  <c:v>v1.29</c:v>
                </c:pt>
                <c:pt idx="18">
                  <c:v>v1.30</c:v>
                </c:pt>
                <c:pt idx="19">
                  <c:v>v1.31</c:v>
                </c:pt>
                <c:pt idx="20">
                  <c:v>v1.32</c:v>
                </c:pt>
                <c:pt idx="21">
                  <c:v>v1.33</c:v>
                </c:pt>
              </c:strCache>
            </c:strRef>
          </c:cat>
          <c:val>
            <c:numRef>
              <c:f>'Humi-BugTrend'!$D$2:$D$23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v1.12</c:v>
                </c:pt>
                <c:pt idx="1">
                  <c:v>v1.13</c:v>
                </c:pt>
                <c:pt idx="2">
                  <c:v>v1.14</c:v>
                </c:pt>
                <c:pt idx="3">
                  <c:v>v1.15</c:v>
                </c:pt>
                <c:pt idx="4">
                  <c:v>v1.16</c:v>
                </c:pt>
                <c:pt idx="5">
                  <c:v>v1.17</c:v>
                </c:pt>
                <c:pt idx="6">
                  <c:v>v1.18</c:v>
                </c:pt>
                <c:pt idx="7">
                  <c:v>v1.19</c:v>
                </c:pt>
                <c:pt idx="8">
                  <c:v>v1.20</c:v>
                </c:pt>
                <c:pt idx="9">
                  <c:v>v1.21</c:v>
                </c:pt>
                <c:pt idx="10">
                  <c:v>v1.22</c:v>
                </c:pt>
                <c:pt idx="11">
                  <c:v>v1.23</c:v>
                </c:pt>
                <c:pt idx="12">
                  <c:v>v1.24</c:v>
                </c:pt>
                <c:pt idx="13">
                  <c:v>v1.25</c:v>
                </c:pt>
                <c:pt idx="14">
                  <c:v>v1.26</c:v>
                </c:pt>
                <c:pt idx="15">
                  <c:v>v1.27</c:v>
                </c:pt>
                <c:pt idx="16">
                  <c:v>v1.28</c:v>
                </c:pt>
                <c:pt idx="17">
                  <c:v>v1.29</c:v>
                </c:pt>
                <c:pt idx="18">
                  <c:v>v1.30</c:v>
                </c:pt>
                <c:pt idx="19">
                  <c:v>v1.31</c:v>
                </c:pt>
                <c:pt idx="20">
                  <c:v>v1.32</c:v>
                </c:pt>
                <c:pt idx="21">
                  <c:v>v1.33</c:v>
                </c:pt>
              </c:strCache>
            </c:strRef>
          </c:cat>
          <c:val>
            <c:numRef>
              <c:f>'Humi-BugTrend'!$E$2:$E$23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v1.12</c:v>
                </c:pt>
                <c:pt idx="1">
                  <c:v>v1.13</c:v>
                </c:pt>
                <c:pt idx="2">
                  <c:v>v1.14</c:v>
                </c:pt>
                <c:pt idx="3">
                  <c:v>v1.15</c:v>
                </c:pt>
                <c:pt idx="4">
                  <c:v>v1.16</c:v>
                </c:pt>
                <c:pt idx="5">
                  <c:v>v1.17</c:v>
                </c:pt>
                <c:pt idx="6">
                  <c:v>v1.18</c:v>
                </c:pt>
                <c:pt idx="7">
                  <c:v>v1.19</c:v>
                </c:pt>
                <c:pt idx="8">
                  <c:v>v1.20</c:v>
                </c:pt>
                <c:pt idx="9">
                  <c:v>v1.21</c:v>
                </c:pt>
                <c:pt idx="10">
                  <c:v>v1.22</c:v>
                </c:pt>
                <c:pt idx="11">
                  <c:v>v1.23</c:v>
                </c:pt>
                <c:pt idx="12">
                  <c:v>v1.24</c:v>
                </c:pt>
                <c:pt idx="13">
                  <c:v>v1.25</c:v>
                </c:pt>
                <c:pt idx="14">
                  <c:v>v1.26</c:v>
                </c:pt>
                <c:pt idx="15">
                  <c:v>v1.27</c:v>
                </c:pt>
                <c:pt idx="16">
                  <c:v>v1.28</c:v>
                </c:pt>
                <c:pt idx="17">
                  <c:v>v1.29</c:v>
                </c:pt>
                <c:pt idx="18">
                  <c:v>v1.30</c:v>
                </c:pt>
                <c:pt idx="19">
                  <c:v>v1.31</c:v>
                </c:pt>
                <c:pt idx="20">
                  <c:v>v1.32</c:v>
                </c:pt>
                <c:pt idx="21">
                  <c:v>v1.33</c:v>
                </c:pt>
              </c:strCache>
            </c:strRef>
          </c:cat>
          <c:val>
            <c:numRef>
              <c:f>'Humi-BugTrend'!$F$2:$F$23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v1.12</c:v>
                </c:pt>
                <c:pt idx="1">
                  <c:v>v1.13</c:v>
                </c:pt>
                <c:pt idx="2">
                  <c:v>v1.14</c:v>
                </c:pt>
                <c:pt idx="3">
                  <c:v>v1.15</c:v>
                </c:pt>
                <c:pt idx="4">
                  <c:v>v1.16</c:v>
                </c:pt>
                <c:pt idx="5">
                  <c:v>v1.17</c:v>
                </c:pt>
                <c:pt idx="6">
                  <c:v>v1.18</c:v>
                </c:pt>
                <c:pt idx="7">
                  <c:v>v1.19</c:v>
                </c:pt>
                <c:pt idx="8">
                  <c:v>v1.20</c:v>
                </c:pt>
                <c:pt idx="9">
                  <c:v>v1.21</c:v>
                </c:pt>
                <c:pt idx="10">
                  <c:v>v1.22</c:v>
                </c:pt>
                <c:pt idx="11">
                  <c:v>v1.23</c:v>
                </c:pt>
                <c:pt idx="12">
                  <c:v>v1.24</c:v>
                </c:pt>
                <c:pt idx="13">
                  <c:v>v1.25</c:v>
                </c:pt>
                <c:pt idx="14">
                  <c:v>v1.26</c:v>
                </c:pt>
                <c:pt idx="15">
                  <c:v>v1.27</c:v>
                </c:pt>
                <c:pt idx="16">
                  <c:v>v1.28</c:v>
                </c:pt>
                <c:pt idx="17">
                  <c:v>v1.29</c:v>
                </c:pt>
                <c:pt idx="18">
                  <c:v>v1.30</c:v>
                </c:pt>
                <c:pt idx="19">
                  <c:v>v1.31</c:v>
                </c:pt>
                <c:pt idx="20">
                  <c:v>v1.32</c:v>
                </c:pt>
                <c:pt idx="21">
                  <c:v>v1.33</c:v>
                </c:pt>
              </c:strCache>
            </c:strRef>
          </c:cat>
          <c:val>
            <c:numRef>
              <c:f>'Humi-BugTrend'!$G$2:$G$23</c:f>
              <c:numCache>
                <c:formatCode>General</c:formatCode>
                <c:ptCount val="22"/>
                <c:pt idx="0">
                  <c:v>11</c:v>
                </c:pt>
                <c:pt idx="1">
                  <c:v>59</c:v>
                </c:pt>
                <c:pt idx="2">
                  <c:v>96</c:v>
                </c:pt>
                <c:pt idx="3">
                  <c:v>88</c:v>
                </c:pt>
                <c:pt idx="4">
                  <c:v>58</c:v>
                </c:pt>
                <c:pt idx="5">
                  <c:v>159</c:v>
                </c:pt>
                <c:pt idx="6">
                  <c:v>153</c:v>
                </c:pt>
                <c:pt idx="7">
                  <c:v>75</c:v>
                </c:pt>
                <c:pt idx="8">
                  <c:v>58</c:v>
                </c:pt>
                <c:pt idx="9">
                  <c:v>46</c:v>
                </c:pt>
                <c:pt idx="10">
                  <c:v>42</c:v>
                </c:pt>
                <c:pt idx="11">
                  <c:v>30</c:v>
                </c:pt>
                <c:pt idx="12">
                  <c:v>25</c:v>
                </c:pt>
                <c:pt idx="13">
                  <c:v>53</c:v>
                </c:pt>
                <c:pt idx="14">
                  <c:v>38</c:v>
                </c:pt>
                <c:pt idx="15">
                  <c:v>30</c:v>
                </c:pt>
                <c:pt idx="16">
                  <c:v>24</c:v>
                </c:pt>
                <c:pt idx="17">
                  <c:v>0</c:v>
                </c:pt>
                <c:pt idx="18">
                  <c:v>5</c:v>
                </c:pt>
                <c:pt idx="19">
                  <c:v>8</c:v>
                </c:pt>
                <c:pt idx="20">
                  <c:v>3</c:v>
                </c:pt>
                <c:pt idx="2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v1.12</c:v>
                </c:pt>
                <c:pt idx="1">
                  <c:v>v1.13</c:v>
                </c:pt>
                <c:pt idx="2">
                  <c:v>v1.14</c:v>
                </c:pt>
                <c:pt idx="3">
                  <c:v>v1.15</c:v>
                </c:pt>
                <c:pt idx="4">
                  <c:v>v1.16</c:v>
                </c:pt>
                <c:pt idx="5">
                  <c:v>v1.17</c:v>
                </c:pt>
                <c:pt idx="6">
                  <c:v>v1.18</c:v>
                </c:pt>
                <c:pt idx="7">
                  <c:v>v1.19</c:v>
                </c:pt>
                <c:pt idx="8">
                  <c:v>v1.20</c:v>
                </c:pt>
                <c:pt idx="9">
                  <c:v>v1.21</c:v>
                </c:pt>
                <c:pt idx="10">
                  <c:v>v1.22</c:v>
                </c:pt>
                <c:pt idx="11">
                  <c:v>v1.23</c:v>
                </c:pt>
                <c:pt idx="12">
                  <c:v>v1.24</c:v>
                </c:pt>
                <c:pt idx="13">
                  <c:v>v1.25</c:v>
                </c:pt>
                <c:pt idx="14">
                  <c:v>v1.26</c:v>
                </c:pt>
                <c:pt idx="15">
                  <c:v>v1.27</c:v>
                </c:pt>
                <c:pt idx="16">
                  <c:v>v1.28</c:v>
                </c:pt>
                <c:pt idx="17">
                  <c:v>v1.29</c:v>
                </c:pt>
                <c:pt idx="18">
                  <c:v>v1.30</c:v>
                </c:pt>
                <c:pt idx="19">
                  <c:v>v1.31</c:v>
                </c:pt>
                <c:pt idx="20">
                  <c:v>v1.32</c:v>
                </c:pt>
                <c:pt idx="21">
                  <c:v>v1.33</c:v>
                </c:pt>
              </c:strCache>
            </c:strRef>
          </c:cat>
          <c:val>
            <c:numRef>
              <c:f>'Humi-BugTrend'!$H$2:$H$23</c:f>
              <c:numCache>
                <c:formatCode>General</c:formatCode>
                <c:ptCount val="22"/>
                <c:pt idx="0">
                  <c:v>13</c:v>
                </c:pt>
                <c:pt idx="1">
                  <c:v>66</c:v>
                </c:pt>
                <c:pt idx="2">
                  <c:v>103</c:v>
                </c:pt>
                <c:pt idx="3">
                  <c:v>101</c:v>
                </c:pt>
                <c:pt idx="4">
                  <c:v>66</c:v>
                </c:pt>
                <c:pt idx="5">
                  <c:v>193</c:v>
                </c:pt>
                <c:pt idx="6">
                  <c:v>187</c:v>
                </c:pt>
                <c:pt idx="7">
                  <c:v>91</c:v>
                </c:pt>
                <c:pt idx="8">
                  <c:v>77</c:v>
                </c:pt>
                <c:pt idx="9">
                  <c:v>53</c:v>
                </c:pt>
                <c:pt idx="10">
                  <c:v>62</c:v>
                </c:pt>
                <c:pt idx="11">
                  <c:v>51</c:v>
                </c:pt>
                <c:pt idx="12">
                  <c:v>51</c:v>
                </c:pt>
                <c:pt idx="13">
                  <c:v>70</c:v>
                </c:pt>
                <c:pt idx="14">
                  <c:v>48</c:v>
                </c:pt>
                <c:pt idx="15">
                  <c:v>38</c:v>
                </c:pt>
                <c:pt idx="16">
                  <c:v>39</c:v>
                </c:pt>
                <c:pt idx="17">
                  <c:v>3</c:v>
                </c:pt>
                <c:pt idx="18" formatCode="0">
                  <c:v>22</c:v>
                </c:pt>
                <c:pt idx="19" formatCode="0">
                  <c:v>11</c:v>
                </c:pt>
                <c:pt idx="20" formatCode="0">
                  <c:v>9</c:v>
                </c:pt>
                <c:pt idx="21" formatCode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y25w12</c:v>
                </c:pt>
                <c:pt idx="1">
                  <c:v>y25w14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</c:strCache>
            </c:strRef>
          </c:cat>
          <c:val>
            <c:numRef>
              <c:f>'SOVA-BugTrend'!$B$2:$B$20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7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y25w12</c:v>
                </c:pt>
                <c:pt idx="1">
                  <c:v>y25w14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</c:strCache>
            </c:strRef>
          </c:cat>
          <c:val>
            <c:numRef>
              <c:f>'SOVA-BugTrend'!$C$2:$C$20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y25w12</c:v>
                </c:pt>
                <c:pt idx="1">
                  <c:v>y25w14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</c:strCache>
            </c:strRef>
          </c:cat>
          <c:val>
            <c:numRef>
              <c:f>'SOVA-BugTrend'!$D$2:$D$20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y25w12</c:v>
                </c:pt>
                <c:pt idx="1">
                  <c:v>y25w14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</c:strCache>
            </c:strRef>
          </c:cat>
          <c:val>
            <c:numRef>
              <c:f>'SOVA-BugTrend'!$E$2:$E$20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y25w12</c:v>
                </c:pt>
                <c:pt idx="1">
                  <c:v>y25w14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</c:strCache>
            </c:strRef>
          </c:cat>
          <c:val>
            <c:numRef>
              <c:f>'SOVA-BugTrend'!$F$2:$F$20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'SOVA-BugTrend'!$A$2:$A$20</c:f>
              <c:strCache>
                <c:ptCount val="19"/>
                <c:pt idx="0">
                  <c:v>y25w12</c:v>
                </c:pt>
                <c:pt idx="1">
                  <c:v>y25w14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</c:strCache>
            </c:strRef>
          </c:cat>
          <c:val>
            <c:numRef>
              <c:f>'SOVA-BugTrend'!$G$2:$G$20</c:f>
              <c:numCache>
                <c:formatCode>General</c:formatCode>
                <c:ptCount val="19"/>
                <c:pt idx="0">
                  <c:v>13</c:v>
                </c:pt>
                <c:pt idx="1">
                  <c:v>14</c:v>
                </c:pt>
                <c:pt idx="2">
                  <c:v>20</c:v>
                </c:pt>
                <c:pt idx="3">
                  <c:v>20</c:v>
                </c:pt>
                <c:pt idx="4">
                  <c:v>16</c:v>
                </c:pt>
                <c:pt idx="5">
                  <c:v>16</c:v>
                </c:pt>
                <c:pt idx="6">
                  <c:v>55</c:v>
                </c:pt>
                <c:pt idx="7">
                  <c:v>35</c:v>
                </c:pt>
                <c:pt idx="8">
                  <c:v>39</c:v>
                </c:pt>
                <c:pt idx="9">
                  <c:v>39</c:v>
                </c:pt>
                <c:pt idx="10">
                  <c:v>45</c:v>
                </c:pt>
                <c:pt idx="11">
                  <c:v>17</c:v>
                </c:pt>
                <c:pt idx="12">
                  <c:v>25</c:v>
                </c:pt>
                <c:pt idx="13">
                  <c:v>45</c:v>
                </c:pt>
                <c:pt idx="14">
                  <c:v>24</c:v>
                </c:pt>
                <c:pt idx="15">
                  <c:v>42</c:v>
                </c:pt>
                <c:pt idx="16">
                  <c:v>34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'SOVA-BugTrend'!$A$2:$A$20</c:f>
              <c:strCache>
                <c:ptCount val="19"/>
                <c:pt idx="0">
                  <c:v>y25w12</c:v>
                </c:pt>
                <c:pt idx="1">
                  <c:v>y25w14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</c:strCache>
            </c:strRef>
          </c:cat>
          <c:val>
            <c:numRef>
              <c:f>'SOVA-BugTrend'!$H$2:$H$20</c:f>
              <c:numCache>
                <c:formatCode>General</c:formatCode>
                <c:ptCount val="19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2</c:v>
                </c:pt>
                <c:pt idx="9">
                  <c:v>6</c:v>
                </c:pt>
                <c:pt idx="10">
                  <c:v>7</c:v>
                </c:pt>
                <c:pt idx="11">
                  <c:v>1</c:v>
                </c:pt>
                <c:pt idx="12">
                  <c:v>4</c:v>
                </c:pt>
                <c:pt idx="13">
                  <c:v>5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17</xdr:row>
      <xdr:rowOff>66673</xdr:rowOff>
    </xdr:from>
    <xdr:to>
      <xdr:col>8</xdr:col>
      <xdr:colOff>38100</xdr:colOff>
      <xdr:row>46</xdr:row>
      <xdr:rowOff>28573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114300</xdr:rowOff>
    </xdr:from>
    <xdr:to>
      <xdr:col>6</xdr:col>
      <xdr:colOff>1028700</xdr:colOff>
      <xdr:row>44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26</xdr:row>
      <xdr:rowOff>69662</xdr:rowOff>
    </xdr:from>
    <xdr:to>
      <xdr:col>6</xdr:col>
      <xdr:colOff>1057275</xdr:colOff>
      <xdr:row>55</xdr:row>
      <xdr:rowOff>31562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28</xdr:row>
      <xdr:rowOff>95250</xdr:rowOff>
    </xdr:from>
    <xdr:to>
      <xdr:col>8</xdr:col>
      <xdr:colOff>409575</xdr:colOff>
      <xdr:row>57</xdr:row>
      <xdr:rowOff>41274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21</xdr:row>
      <xdr:rowOff>127000</xdr:rowOff>
    </xdr:from>
    <xdr:to>
      <xdr:col>7</xdr:col>
      <xdr:colOff>295275</xdr:colOff>
      <xdr:row>50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16" totalsRowShown="0" headerRowDxfId="27">
  <autoFilter ref="A1:E16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26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12" totalsRowShown="0" headerRowDxfId="25">
  <autoFilter ref="A1:H12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>
      <calculatedColumnFormula>SUM(B2:G2)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20" totalsRowShown="0" headerRowDxfId="24">
  <autoFilter ref="A1:H20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23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4" totalsRowCount="1" headerRowDxfId="22">
  <autoFilter ref="A1:H23" xr:uid="{E4AD0B7A-EC5B-4838-AC2B-8475A3B6644B}"/>
  <tableColumns count="8">
    <tableColumn id="1" xr3:uid="{58F8A895-CEBE-41D2-B7BB-1681C0697C85}" name="Version"/>
    <tableColumn id="2" xr3:uid="{CE08A48D-2419-484B-993C-54A546869B61}" name="To Do"/>
    <tableColumn id="3" xr3:uid="{FC519478-6B36-4D96-93F3-3AF4B1D70F3E}" name="In Progress"/>
    <tableColumn id="5" xr3:uid="{52258D92-71B9-4E63-A3AA-5ABE6B4F3D23}" name="In Review"/>
    <tableColumn id="4" xr3:uid="{C5EE39F3-E9DF-4F2E-9576-6DDB97E21DB3}" name="In QA"/>
    <tableColumn id="6" xr3:uid="{CC106112-C63E-4AA5-9AAA-D0A99983E0DD}" name="Internal Test"/>
    <tableColumn id="7" xr3:uid="{C69EECCF-E5E5-4372-B171-2B35FE10B60D}" name="Done"/>
    <tableColumn id="8" xr3:uid="{C7A900BC-8967-4049-AE22-7F9EDE21E913}" name="Total" dataDxfId="21" totalsRowDxfId="20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H20" totalsRowShown="0" headerRowDxfId="19" dataDxfId="17" headerRowBorderDxfId="18" tableBorderDxfId="16" totalsRowBorderDxfId="15" dataCellStyle="Hyperlink">
  <autoFilter ref="A1:H20" xr:uid="{108F5145-A108-41DB-B2C3-516BE7C86923}"/>
  <tableColumns count="8">
    <tableColumn id="1" xr3:uid="{5BE08AE0-E0B5-4B46-9423-456B88C2D9BC}" name="Sprint" dataDxfId="14"/>
    <tableColumn id="2" xr3:uid="{030F9647-4FC0-4C7E-9B3A-AB099CC59EBA}" name="To Do (0%)" dataDxfId="13" dataCellStyle="Hyperlink"/>
    <tableColumn id="3" xr3:uid="{7D2923F3-E2CF-4FD9-A7A5-68C36BB95591}" name="STARTING (10 ~ 40%)" dataDxfId="12" dataCellStyle="Hyperlink"/>
    <tableColumn id="4" xr3:uid="{48FB5317-7F3B-4F74-B244-5A49C7749EBD}" name="In Progress (50 ~ 70%)" dataDxfId="11" dataCellStyle="Hyperlink"/>
    <tableColumn id="5" xr3:uid="{86F5CCB5-C4C2-4C36-935A-657F085500B1}" name="IN REVIEW (80%)" dataDxfId="10" dataCellStyle="Hyperlink"/>
    <tableColumn id="6" xr3:uid="{33C9BCE6-D9EB-4032-9B0A-DDD9A4051A2D}" name="Done (100%)" dataDxfId="9" dataCellStyle="Hyperlink"/>
    <tableColumn id="8" xr3:uid="{D624FC89-A88E-45AC-9D22-66D66702B8C5}" name="WON'T DO (100%)" dataDxfId="8" dataCellStyle="Hyperlink"/>
    <tableColumn id="7" xr3:uid="{EFEEB7EC-E2D1-40EA-B265-A558311E5D30}" name="Total" dataDxfId="7" dataCellStyle="Hyperlin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7" totalsRowShown="0" headerRowDxfId="6" dataDxfId="5">
  <autoFilter ref="A1:E7" xr:uid="{2C55E946-0086-4A42-AEAE-DA5ED4E8BB10}"/>
  <tableColumns count="5">
    <tableColumn id="1" xr3:uid="{7070D9F2-0ED1-4F39-8D72-28B37C8E98F2}" name="Week" dataDxfId="4"/>
    <tableColumn id="2" xr3:uid="{1173F443-CC27-4C6E-A432-BF66DB2A740E}" name="Done" dataDxfId="3"/>
    <tableColumn id="3" xr3:uid="{2EE10CB5-1AF1-4B50-9456-B3A666DD5338}" name="In Review/Progress" dataDxfId="2"/>
    <tableColumn id="4" xr3:uid="{328D0A00-85F0-4BFF-81FE-C023998A3701}" name="TODO (P1)" dataDxfId="1"/>
    <tableColumn id="5" xr3:uid="{E385808E-1FCD-451C-9807-DAF18A42B704}" name="Total" dataDxfId="0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1-01+AND+created+%3C%3D+2025-12-31+AND+type+%3D+Bug+AND+project+%3D+SOVA+AND+Sprint+%3D+3575+AND+status+%3D+%22WON%27T+DO+%28100%25%29%22" TargetMode="External"/><Relationship Id="rId21" Type="http://schemas.openxmlformats.org/officeDocument/2006/relationships/hyperlink" Target="https://xrspace.atlassian.net/issues/?jql=created+%3E%3D+2025-01-01+AND+created+%3C%3D+2025-12-31+AND+type+%3D+Bug+AND+project+%3D+SOVA+AND+Sprint+%3D+1463+AND+status+%3D+%22READY+FOR+TESTING+%2890%25%29%22" TargetMode="External"/><Relationship Id="rId42" Type="http://schemas.openxmlformats.org/officeDocument/2006/relationships/hyperlink" Target="https://xrspace.atlassian.net/issues/?jql=created+%3E%3D+2025-01-01+AND+created+%3C%3D+2025-12-31+AND+type+%3D+Bug+AND+project+%3D+SOVA+AND+Sprint+%3D+1497+AND+status+%3D+%22READY+FOR+TESTING+%2890%25%29%22" TargetMode="External"/><Relationship Id="rId63" Type="http://schemas.openxmlformats.org/officeDocument/2006/relationships/hyperlink" Target="https://xrspace.atlassian.net/issues/?jql=created+%3E%3D+2025-01-01+AND+created+%3C%3D+2025-12-31+AND+type+%3D+Bug+AND+project+%3D+SOVA+AND+Sprint+%3D+2156+AND+status+%3D+%22READY+FOR+TESTING+%2890%25%29%22" TargetMode="External"/><Relationship Id="rId84" Type="http://schemas.openxmlformats.org/officeDocument/2006/relationships/hyperlink" Target="https://xrspace.atlassian.net/issues/?jql=created+%3E%3D+2025-01-01+AND+created+%3C%3D+2025-12-31+AND+type+%3D+Bug+AND+project+%3D+SOVA+AND+Sprint+%3D+2619+AND+status+%3D+%22READY+FOR+TESTING+%2890%25%29%22" TargetMode="External"/><Relationship Id="rId16" Type="http://schemas.openxmlformats.org/officeDocument/2006/relationships/hyperlink" Target="https://xrspace.atlassian.net/issues/?jql=created+%3E%3D+2025-01-01+AND+created+%3C%3D+2025-12-31+AND+type+%3D+Bug+AND+project+%3D+SOVA+AND+Sprint+%3D+1463+AND+status+%3D+%22In+Progress+%2850+%7E+70%25%29%22" TargetMode="External"/><Relationship Id="rId107" Type="http://schemas.openxmlformats.org/officeDocument/2006/relationships/hyperlink" Target="https://xrspace.atlassian.net/issues/?jql=created+%3E%3D+2025-01-01+AND+created+%3C%3D+2025-12-31+AND+type+%3D+Bug+AND+project+%3D+SOVA+AND+Sprint+%3D+3246+AND+status+%3D+%22In+Progress+%2850+%7E+70%25%29%22" TargetMode="External"/><Relationship Id="rId11" Type="http://schemas.openxmlformats.org/officeDocument/2006/relationships/hyperlink" Target="https://xrspace.atlassian.net/issues/?jql=created+%3E%3D+2025-01-01+AND+created+%3C%3D+2025-12-31+AND+type+%3D+Bug+AND+project+%3D+SOVA+AND+Sprint+%3D+1397+AND+status+%3D+%22IN+REVIEW+%2880%25%29%22" TargetMode="External"/><Relationship Id="rId32" Type="http://schemas.openxmlformats.org/officeDocument/2006/relationships/hyperlink" Target="https://xrspace.atlassian.net/issues/?jql=created+%3E%3D+2025-01-01+AND+created+%3C%3D+2025-12-31+AND+type+%3D+Bug+AND+project+%3D+SOVA+AND+Sprint+%3D+1496+AND+status+%3D+%22IN+REVIEW+%2880%25%29%22" TargetMode="External"/><Relationship Id="rId37" Type="http://schemas.openxmlformats.org/officeDocument/2006/relationships/hyperlink" Target="https://xrspace.atlassian.net/issues/?jql=created+%3E%3D+2025-01-01+AND+created+%3C%3D+2025-12-31+AND+type+%3D+Bug+AND+project+%3D+SOVA+AND+Sprint+%3D+1497+AND+status+%3D+%22In+Progress+%2850+%7E+70%25%29%22" TargetMode="External"/><Relationship Id="rId53" Type="http://schemas.openxmlformats.org/officeDocument/2006/relationships/hyperlink" Target="https://xrspace.atlassian.net/issues/?jql=created+%3E%3D+2025-01-01+AND+created+%3C%3D+2025-12-31+AND+type+%3D+Bug+AND+project+%3D+SOVA+AND+Sprint+%3D+1499+AND+status+%3D+%22IN+REVIEW+%2880%25%29%22" TargetMode="External"/><Relationship Id="rId58" Type="http://schemas.openxmlformats.org/officeDocument/2006/relationships/hyperlink" Target="https://xrspace.atlassian.net/issues/?jql=created+%3E%3D+2025-01-01+AND+created+%3C%3D+2025-12-31+AND+type+%3D+Bug+AND+project+%3D+SOVA+AND+Sprint+%3D+2156+AND+status+%3D+%22In+Progress+%2850+%7E+70%25%29%22" TargetMode="External"/><Relationship Id="rId74" Type="http://schemas.openxmlformats.org/officeDocument/2006/relationships/hyperlink" Target="https://xrspace.atlassian.net/issues/?jql=created+%3E%3D+2025-01-01+AND+created+%3C%3D+2025-12-31+AND+type+%3D+Bug+AND+project+%3D+SOVA+AND+Sprint+%3D+2618+AND+status+%3D+%22IN+REVIEW+%2880%25%29%22" TargetMode="External"/><Relationship Id="rId79" Type="http://schemas.openxmlformats.org/officeDocument/2006/relationships/hyperlink" Target="https://xrspace.atlassian.net/issues/?jql=created+%3E%3D+2025-01-01+AND+created+%3C%3D+2025-12-31+AND+type+%3D+Bug+AND+project+%3D+SOVA+AND+Sprint+%3D+2619+AND+status+%3D+%22In+Progress+%2850+%7E+70%25%29%22" TargetMode="External"/><Relationship Id="rId102" Type="http://schemas.openxmlformats.org/officeDocument/2006/relationships/hyperlink" Target="https://xrspace.atlassian.net/issues/?jql=created+%3E%3D+2025-01-01+AND+created+%3C%3D+2025-12-31+AND+type+%3D+Bug+AND+project+%3D+SOVA+AND+Sprint+%3D+3245+AND+status+%3D+%22IN+REVIEW+%2880%25%29%22" TargetMode="External"/><Relationship Id="rId123" Type="http://schemas.openxmlformats.org/officeDocument/2006/relationships/hyperlink" Target="https://xrspace.atlassian.net/issues/?jql=created+%3E%3D+2025-01-01+AND+created+%3C%3D+2025-12-31+AND+type+%3D+Bug+AND+project+%3D+SOVA+AND+Sprint+%3D+3608+AND+status+%3D+%22IN+REVIEW+%2880%25%29%22" TargetMode="External"/><Relationship Id="rId128" Type="http://schemas.openxmlformats.org/officeDocument/2006/relationships/hyperlink" Target="https://xrspace.atlassian.net/issues/?jql=created+%3E%3D+2025-01-01+AND+created+%3C%3D+2025-12-31+AND+type+%3D+Bug+AND+project+%3D+SOVA+AND+Sprint+%3D+3872+AND+status+%3D+%22In+Progress+%2850+%7E+70%25%29%22" TargetMode="External"/><Relationship Id="rId5" Type="http://schemas.openxmlformats.org/officeDocument/2006/relationships/hyperlink" Target="https://xrspace.atlassian.net/issues/?jql=created+%3E%3D+2025-01-01+AND+created+%3C%3D+2025-12-31+AND+type+%3D+Bug+AND+project+%3D+SOVA+AND+Sprint+%3D+869+AND+status+%3D+%22WON%27T+DO+%28100%25%29%22" TargetMode="External"/><Relationship Id="rId90" Type="http://schemas.openxmlformats.org/officeDocument/2006/relationships/hyperlink" Target="https://xrspace.atlassian.net/issues/?jql=created+%3E%3D+2025-01-01+AND+created+%3C%3D+2025-12-31+AND+type+%3D+Bug+AND+project+%3D+SOVA+AND+Sprint+%3D+2882+AND+status+%3D+%22STARTING+%2810+%7E+40%25%29%22" TargetMode="External"/><Relationship Id="rId95" Type="http://schemas.openxmlformats.org/officeDocument/2006/relationships/hyperlink" Target="https://xrspace.atlassian.net/issues/?jql=created+%3E%3D+2025-01-01+AND+created+%3C%3D+2025-12-31+AND+type+%3D+Bug+AND+project+%3D+SOVA+AND+Sprint+%3D+3213+AND+status+%3D+%22IN+REVIEW+%2880%25%29%22" TargetMode="External"/><Relationship Id="rId22" Type="http://schemas.openxmlformats.org/officeDocument/2006/relationships/hyperlink" Target="https://xrspace.atlassian.net/issues/?jql=created+%3E%3D+2025-01-01+AND+created+%3C%3D+2025-12-31+AND+type+%3D+Bug+AND+project+%3D+SOVA+AND+Sprint+%3D+1466+AND+status+%3D+%22To+Do+%280%25%29%22" TargetMode="External"/><Relationship Id="rId27" Type="http://schemas.openxmlformats.org/officeDocument/2006/relationships/hyperlink" Target="https://xrspace.atlassian.net/issues/?jql=created+%3E%3D+2025-01-01+AND+created+%3C%3D+2025-12-31+AND+type+%3D+Bug+AND+project+%3D+SOVA+AND+Sprint+%3D+1466+AND+status+%3D+%22STARTING+%2810+%7E+40%25%29%22" TargetMode="External"/><Relationship Id="rId43" Type="http://schemas.openxmlformats.org/officeDocument/2006/relationships/hyperlink" Target="https://xrspace.atlassian.net/issues/?jql=created+%3E%3D+2025-01-01+AND+created+%3C%3D+2025-12-31+AND+type+%3D+Bug+AND+project+%3D+SOVA+AND+Sprint+%3D+1498+AND+status+%3D+%22To+Do+%280%25%29%22" TargetMode="External"/><Relationship Id="rId48" Type="http://schemas.openxmlformats.org/officeDocument/2006/relationships/hyperlink" Target="https://xrspace.atlassian.net/issues/?jql=created+%3E%3D+2025-01-01+AND+created+%3C%3D+2025-12-31+AND+type+%3D+Bug+AND+project+%3D+SOVA+AND+Sprint+%3D+1498+AND+status+%3D+%22STARTING+%2810+%7E+40%25%29%22" TargetMode="External"/><Relationship Id="rId64" Type="http://schemas.openxmlformats.org/officeDocument/2006/relationships/hyperlink" Target="https://xrspace.atlassian.net/issues/?jql=created+%3E%3D+2025-01-01+AND+created+%3C%3D+2025-12-31+AND+type+%3D+Bug+AND+project+%3D+SOVA+AND+Sprint+%3D+2157+AND+status+%3D+%22To+Do+%280%25%29%22" TargetMode="External"/><Relationship Id="rId69" Type="http://schemas.openxmlformats.org/officeDocument/2006/relationships/hyperlink" Target="https://xrspace.atlassian.net/issues/?jql=created+%3E%3D+2025-01-01+AND+created+%3C%3D+2025-12-31+AND+type+%3D+Bug+AND+project+%3D+SOVA+AND+Sprint+%3D+2157+AND+status+%3D+%22STARTING+%2810+%7E+40%25%29%22" TargetMode="External"/><Relationship Id="rId113" Type="http://schemas.openxmlformats.org/officeDocument/2006/relationships/hyperlink" Target="https://xrspace.atlassian.net/issues/?jql=created+%3E%3D+2025-01-01+AND+created+%3C%3D+2025-12-31+AND+type+%3D+Bug+AND+project+%3D+SOVA+AND+Sprint+%3D+3575+AND+status+%3D+%22To+Do+%280%25%29%22" TargetMode="External"/><Relationship Id="rId118" Type="http://schemas.openxmlformats.org/officeDocument/2006/relationships/hyperlink" Target="https://xrspace.atlassian.net/issues/?jql=created+%3E%3D+2025-01-01+AND+created+%3C%3D+2025-12-31+AND+type+%3D+Bug+AND+project+%3D+SOVA+AND+Sprint+%3D+3575+AND+status+%3D+%22STARTING+%2810+%7E+40%25%29%22" TargetMode="External"/><Relationship Id="rId134" Type="http://schemas.openxmlformats.org/officeDocument/2006/relationships/printerSettings" Target="../printerSettings/printerSettings3.bin"/><Relationship Id="rId80" Type="http://schemas.openxmlformats.org/officeDocument/2006/relationships/hyperlink" Target="https://xrspace.atlassian.net/issues/?jql=created+%3E%3D+2025-01-01+AND+created+%3C%3D+2025-12-31+AND+type+%3D+Bug+AND+project+%3D+SOVA+AND+Sprint+%3D+2619+AND+status+%3D+%22Done+%28100%25%29%22" TargetMode="External"/><Relationship Id="rId85" Type="http://schemas.openxmlformats.org/officeDocument/2006/relationships/hyperlink" Target="https://xrspace.atlassian.net/issues/?jql=created+%3E%3D+2025-01-01+AND+created+%3C%3D+2025-12-31+AND+type+%3D+Bug+AND+project+%3D+SOVA+AND+Sprint+%3D+2882+AND+status+%3D+%22To+Do+%280%25%29%22" TargetMode="External"/><Relationship Id="rId12" Type="http://schemas.openxmlformats.org/officeDocument/2006/relationships/hyperlink" Target="https://xrspace.atlassian.net/issues/?jql=created+%3E%3D+2025-01-01+AND+created+%3C%3D+2025-12-31+AND+type+%3D+Bug+AND+project+%3D+SOVA+AND+Sprint+%3D+1397+AND+status+%3D+%22WON%27T+DO+%28100%25%29%22" TargetMode="External"/><Relationship Id="rId17" Type="http://schemas.openxmlformats.org/officeDocument/2006/relationships/hyperlink" Target="https://xrspace.atlassian.net/issues/?jql=created+%3E%3D+2025-01-01+AND+created+%3C%3D+2025-12-31+AND+type+%3D+Bug+AND+project+%3D+SOVA+AND+Sprint+%3D+1463+AND+status+%3D+%22Done+%28100%25%29%22" TargetMode="External"/><Relationship Id="rId33" Type="http://schemas.openxmlformats.org/officeDocument/2006/relationships/hyperlink" Target="https://xrspace.atlassian.net/issues/?jql=created+%3E%3D+2025-01-01+AND+created+%3C%3D+2025-12-31+AND+type+%3D+Bug+AND+project+%3D+SOVA+AND+Sprint+%3D+1496+AND+status+%3D+%22WON%27T+DO+%28100%25%29%22" TargetMode="External"/><Relationship Id="rId38" Type="http://schemas.openxmlformats.org/officeDocument/2006/relationships/hyperlink" Target="https://xrspace.atlassian.net/issues/?jql=created+%3E%3D+2025-01-01+AND+created+%3C%3D+2025-12-31+AND+type+%3D+Bug+AND+project+%3D+SOVA+AND+Sprint+%3D+1497+AND+status+%3D+%22Done+%28100%25%29%22" TargetMode="External"/><Relationship Id="rId59" Type="http://schemas.openxmlformats.org/officeDocument/2006/relationships/hyperlink" Target="https://xrspace.atlassian.net/issues/?jql=created+%3E%3D+2025-01-01+AND+created+%3C%3D+2025-12-31+AND+type+%3D+Bug+AND+project+%3D+SOVA+AND+Sprint+%3D+2156+AND+status+%3D+%22Done+%28100%25%29%22" TargetMode="External"/><Relationship Id="rId103" Type="http://schemas.openxmlformats.org/officeDocument/2006/relationships/hyperlink" Target="https://xrspace.atlassian.net/issues/?jql=created+%3E%3D+2025-01-01+AND+created+%3C%3D+2025-12-31+AND+type+%3D+Bug+AND+project+%3D+SOVA+AND+Sprint+%3D+3245+AND+status+%3D+%22WON%27T+DO+%28100%25%29%22" TargetMode="External"/><Relationship Id="rId108" Type="http://schemas.openxmlformats.org/officeDocument/2006/relationships/hyperlink" Target="https://xrspace.atlassian.net/issues/?jql=created+%3E%3D+2025-01-01+AND+created+%3C%3D+2025-12-31+AND+type+%3D+Bug+AND+project+%3D+SOVA+AND+Sprint+%3D+3246+AND+status+%3D+%22Done+%28100%25%29%22" TargetMode="External"/><Relationship Id="rId124" Type="http://schemas.openxmlformats.org/officeDocument/2006/relationships/hyperlink" Target="https://xrspace.atlassian.net/issues/?jql=created+%3E%3D+2025-01-01+AND+created+%3C%3D+2025-12-31+AND+type+%3D+Bug+AND+project+%3D+SOVA+AND+Sprint+%3D+3608+AND+status+%3D+%22WON%27T+DO+%28100%25%29%22" TargetMode="External"/><Relationship Id="rId129" Type="http://schemas.openxmlformats.org/officeDocument/2006/relationships/hyperlink" Target="https://xrspace.atlassian.net/issues/?jql=created+%3E%3D+2025-01-01+AND+created+%3C%3D+2025-12-31+AND+type+%3D+Bug+AND+project+%3D+SOVA+AND+Sprint+%3D+3872+AND+status+%3D+%22Done+%28100%25%29%22" TargetMode="External"/><Relationship Id="rId54" Type="http://schemas.openxmlformats.org/officeDocument/2006/relationships/hyperlink" Target="https://xrspace.atlassian.net/issues/?jql=created+%3E%3D+2025-01-01+AND+created+%3C%3D+2025-12-31+AND+type+%3D+Bug+AND+project+%3D+SOVA+AND+Sprint+%3D+1499+AND+status+%3D+%22WON%27T+DO+%28100%25%29%22" TargetMode="External"/><Relationship Id="rId70" Type="http://schemas.openxmlformats.org/officeDocument/2006/relationships/hyperlink" Target="https://xrspace.atlassian.net/issues/?jql=created+%3E%3D+2025-01-01+AND+created+%3C%3D+2025-12-31+AND+type+%3D+Bug+AND+project+%3D+SOVA+AND+Sprint+%3D+2157+AND+status+%3D+%22READY+FOR+TESTING+%2890%25%29%22" TargetMode="External"/><Relationship Id="rId75" Type="http://schemas.openxmlformats.org/officeDocument/2006/relationships/hyperlink" Target="https://xrspace.atlassian.net/issues/?jql=created+%3E%3D+2025-01-01+AND+created+%3C%3D+2025-12-31+AND+type+%3D+Bug+AND+project+%3D+SOVA+AND+Sprint+%3D+2618+AND+status+%3D+%22WON%27T+DO+%28100%25%29%22" TargetMode="External"/><Relationship Id="rId91" Type="http://schemas.openxmlformats.org/officeDocument/2006/relationships/hyperlink" Target="https://xrspace.atlassian.net/issues/?jql=created+%3E%3D+2025-01-01+AND+created+%3C%3D+2025-12-31+AND+type+%3D+Bug+AND+project+%3D+SOVA+AND+Sprint+%3D+2882+AND+status+%3D+%22READY+FOR+TESTING+%2890%25%29%22" TargetMode="External"/><Relationship Id="rId96" Type="http://schemas.openxmlformats.org/officeDocument/2006/relationships/hyperlink" Target="https://xrspace.atlassian.net/issues/?jql=created+%3E%3D+2025-01-01+AND+created+%3C%3D+2025-12-31+AND+type+%3D+Bug+AND+project+%3D+SOVA+AND+Sprint+%3D+3213+AND+status+%3D+%22WON%27T+DO+%28100%25%29%22" TargetMode="External"/><Relationship Id="rId1" Type="http://schemas.openxmlformats.org/officeDocument/2006/relationships/hyperlink" Target="https://xrspace.atlassian.net/issues/?jql=created+%3E%3D+2025-01-01+AND+created+%3C%3D+2025-12-31+AND+type+%3D+Bug+AND+project+%3D+SOVA+AND+Sprint+%3D+869+AND+status+%3D+%22To+Do+%280%25%29%22" TargetMode="External"/><Relationship Id="rId6" Type="http://schemas.openxmlformats.org/officeDocument/2006/relationships/hyperlink" Target="https://xrspace.atlassian.net/issues/?jql=created+%3E%3D+2025-01-01+AND+created+%3C%3D+2025-12-31+AND+type+%3D+Bug+AND+project+%3D+SOVA+AND+Sprint+%3D+869+AND+status+%3D+%22STARTING+%2810+%7E+40%25%29%22" TargetMode="External"/><Relationship Id="rId23" Type="http://schemas.openxmlformats.org/officeDocument/2006/relationships/hyperlink" Target="https://xrspace.atlassian.net/issues/?jql=created+%3E%3D+2025-01-01+AND+created+%3C%3D+2025-12-31+AND+type+%3D+Bug+AND+project+%3D+SOVA+AND+Sprint+%3D+1466+AND+status+%3D+%22In+Progress+%2850+%7E+70%25%29%22" TargetMode="External"/><Relationship Id="rId28" Type="http://schemas.openxmlformats.org/officeDocument/2006/relationships/hyperlink" Target="https://xrspace.atlassian.net/issues/?jql=created+%3E%3D+2025-01-01+AND+created+%3C%3D+2025-12-31+AND+type+%3D+Bug+AND+project+%3D+SOVA+AND+Sprint+%3D+1466+AND+status+%3D+%22READY+FOR+TESTING+%2890%25%29%22" TargetMode="External"/><Relationship Id="rId49" Type="http://schemas.openxmlformats.org/officeDocument/2006/relationships/hyperlink" Target="https://xrspace.atlassian.net/issues/?jql=created+%3E%3D+2025-01-01+AND+created+%3C%3D+2025-12-31+AND+type+%3D+Bug+AND+project+%3D+SOVA+AND+Sprint+%3D+1498+AND+status+%3D+%22READY+FOR+TESTING+%2890%25%29%22" TargetMode="External"/><Relationship Id="rId114" Type="http://schemas.openxmlformats.org/officeDocument/2006/relationships/hyperlink" Target="https://xrspace.atlassian.net/issues/?jql=created+%3E%3D+2025-01-01+AND+created+%3C%3D+2025-12-31+AND+type+%3D+Bug+AND+project+%3D+SOVA+AND+Sprint+%3D+3575+AND+status+%3D+%22In+Progress+%2850+%7E+70%25%29%22" TargetMode="External"/><Relationship Id="rId119" Type="http://schemas.openxmlformats.org/officeDocument/2006/relationships/hyperlink" Target="https://xrspace.atlassian.net/issues/?jql=created+%3E%3D+2025-01-01+AND+created+%3C%3D+2025-12-31+AND+type+%3D+Bug+AND+project+%3D+SOVA+AND+Sprint+%3D+3575+AND+status+%3D+%22READY+FOR+TESTING+%2890%25%29%22" TargetMode="External"/><Relationship Id="rId44" Type="http://schemas.openxmlformats.org/officeDocument/2006/relationships/hyperlink" Target="https://xrspace.atlassian.net/issues/?jql=created+%3E%3D+2025-01-01+AND+created+%3C%3D+2025-12-31+AND+type+%3D+Bug+AND+project+%3D+SOVA+AND+Sprint+%3D+1498+AND+status+%3D+%22In+Progress+%2850+%7E+70%25%29%22" TargetMode="External"/><Relationship Id="rId60" Type="http://schemas.openxmlformats.org/officeDocument/2006/relationships/hyperlink" Target="https://xrspace.atlassian.net/issues/?jql=created+%3E%3D+2025-01-01+AND+created+%3C%3D+2025-12-31+AND+type+%3D+Bug+AND+project+%3D+SOVA+AND+Sprint+%3D+2156+AND+status+%3D+%22IN+REVIEW+%2880%25%29%22" TargetMode="External"/><Relationship Id="rId65" Type="http://schemas.openxmlformats.org/officeDocument/2006/relationships/hyperlink" Target="https://xrspace.atlassian.net/issues/?jql=created+%3E%3D+2025-01-01+AND+created+%3C%3D+2025-12-31+AND+type+%3D+Bug+AND+project+%3D+SOVA+AND+Sprint+%3D+2157+AND+status+%3D+%22In+Progress+%2850+%7E+70%25%29%22" TargetMode="External"/><Relationship Id="rId81" Type="http://schemas.openxmlformats.org/officeDocument/2006/relationships/hyperlink" Target="https://xrspace.atlassian.net/issues/?jql=created+%3E%3D+2025-01-01+AND+created+%3C%3D+2025-12-31+AND+type+%3D+Bug+AND+project+%3D+SOVA+AND+Sprint+%3D+2619+AND+status+%3D+%22IN+REVIEW+%2880%25%29%22" TargetMode="External"/><Relationship Id="rId86" Type="http://schemas.openxmlformats.org/officeDocument/2006/relationships/hyperlink" Target="https://xrspace.atlassian.net/issues/?jql=created+%3E%3D+2025-01-01+AND+created+%3C%3D+2025-12-31+AND+type+%3D+Bug+AND+project+%3D+SOVA+AND+Sprint+%3D+2882+AND+status+%3D+%22In+Progress+%2850+%7E+70%25%29%22" TargetMode="External"/><Relationship Id="rId130" Type="http://schemas.openxmlformats.org/officeDocument/2006/relationships/hyperlink" Target="https://xrspace.atlassian.net/issues/?jql=created+%3E%3D+2025-01-01+AND+created+%3C%3D+2025-12-31+AND+type+%3D+Bug+AND+project+%3D+SOVA+AND+Sprint+%3D+3872+AND+status+%3D+%22IN+REVIEW+%2880%25%29%22" TargetMode="External"/><Relationship Id="rId135" Type="http://schemas.openxmlformats.org/officeDocument/2006/relationships/drawing" Target="../drawings/drawing5.xml"/><Relationship Id="rId13" Type="http://schemas.openxmlformats.org/officeDocument/2006/relationships/hyperlink" Target="https://xrspace.atlassian.net/issues/?jql=created+%3E%3D+2025-01-01+AND+created+%3C%3D+2025-12-31+AND+type+%3D+Bug+AND+project+%3D+SOVA+AND+Sprint+%3D+1397+AND+status+%3D+%22STARTING+%2810+%7E+40%25%29%22" TargetMode="External"/><Relationship Id="rId18" Type="http://schemas.openxmlformats.org/officeDocument/2006/relationships/hyperlink" Target="https://xrspace.atlassian.net/issues/?jql=created+%3E%3D+2025-01-01+AND+created+%3C%3D+2025-12-31+AND+type+%3D+Bug+AND+project+%3D+SOVA+AND+Sprint+%3D+1463+AND+status+%3D+%22IN+REVIEW+%2880%25%29%22" TargetMode="External"/><Relationship Id="rId39" Type="http://schemas.openxmlformats.org/officeDocument/2006/relationships/hyperlink" Target="https://xrspace.atlassian.net/issues/?jql=created+%3E%3D+2025-01-01+AND+created+%3C%3D+2025-12-31+AND+type+%3D+Bug+AND+project+%3D+SOVA+AND+Sprint+%3D+1497+AND+status+%3D+%22IN+REVIEW+%2880%25%29%22" TargetMode="External"/><Relationship Id="rId109" Type="http://schemas.openxmlformats.org/officeDocument/2006/relationships/hyperlink" Target="https://xrspace.atlassian.net/issues/?jql=created+%3E%3D+2025-01-01+AND+created+%3C%3D+2025-12-31+AND+type+%3D+Bug+AND+project+%3D+SOVA+AND+Sprint+%3D+3246+AND+status+%3D+%22IN+REVIEW+%2880%25%29%22" TargetMode="External"/><Relationship Id="rId34" Type="http://schemas.openxmlformats.org/officeDocument/2006/relationships/hyperlink" Target="https://xrspace.atlassian.net/issues/?jql=created+%3E%3D+2025-01-01+AND+created+%3C%3D+2025-12-31+AND+type+%3D+Bug+AND+project+%3D+SOVA+AND+Sprint+%3D+1496+AND+status+%3D+%22STARTING+%2810+%7E+40%25%29%22" TargetMode="External"/><Relationship Id="rId50" Type="http://schemas.openxmlformats.org/officeDocument/2006/relationships/hyperlink" Target="https://xrspace.atlassian.net/issues/?jql=created+%3E%3D+2025-01-01+AND+created+%3C%3D+2025-12-31+AND+type+%3D+Bug+AND+project+%3D+SOVA+AND+Sprint+%3D+1499+AND+status+%3D+%22To+Do+%280%25%29%22" TargetMode="External"/><Relationship Id="rId55" Type="http://schemas.openxmlformats.org/officeDocument/2006/relationships/hyperlink" Target="https://xrspace.atlassian.net/issues/?jql=created+%3E%3D+2025-01-01+AND+created+%3C%3D+2025-12-31+AND+type+%3D+Bug+AND+project+%3D+SOVA+AND+Sprint+%3D+1499+AND+status+%3D+%22STARTING+%2810+%7E+40%25%29%22" TargetMode="External"/><Relationship Id="rId76" Type="http://schemas.openxmlformats.org/officeDocument/2006/relationships/hyperlink" Target="https://xrspace.atlassian.net/issues/?jql=created+%3E%3D+2025-01-01+AND+created+%3C%3D+2025-12-31+AND+type+%3D+Bug+AND+project+%3D+SOVA+AND+Sprint+%3D+2618+AND+status+%3D+%22STARTING+%2810+%7E+40%25%29%22" TargetMode="External"/><Relationship Id="rId97" Type="http://schemas.openxmlformats.org/officeDocument/2006/relationships/hyperlink" Target="https://xrspace.atlassian.net/issues/?jql=created+%3E%3D+2025-01-01+AND+created+%3C%3D+2025-12-31+AND+type+%3D+Bug+AND+project+%3D+SOVA+AND+Sprint+%3D+3213+AND+status+%3D+%22STARTING+%2810+%7E+40%25%29%22" TargetMode="External"/><Relationship Id="rId104" Type="http://schemas.openxmlformats.org/officeDocument/2006/relationships/hyperlink" Target="https://xrspace.atlassian.net/issues/?jql=created+%3E%3D+2025-01-01+AND+created+%3C%3D+2025-12-31+AND+type+%3D+Bug+AND+project+%3D+SOVA+AND+Sprint+%3D+3245+AND+status+%3D+%22STARTING+%2810+%7E+40%25%29%22" TargetMode="External"/><Relationship Id="rId120" Type="http://schemas.openxmlformats.org/officeDocument/2006/relationships/hyperlink" Target="https://xrspace.atlassian.net/issues/?jql=created+%3E%3D+2025-01-01+AND+created+%3C%3D+2025-12-31+AND+type+%3D+Bug+AND+project+%3D+SOVA+AND+Sprint+%3D+3608+AND+status+%3D+%22To+Do+%280%25%29%22" TargetMode="External"/><Relationship Id="rId125" Type="http://schemas.openxmlformats.org/officeDocument/2006/relationships/hyperlink" Target="https://xrspace.atlassian.net/issues/?jql=created+%3E%3D+2025-01-01+AND+created+%3C%3D+2025-12-31+AND+type+%3D+Bug+AND+project+%3D+SOVA+AND+Sprint+%3D+3608+AND+status+%3D+%22STARTING+%2810+%7E+40%25%29%22" TargetMode="External"/><Relationship Id="rId7" Type="http://schemas.openxmlformats.org/officeDocument/2006/relationships/hyperlink" Target="https://xrspace.atlassian.net/issues/?jql=created+%3E%3D+2025-01-01+AND+created+%3C%3D+2025-12-31+AND+type+%3D+Bug+AND+project+%3D+SOVA+AND+Sprint+%3D+869+AND+status+%3D+%22READY+FOR+TESTING+%2890%25%29%22" TargetMode="External"/><Relationship Id="rId71" Type="http://schemas.openxmlformats.org/officeDocument/2006/relationships/hyperlink" Target="https://xrspace.atlassian.net/issues/?jql=created+%3E%3D+2025-01-01+AND+created+%3C%3D+2025-12-31+AND+type+%3D+Bug+AND+project+%3D+SOVA+AND+Sprint+%3D+2618+AND+status+%3D+%22To+Do+%280%25%29%22" TargetMode="External"/><Relationship Id="rId92" Type="http://schemas.openxmlformats.org/officeDocument/2006/relationships/hyperlink" Target="https://xrspace.atlassian.net/issues/?jql=created+%3E%3D+2025-01-01+AND+created+%3C%3D+2025-12-31+AND+type+%3D+Bug+AND+project+%3D+SOVA+AND+Sprint+%3D+3213+AND+status+%3D+%22To+Do+%280%25%29%22" TargetMode="External"/><Relationship Id="rId2" Type="http://schemas.openxmlformats.org/officeDocument/2006/relationships/hyperlink" Target="https://xrspace.atlassian.net/issues/?jql=created+%3E%3D+2025-01-01+AND+created+%3C%3D+2025-12-31+AND+type+%3D+Bug+AND+project+%3D+SOVA+AND+Sprint+%3D+869+AND+status+%3D+%22In+Progress+%2850+%7E+70%25%29%22" TargetMode="External"/><Relationship Id="rId29" Type="http://schemas.openxmlformats.org/officeDocument/2006/relationships/hyperlink" Target="https://xrspace.atlassian.net/issues/?jql=created+%3E%3D+2025-01-01+AND+created+%3C%3D+2025-12-31+AND+type+%3D+Bug+AND+project+%3D+SOVA+AND+Sprint+%3D+1496+AND+status+%3D+%22To+Do+%280%25%29%22" TargetMode="External"/><Relationship Id="rId24" Type="http://schemas.openxmlformats.org/officeDocument/2006/relationships/hyperlink" Target="https://xrspace.atlassian.net/issues/?jql=created+%3E%3D+2025-01-01+AND+created+%3C%3D+2025-12-31+AND+type+%3D+Bug+AND+project+%3D+SOVA+AND+Sprint+%3D+1466+AND+status+%3D+%22Done+%28100%25%29%22" TargetMode="External"/><Relationship Id="rId40" Type="http://schemas.openxmlformats.org/officeDocument/2006/relationships/hyperlink" Target="https://xrspace.atlassian.net/issues/?jql=created+%3E%3D+2025-01-01+AND+created+%3C%3D+2025-12-31+AND+type+%3D+Bug+AND+project+%3D+SOVA+AND+Sprint+%3D+1497+AND+status+%3D+%22WON%27T+DO+%28100%25%29%22" TargetMode="External"/><Relationship Id="rId45" Type="http://schemas.openxmlformats.org/officeDocument/2006/relationships/hyperlink" Target="https://xrspace.atlassian.net/issues/?jql=created+%3E%3D+2025-01-01+AND+created+%3C%3D+2025-12-31+AND+type+%3D+Bug+AND+project+%3D+SOVA+AND+Sprint+%3D+1498+AND+status+%3D+%22Done+%28100%25%29%22" TargetMode="External"/><Relationship Id="rId66" Type="http://schemas.openxmlformats.org/officeDocument/2006/relationships/hyperlink" Target="https://xrspace.atlassian.net/issues/?jql=created+%3E%3D+2025-01-01+AND+created+%3C%3D+2025-12-31+AND+type+%3D+Bug+AND+project+%3D+SOVA+AND+Sprint+%3D+2157+AND+status+%3D+%22Done+%28100%25%29%22" TargetMode="External"/><Relationship Id="rId87" Type="http://schemas.openxmlformats.org/officeDocument/2006/relationships/hyperlink" Target="https://xrspace.atlassian.net/issues/?jql=created+%3E%3D+2025-01-01+AND+created+%3C%3D+2025-12-31+AND+type+%3D+Bug+AND+project+%3D+SOVA+AND+Sprint+%3D+2882+AND+status+%3D+%22Done+%28100%25%29%22" TargetMode="External"/><Relationship Id="rId110" Type="http://schemas.openxmlformats.org/officeDocument/2006/relationships/hyperlink" Target="https://xrspace.atlassian.net/issues/?jql=created+%3E%3D+2025-01-01+AND+created+%3C%3D+2025-12-31+AND+type+%3D+Bug+AND+project+%3D+SOVA+AND+Sprint+%3D+3246+AND+status+%3D+%22WON%27T+DO+%28100%25%29%22" TargetMode="External"/><Relationship Id="rId115" Type="http://schemas.openxmlformats.org/officeDocument/2006/relationships/hyperlink" Target="https://xrspace.atlassian.net/issues/?jql=created+%3E%3D+2025-01-01+AND+created+%3C%3D+2025-12-31+AND+type+%3D+Bug+AND+project+%3D+SOVA+AND+Sprint+%3D+3575+AND+status+%3D+%22Done+%28100%25%29%22" TargetMode="External"/><Relationship Id="rId131" Type="http://schemas.openxmlformats.org/officeDocument/2006/relationships/hyperlink" Target="https://xrspace.atlassian.net/issues/?jql=created+%3E%3D+2025-01-01+AND+created+%3C%3D+2025-12-31+AND+type+%3D+Bug+AND+project+%3D+SOVA+AND+Sprint+%3D+3872+AND+status+%3D+%22WON%27T+DO+%28100%25%29%22" TargetMode="External"/><Relationship Id="rId136" Type="http://schemas.openxmlformats.org/officeDocument/2006/relationships/table" Target="../tables/table5.xml"/><Relationship Id="rId61" Type="http://schemas.openxmlformats.org/officeDocument/2006/relationships/hyperlink" Target="https://xrspace.atlassian.net/issues/?jql=created+%3E%3D+2025-01-01+AND+created+%3C%3D+2025-12-31+AND+type+%3D+Bug+AND+project+%3D+SOVA+AND+Sprint+%3D+2156+AND+status+%3D+%22WON%27T+DO+%28100%25%29%22" TargetMode="External"/><Relationship Id="rId82" Type="http://schemas.openxmlformats.org/officeDocument/2006/relationships/hyperlink" Target="https://xrspace.atlassian.net/issues/?jql=created+%3E%3D+2025-01-01+AND+created+%3C%3D+2025-12-31+AND+type+%3D+Bug+AND+project+%3D+SOVA+AND+Sprint+%3D+2619+AND+status+%3D+%22WON%27T+DO+%28100%25%29%22" TargetMode="External"/><Relationship Id="rId19" Type="http://schemas.openxmlformats.org/officeDocument/2006/relationships/hyperlink" Target="https://xrspace.atlassian.net/issues/?jql=created+%3E%3D+2025-01-01+AND+created+%3C%3D+2025-12-31+AND+type+%3D+Bug+AND+project+%3D+SOVA+AND+Sprint+%3D+1463+AND+status+%3D+%22WON%27T+DO+%28100%25%29%22" TargetMode="External"/><Relationship Id="rId14" Type="http://schemas.openxmlformats.org/officeDocument/2006/relationships/hyperlink" Target="https://xrspace.atlassian.net/issues/?jql=created+%3E%3D+2025-01-01+AND+created+%3C%3D+2025-12-31+AND+type+%3D+Bug+AND+project+%3D+SOVA+AND+Sprint+%3D+1397+AND+status+%3D+%22READY+FOR+TESTING+%2890%25%29%22" TargetMode="External"/><Relationship Id="rId30" Type="http://schemas.openxmlformats.org/officeDocument/2006/relationships/hyperlink" Target="https://xrspace.atlassian.net/issues/?jql=created+%3E%3D+2025-01-01+AND+created+%3C%3D+2025-12-31+AND+type+%3D+Bug+AND+project+%3D+SOVA+AND+Sprint+%3D+1496+AND+status+%3D+%22In+Progress+%2850+%7E+70%25%29%22" TargetMode="External"/><Relationship Id="rId35" Type="http://schemas.openxmlformats.org/officeDocument/2006/relationships/hyperlink" Target="https://xrspace.atlassian.net/issues/?jql=created+%3E%3D+2025-01-01+AND+created+%3C%3D+2025-12-31+AND+type+%3D+Bug+AND+project+%3D+SOVA+AND+Sprint+%3D+1496+AND+status+%3D+%22READY+FOR+TESTING+%2890%25%29%22" TargetMode="External"/><Relationship Id="rId56" Type="http://schemas.openxmlformats.org/officeDocument/2006/relationships/hyperlink" Target="https://xrspace.atlassian.net/issues/?jql=created+%3E%3D+2025-01-01+AND+created+%3C%3D+2025-12-31+AND+type+%3D+Bug+AND+project+%3D+SOVA+AND+Sprint+%3D+1499+AND+status+%3D+%22READY+FOR+TESTING+%2890%25%29%22" TargetMode="External"/><Relationship Id="rId77" Type="http://schemas.openxmlformats.org/officeDocument/2006/relationships/hyperlink" Target="https://xrspace.atlassian.net/issues/?jql=created+%3E%3D+2025-01-01+AND+created+%3C%3D+2025-12-31+AND+type+%3D+Bug+AND+project+%3D+SOVA+AND+Sprint+%3D+2618+AND+status+%3D+%22READY+FOR+TESTING+%2890%25%29%22" TargetMode="External"/><Relationship Id="rId100" Type="http://schemas.openxmlformats.org/officeDocument/2006/relationships/hyperlink" Target="https://xrspace.atlassian.net/issues/?jql=created+%3E%3D+2025-01-01+AND+created+%3C%3D+2025-12-31+AND+type+%3D+Bug+AND+project+%3D+SOVA+AND+Sprint+%3D+3245+AND+status+%3D+%22In+Progress+%2850+%7E+70%25%29%22" TargetMode="External"/><Relationship Id="rId105" Type="http://schemas.openxmlformats.org/officeDocument/2006/relationships/hyperlink" Target="https://xrspace.atlassian.net/issues/?jql=created+%3E%3D+2025-01-01+AND+created+%3C%3D+2025-12-31+AND+type+%3D+Bug+AND+project+%3D+SOVA+AND+Sprint+%3D+3245+AND+status+%3D+%22READY+FOR+TESTING+%2890%25%29%22" TargetMode="External"/><Relationship Id="rId126" Type="http://schemas.openxmlformats.org/officeDocument/2006/relationships/hyperlink" Target="https://xrspace.atlassian.net/issues/?jql=created+%3E%3D+2025-01-01+AND+created+%3C%3D+2025-12-31+AND+type+%3D+Bug+AND+project+%3D+SOVA+AND+Sprint+%3D+3608+AND+status+%3D+%22READY+FOR+TESTING+%2890%25%29%22" TargetMode="External"/><Relationship Id="rId8" Type="http://schemas.openxmlformats.org/officeDocument/2006/relationships/hyperlink" Target="https://xrspace.atlassian.net/issues/?jql=created+%3E%3D+2025-01-01+AND+created+%3C%3D+2025-12-31+AND+type+%3D+Bug+AND+project+%3D+SOVA+AND+Sprint+%3D+1397+AND+status+%3D+%22To+Do+%280%25%29%22" TargetMode="External"/><Relationship Id="rId51" Type="http://schemas.openxmlformats.org/officeDocument/2006/relationships/hyperlink" Target="https://xrspace.atlassian.net/issues/?jql=created+%3E%3D+2025-01-01+AND+created+%3C%3D+2025-12-31+AND+type+%3D+Bug+AND+project+%3D+SOVA+AND+Sprint+%3D+1499+AND+status+%3D+%22In+Progress+%2850+%7E+70%25%29%22" TargetMode="External"/><Relationship Id="rId72" Type="http://schemas.openxmlformats.org/officeDocument/2006/relationships/hyperlink" Target="https://xrspace.atlassian.net/issues/?jql=created+%3E%3D+2025-01-01+AND+created+%3C%3D+2025-12-31+AND+type+%3D+Bug+AND+project+%3D+SOVA+AND+Sprint+%3D+2618+AND+status+%3D+%22In+Progress+%2850+%7E+70%25%29%22" TargetMode="External"/><Relationship Id="rId93" Type="http://schemas.openxmlformats.org/officeDocument/2006/relationships/hyperlink" Target="https://xrspace.atlassian.net/issues/?jql=created+%3E%3D+2025-01-01+AND+created+%3C%3D+2025-12-31+AND+type+%3D+Bug+AND+project+%3D+SOVA+AND+Sprint+%3D+3213+AND+status+%3D+%22In+Progress+%2850+%7E+70%25%29%22" TargetMode="External"/><Relationship Id="rId98" Type="http://schemas.openxmlformats.org/officeDocument/2006/relationships/hyperlink" Target="https://xrspace.atlassian.net/issues/?jql=created+%3E%3D+2025-01-01+AND+created+%3C%3D+2025-12-31+AND+type+%3D+Bug+AND+project+%3D+SOVA+AND+Sprint+%3D+3213+AND+status+%3D+%22READY+FOR+TESTING+%2890%25%29%22" TargetMode="External"/><Relationship Id="rId121" Type="http://schemas.openxmlformats.org/officeDocument/2006/relationships/hyperlink" Target="https://xrspace.atlassian.net/issues/?jql=created+%3E%3D+2025-01-01+AND+created+%3C%3D+2025-12-31+AND+type+%3D+Bug+AND+project+%3D+SOVA+AND+Sprint+%3D+3608+AND+status+%3D+%22In+Progress+%2850+%7E+70%25%29%22" TargetMode="External"/><Relationship Id="rId3" Type="http://schemas.openxmlformats.org/officeDocument/2006/relationships/hyperlink" Target="https://xrspace.atlassian.net/issues/?jql=created+%3E%3D+2025-01-01+AND+created+%3C%3D+2025-12-31+AND+type+%3D+Bug+AND+project+%3D+SOVA+AND+Sprint+%3D+869+AND+status+%3D+%22Done+%28100%25%29%22" TargetMode="External"/><Relationship Id="rId25" Type="http://schemas.openxmlformats.org/officeDocument/2006/relationships/hyperlink" Target="https://xrspace.atlassian.net/issues/?jql=created+%3E%3D+2025-01-01+AND+created+%3C%3D+2025-12-31+AND+type+%3D+Bug+AND+project+%3D+SOVA+AND+Sprint+%3D+1466+AND+status+%3D+%22IN+REVIEW+%2880%25%29%22" TargetMode="External"/><Relationship Id="rId46" Type="http://schemas.openxmlformats.org/officeDocument/2006/relationships/hyperlink" Target="https://xrspace.atlassian.net/issues/?jql=created+%3E%3D+2025-01-01+AND+created+%3C%3D+2025-12-31+AND+type+%3D+Bug+AND+project+%3D+SOVA+AND+Sprint+%3D+1498+AND+status+%3D+%22IN+REVIEW+%2880%25%29%22" TargetMode="External"/><Relationship Id="rId67" Type="http://schemas.openxmlformats.org/officeDocument/2006/relationships/hyperlink" Target="https://xrspace.atlassian.net/issues/?jql=created+%3E%3D+2025-01-01+AND+created+%3C%3D+2025-12-31+AND+type+%3D+Bug+AND+project+%3D+SOVA+AND+Sprint+%3D+2157+AND+status+%3D+%22IN+REVIEW+%2880%25%29%22" TargetMode="External"/><Relationship Id="rId116" Type="http://schemas.openxmlformats.org/officeDocument/2006/relationships/hyperlink" Target="https://xrspace.atlassian.net/issues/?jql=created+%3E%3D+2025-01-01+AND+created+%3C%3D+2025-12-31+AND+type+%3D+Bug+AND+project+%3D+SOVA+AND+Sprint+%3D+3575+AND+status+%3D+%22IN+REVIEW+%2880%25%29%22" TargetMode="External"/><Relationship Id="rId20" Type="http://schemas.openxmlformats.org/officeDocument/2006/relationships/hyperlink" Target="https://xrspace.atlassian.net/issues/?jql=created+%3E%3D+2025-01-01+AND+created+%3C%3D+2025-12-31+AND+type+%3D+Bug+AND+project+%3D+SOVA+AND+Sprint+%3D+1463+AND+status+%3D+%22STARTING+%2810+%7E+40%25%29%22" TargetMode="External"/><Relationship Id="rId41" Type="http://schemas.openxmlformats.org/officeDocument/2006/relationships/hyperlink" Target="https://xrspace.atlassian.net/issues/?jql=created+%3E%3D+2025-01-01+AND+created+%3C%3D+2025-12-31+AND+type+%3D+Bug+AND+project+%3D+SOVA+AND+Sprint+%3D+1497+AND+status+%3D+%22STARTING+%2810+%7E+40%25%29%22" TargetMode="External"/><Relationship Id="rId62" Type="http://schemas.openxmlformats.org/officeDocument/2006/relationships/hyperlink" Target="https://xrspace.atlassian.net/issues/?jql=created+%3E%3D+2025-01-01+AND+created+%3C%3D+2025-12-31+AND+type+%3D+Bug+AND+project+%3D+SOVA+AND+Sprint+%3D+2156+AND+status+%3D+%22STARTING+%2810+%7E+40%25%29%22" TargetMode="External"/><Relationship Id="rId83" Type="http://schemas.openxmlformats.org/officeDocument/2006/relationships/hyperlink" Target="https://xrspace.atlassian.net/issues/?jql=created+%3E%3D+2025-01-01+AND+created+%3C%3D+2025-12-31+AND+type+%3D+Bug+AND+project+%3D+SOVA+AND+Sprint+%3D+2619+AND+status+%3D+%22STARTING+%2810+%7E+40%25%29%22" TargetMode="External"/><Relationship Id="rId88" Type="http://schemas.openxmlformats.org/officeDocument/2006/relationships/hyperlink" Target="https://xrspace.atlassian.net/issues/?jql=created+%3E%3D+2025-01-01+AND+created+%3C%3D+2025-12-31+AND+type+%3D+Bug+AND+project+%3D+SOVA+AND+Sprint+%3D+2882+AND+status+%3D+%22IN+REVIEW+%2880%25%29%22" TargetMode="External"/><Relationship Id="rId111" Type="http://schemas.openxmlformats.org/officeDocument/2006/relationships/hyperlink" Target="https://xrspace.atlassian.net/issues/?jql=created+%3E%3D+2025-01-01+AND+created+%3C%3D+2025-12-31+AND+type+%3D+Bug+AND+project+%3D+SOVA+AND+Sprint+%3D+3246+AND+status+%3D+%22STARTING+%2810+%7E+40%25%29%22" TargetMode="External"/><Relationship Id="rId132" Type="http://schemas.openxmlformats.org/officeDocument/2006/relationships/hyperlink" Target="https://xrspace.atlassian.net/issues/?jql=created+%3E%3D+2025-01-01+AND+created+%3C%3D+2025-12-31+AND+type+%3D+Bug+AND+project+%3D+SOVA+AND+Sprint+%3D+3872+AND+status+%3D+%22STARTING+%2810+%7E+40%25%29%22" TargetMode="External"/><Relationship Id="rId15" Type="http://schemas.openxmlformats.org/officeDocument/2006/relationships/hyperlink" Target="https://xrspace.atlassian.net/issues/?jql=created+%3E%3D+2025-01-01+AND+created+%3C%3D+2025-12-31+AND+type+%3D+Bug+AND+project+%3D+SOVA+AND+Sprint+%3D+1463+AND+status+%3D+%22To+Do+%280%25%29%22" TargetMode="External"/><Relationship Id="rId36" Type="http://schemas.openxmlformats.org/officeDocument/2006/relationships/hyperlink" Target="https://xrspace.atlassian.net/issues/?jql=created+%3E%3D+2025-01-01+AND+created+%3C%3D+2025-12-31+AND+type+%3D+Bug+AND+project+%3D+SOVA+AND+Sprint+%3D+1497+AND+status+%3D+%22To+Do+%280%25%29%22" TargetMode="External"/><Relationship Id="rId57" Type="http://schemas.openxmlformats.org/officeDocument/2006/relationships/hyperlink" Target="https://xrspace.atlassian.net/issues/?jql=created+%3E%3D+2025-01-01+AND+created+%3C%3D+2025-12-31+AND+type+%3D+Bug+AND+project+%3D+SOVA+AND+Sprint+%3D+2156+AND+status+%3D+%22To+Do+%280%25%29%22" TargetMode="External"/><Relationship Id="rId106" Type="http://schemas.openxmlformats.org/officeDocument/2006/relationships/hyperlink" Target="https://xrspace.atlassian.net/issues/?jql=created+%3E%3D+2025-01-01+AND+created+%3C%3D+2025-12-31+AND+type+%3D+Bug+AND+project+%3D+SOVA+AND+Sprint+%3D+3246+AND+status+%3D+%22To+Do+%280%25%29%22" TargetMode="External"/><Relationship Id="rId127" Type="http://schemas.openxmlformats.org/officeDocument/2006/relationships/hyperlink" Target="https://xrspace.atlassian.net/issues/?jql=created+%3E%3D+2025-01-01+AND+created+%3C%3D+2025-12-31+AND+type+%3D+Bug+AND+project+%3D+SOVA+AND+Sprint+%3D+3872+AND+status+%3D+%22To+Do+%280%25%29%22" TargetMode="External"/><Relationship Id="rId10" Type="http://schemas.openxmlformats.org/officeDocument/2006/relationships/hyperlink" Target="https://xrspace.atlassian.net/issues/?jql=created+%3E%3D+2025-01-01+AND+created+%3C%3D+2025-12-31+AND+type+%3D+Bug+AND+project+%3D+SOVA+AND+Sprint+%3D+1397+AND+status+%3D+%22Done+%28100%25%29%22" TargetMode="External"/><Relationship Id="rId31" Type="http://schemas.openxmlformats.org/officeDocument/2006/relationships/hyperlink" Target="https://xrspace.atlassian.net/issues/?jql=created+%3E%3D+2025-01-01+AND+created+%3C%3D+2025-12-31+AND+type+%3D+Bug+AND+project+%3D+SOVA+AND+Sprint+%3D+1496+AND+status+%3D+%22Done+%28100%25%29%22" TargetMode="External"/><Relationship Id="rId52" Type="http://schemas.openxmlformats.org/officeDocument/2006/relationships/hyperlink" Target="https://xrspace.atlassian.net/issues/?jql=created+%3E%3D+2025-01-01+AND+created+%3C%3D+2025-12-31+AND+type+%3D+Bug+AND+project+%3D+SOVA+AND+Sprint+%3D+1499+AND+status+%3D+%22Done+%28100%25%29%22" TargetMode="External"/><Relationship Id="rId73" Type="http://schemas.openxmlformats.org/officeDocument/2006/relationships/hyperlink" Target="https://xrspace.atlassian.net/issues/?jql=created+%3E%3D+2025-01-01+AND+created+%3C%3D+2025-12-31+AND+type+%3D+Bug+AND+project+%3D+SOVA+AND+Sprint+%3D+2618+AND+status+%3D+%22Done+%28100%25%29%22" TargetMode="External"/><Relationship Id="rId78" Type="http://schemas.openxmlformats.org/officeDocument/2006/relationships/hyperlink" Target="https://xrspace.atlassian.net/issues/?jql=created+%3E%3D+2025-01-01+AND+created+%3C%3D+2025-12-31+AND+type+%3D+Bug+AND+project+%3D+SOVA+AND+Sprint+%3D+2619+AND+status+%3D+%22To+Do+%280%25%29%22" TargetMode="External"/><Relationship Id="rId94" Type="http://schemas.openxmlformats.org/officeDocument/2006/relationships/hyperlink" Target="https://xrspace.atlassian.net/issues/?jql=created+%3E%3D+2025-01-01+AND+created+%3C%3D+2025-12-31+AND+type+%3D+Bug+AND+project+%3D+SOVA+AND+Sprint+%3D+3213+AND+status+%3D+%22Done+%28100%25%29%22" TargetMode="External"/><Relationship Id="rId99" Type="http://schemas.openxmlformats.org/officeDocument/2006/relationships/hyperlink" Target="https://xrspace.atlassian.net/issues/?jql=created+%3E%3D+2025-01-01+AND+created+%3C%3D+2025-12-31+AND+type+%3D+Bug+AND+project+%3D+SOVA+AND+Sprint+%3D+3245+AND+status+%3D+%22To+Do+%280%25%29%22" TargetMode="External"/><Relationship Id="rId101" Type="http://schemas.openxmlformats.org/officeDocument/2006/relationships/hyperlink" Target="https://xrspace.atlassian.net/issues/?jql=created+%3E%3D+2025-01-01+AND+created+%3C%3D+2025-12-31+AND+type+%3D+Bug+AND+project+%3D+SOVA+AND+Sprint+%3D+3245+AND+status+%3D+%22Done+%28100%25%29%22" TargetMode="External"/><Relationship Id="rId122" Type="http://schemas.openxmlformats.org/officeDocument/2006/relationships/hyperlink" Target="https://xrspace.atlassian.net/issues/?jql=created+%3E%3D+2025-01-01+AND+created+%3C%3D+2025-12-31+AND+type+%3D+Bug+AND+project+%3D+SOVA+AND+Sprint+%3D+3608+AND+status+%3D+%22Done+%28100%25%29%22" TargetMode="External"/><Relationship Id="rId4" Type="http://schemas.openxmlformats.org/officeDocument/2006/relationships/hyperlink" Target="https://xrspace.atlassian.net/issues/?jql=created+%3E%3D+2025-01-01+AND+created+%3C%3D+2025-12-31+AND+type+%3D+Bug+AND+project+%3D+SOVA+AND+Sprint+%3D+869+AND+status+%3D+%22IN+REVIEW+%2880%25%29%22" TargetMode="External"/><Relationship Id="rId9" Type="http://schemas.openxmlformats.org/officeDocument/2006/relationships/hyperlink" Target="https://xrspace.atlassian.net/issues/?jql=created+%3E%3D+2025-01-01+AND+created+%3C%3D+2025-12-31+AND+type+%3D+Bug+AND+project+%3D+SOVA+AND+Sprint+%3D+1397+AND+status+%3D+%22In+Progress+%2850+%7E+70%25%29%22" TargetMode="External"/><Relationship Id="rId26" Type="http://schemas.openxmlformats.org/officeDocument/2006/relationships/hyperlink" Target="https://xrspace.atlassian.net/issues/?jql=created+%3E%3D+2025-01-01+AND+created+%3C%3D+2025-12-31+AND+type+%3D+Bug+AND+project+%3D+SOVA+AND+Sprint+%3D+1466+AND+status+%3D+%22WON%27T+DO+%28100%25%29%22" TargetMode="External"/><Relationship Id="rId47" Type="http://schemas.openxmlformats.org/officeDocument/2006/relationships/hyperlink" Target="https://xrspace.atlassian.net/issues/?jql=created+%3E%3D+2025-01-01+AND+created+%3C%3D+2025-12-31+AND+type+%3D+Bug+AND+project+%3D+SOVA+AND+Sprint+%3D+1498+AND+status+%3D+%22WON%27T+DO+%28100%25%29%22" TargetMode="External"/><Relationship Id="rId68" Type="http://schemas.openxmlformats.org/officeDocument/2006/relationships/hyperlink" Target="https://xrspace.atlassian.net/issues/?jql=created+%3E%3D+2025-01-01+AND+created+%3C%3D+2025-12-31+AND+type+%3D+Bug+AND+project+%3D+SOVA+AND+Sprint+%3D+2157+AND+status+%3D+%22WON%27T+DO+%28100%25%29%22" TargetMode="External"/><Relationship Id="rId89" Type="http://schemas.openxmlformats.org/officeDocument/2006/relationships/hyperlink" Target="https://xrspace.atlassian.net/issues/?jql=created+%3E%3D+2025-01-01+AND+created+%3C%3D+2025-12-31+AND+type+%3D+Bug+AND+project+%3D+SOVA+AND+Sprint+%3D+2882+AND+status+%3D+%22WON%27T+DO+%28100%25%29%22" TargetMode="External"/><Relationship Id="rId112" Type="http://schemas.openxmlformats.org/officeDocument/2006/relationships/hyperlink" Target="https://xrspace.atlassian.net/issues/?jql=created+%3E%3D+2025-01-01+AND+created+%3C%3D+2025-12-31+AND+type+%3D+Bug+AND+project+%3D+SOVA+AND+Sprint+%3D+3246+AND+status+%3D+%22READY+FOR+TESTING+%2890%25%29%22" TargetMode="External"/><Relationship Id="rId133" Type="http://schemas.openxmlformats.org/officeDocument/2006/relationships/hyperlink" Target="https://xrspace.atlassian.net/issues/?jql=created+%3E%3D+2025-01-01+AND+created+%3C%3D+2025-12-31+AND+type+%3D+Bug+AND+project+%3D+SOVA+AND+Sprint+%3D+3872+AND+status+%3D+%22READY+FOR+TESTING+%289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16"/>
  <sheetViews>
    <sheetView topLeftCell="A10" zoomScaleNormal="100" workbookViewId="0">
      <selection activeCell="G15" sqref="G15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64</v>
      </c>
      <c r="B1" s="2" t="s">
        <v>5</v>
      </c>
      <c r="C1" s="2" t="s">
        <v>6</v>
      </c>
      <c r="D1" s="2" t="s">
        <v>0</v>
      </c>
      <c r="E1" s="2" t="s">
        <v>7</v>
      </c>
    </row>
    <row r="2" spans="1:5" ht="21.95" customHeight="1">
      <c r="A2" t="s">
        <v>1</v>
      </c>
      <c r="B2">
        <v>2</v>
      </c>
      <c r="C2">
        <v>1</v>
      </c>
      <c r="D2">
        <v>115</v>
      </c>
      <c r="E2">
        <f>SUM(Table2[[#This Row],[Done]:[TODO (P1)]])</f>
        <v>118</v>
      </c>
    </row>
    <row r="3" spans="1:5" ht="21.95" customHeight="1">
      <c r="A3" t="s">
        <v>2</v>
      </c>
      <c r="B3">
        <v>3</v>
      </c>
      <c r="C3">
        <v>1</v>
      </c>
      <c r="D3">
        <v>114</v>
      </c>
      <c r="E3">
        <f>SUM(Table2[[#This Row],[Done]:[TODO (P1)]])</f>
        <v>118</v>
      </c>
    </row>
    <row r="4" spans="1:5" ht="21.95" customHeight="1">
      <c r="A4" t="s">
        <v>3</v>
      </c>
      <c r="B4">
        <v>3</v>
      </c>
      <c r="C4">
        <v>6</v>
      </c>
      <c r="D4">
        <v>109</v>
      </c>
      <c r="E4">
        <f>SUM(Table2[[#This Row],[Done]:[TODO (P1)]])</f>
        <v>118</v>
      </c>
    </row>
    <row r="5" spans="1:5" ht="21.95" customHeight="1">
      <c r="A5" t="s">
        <v>4</v>
      </c>
      <c r="B5">
        <v>4</v>
      </c>
      <c r="C5">
        <v>6</v>
      </c>
      <c r="D5">
        <v>108</v>
      </c>
      <c r="E5">
        <f>SUM(Table2[[#This Row],[Done]:[TODO (P1)]])</f>
        <v>118</v>
      </c>
    </row>
    <row r="6" spans="1:5" ht="21.95" customHeight="1">
      <c r="A6" t="s">
        <v>8</v>
      </c>
      <c r="B6">
        <v>8</v>
      </c>
      <c r="C6">
        <v>6</v>
      </c>
      <c r="D6">
        <v>104</v>
      </c>
      <c r="E6">
        <f>SUM(Table2[[#This Row],[Done]:[TODO (P1)]])</f>
        <v>118</v>
      </c>
    </row>
    <row r="7" spans="1:5" ht="21.95" customHeight="1">
      <c r="A7" t="s">
        <v>9</v>
      </c>
      <c r="B7">
        <v>10</v>
      </c>
      <c r="C7">
        <v>10</v>
      </c>
      <c r="D7">
        <v>228</v>
      </c>
      <c r="E7">
        <f>SUM(Table2[[#This Row],[Done]:[TODO (P1)]])</f>
        <v>248</v>
      </c>
    </row>
    <row r="8" spans="1:5" ht="21.95" customHeight="1">
      <c r="A8" t="s">
        <v>10</v>
      </c>
      <c r="B8">
        <v>12</v>
      </c>
      <c r="C8">
        <v>12</v>
      </c>
      <c r="D8">
        <v>224</v>
      </c>
      <c r="E8">
        <f>SUM(Table2[[#This Row],[Done]:[TODO (P1)]])</f>
        <v>248</v>
      </c>
    </row>
    <row r="9" spans="1:5" ht="21.95" customHeight="1">
      <c r="A9" t="s">
        <v>66</v>
      </c>
      <c r="B9">
        <v>15</v>
      </c>
      <c r="C9">
        <v>13</v>
      </c>
      <c r="D9">
        <v>220</v>
      </c>
      <c r="E9">
        <f>SUM(Table2[[#This Row],[Done]:[TODO (P1)]])</f>
        <v>248</v>
      </c>
    </row>
    <row r="10" spans="1:5" ht="21.95" customHeight="1">
      <c r="A10" t="s">
        <v>71</v>
      </c>
      <c r="B10">
        <v>15</v>
      </c>
      <c r="C10">
        <v>14</v>
      </c>
      <c r="D10">
        <v>219</v>
      </c>
      <c r="E10">
        <f>SUM(Table2[[#This Row],[Done]:[TODO (P1)]])</f>
        <v>248</v>
      </c>
    </row>
    <row r="11" spans="1:5" ht="21.95" customHeight="1">
      <c r="A11" t="s">
        <v>73</v>
      </c>
      <c r="B11">
        <v>12</v>
      </c>
      <c r="C11">
        <v>11</v>
      </c>
      <c r="D11">
        <v>173</v>
      </c>
      <c r="E11">
        <f>SUM(Table2[[#This Row],[Done]:[TODO (P1)]])</f>
        <v>196</v>
      </c>
    </row>
    <row r="12" spans="1:5" ht="21.95" customHeight="1">
      <c r="A12" t="s">
        <v>74</v>
      </c>
      <c r="B12">
        <v>13</v>
      </c>
      <c r="C12">
        <v>11</v>
      </c>
      <c r="D12">
        <v>172</v>
      </c>
      <c r="E12" s="13">
        <f>SUM(Table2[[#This Row],[Done]:[TODO (P1)]])</f>
        <v>196</v>
      </c>
    </row>
    <row r="13" spans="1:5" ht="21.95" customHeight="1">
      <c r="A13" t="s">
        <v>77</v>
      </c>
      <c r="B13">
        <v>15</v>
      </c>
      <c r="C13">
        <v>12</v>
      </c>
      <c r="D13">
        <v>168</v>
      </c>
      <c r="E13" s="13">
        <f>SUM(Table2[[#This Row],[Done]:[TODO (P1)]])</f>
        <v>195</v>
      </c>
    </row>
    <row r="14" spans="1:5" ht="21.95" customHeight="1">
      <c r="A14" t="s">
        <v>79</v>
      </c>
      <c r="B14">
        <v>18</v>
      </c>
      <c r="C14">
        <v>11</v>
      </c>
      <c r="D14">
        <v>166</v>
      </c>
      <c r="E14" s="13">
        <f>SUM(Table2[[#This Row],[Done]:[TODO (P1)]])</f>
        <v>195</v>
      </c>
    </row>
    <row r="15" spans="1:5" ht="21.95" customHeight="1">
      <c r="A15" t="s">
        <v>82</v>
      </c>
      <c r="B15">
        <v>21</v>
      </c>
      <c r="C15">
        <v>14</v>
      </c>
      <c r="D15">
        <v>160</v>
      </c>
      <c r="E15" s="13">
        <f>SUM(Table2[[#This Row],[Done]:[TODO (P1)]])</f>
        <v>195</v>
      </c>
    </row>
    <row r="16" spans="1:5" ht="21.95" customHeight="1">
      <c r="A16" t="s">
        <v>84</v>
      </c>
      <c r="B16">
        <v>22</v>
      </c>
      <c r="C16">
        <v>14</v>
      </c>
      <c r="D16">
        <v>160</v>
      </c>
      <c r="E16" s="13">
        <f>SUM(Table2[[#This Row],[Done]:[TODO (P1)]])</f>
        <v>196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14"/>
  <sheetViews>
    <sheetView zoomScaleNormal="100" workbookViewId="0">
      <selection activeCell="G13" sqref="G13"/>
    </sheetView>
  </sheetViews>
  <sheetFormatPr defaultColWidth="11.5546875" defaultRowHeight="15"/>
  <cols>
    <col min="1" max="1" width="15.77734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52</v>
      </c>
      <c r="B1" s="2" t="s">
        <v>18</v>
      </c>
      <c r="C1" s="2" t="s">
        <v>27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7</v>
      </c>
    </row>
    <row r="2" spans="1:8" ht="21.95" customHeight="1">
      <c r="A2" t="s">
        <v>11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SUM(B2:G2)</f>
        <v>442</v>
      </c>
    </row>
    <row r="3" spans="1:8" ht="21.95" customHeight="1">
      <c r="A3" t="s">
        <v>12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 t="shared" ref="H3:H8" si="0">SUM(B3:G3)</f>
        <v>414</v>
      </c>
    </row>
    <row r="4" spans="1:8" ht="21.95" customHeight="1">
      <c r="A4" t="s">
        <v>13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 t="shared" si="0"/>
        <v>1211</v>
      </c>
    </row>
    <row r="5" spans="1:8" ht="21.95" customHeight="1">
      <c r="A5" t="s">
        <v>14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 t="shared" si="0"/>
        <v>2596</v>
      </c>
    </row>
    <row r="6" spans="1:8" ht="21.95" customHeight="1">
      <c r="A6" t="s">
        <v>15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 t="shared" si="0"/>
        <v>2266</v>
      </c>
    </row>
    <row r="7" spans="1:8" ht="21.95" customHeight="1">
      <c r="A7" t="s">
        <v>16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 t="shared" si="0"/>
        <v>2723</v>
      </c>
    </row>
    <row r="8" spans="1:8" ht="21.95" customHeight="1">
      <c r="A8" t="s">
        <v>17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 t="shared" si="0"/>
        <v>2531</v>
      </c>
    </row>
    <row r="9" spans="1:8" ht="21.95" customHeight="1">
      <c r="A9" t="s">
        <v>65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SUM(B9:G9)</f>
        <v>1401</v>
      </c>
    </row>
    <row r="10" spans="1:8" ht="21.95" customHeight="1">
      <c r="A10" t="s">
        <v>72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SUM(B10:G10)</f>
        <v>1273</v>
      </c>
    </row>
    <row r="11" spans="1:8" ht="21.95" customHeight="1">
      <c r="A11" t="s">
        <v>75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v>1341</v>
      </c>
    </row>
    <row r="12" spans="1:8" ht="21.95" customHeight="1">
      <c r="A12" t="s">
        <v>80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v>1341</v>
      </c>
    </row>
    <row r="13" spans="1:8" ht="21.95" customHeight="1"/>
    <row r="14" spans="1:8" ht="21.95" customHeight="1"/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20"/>
  <sheetViews>
    <sheetView tabSelected="1" zoomScaleNormal="100" workbookViewId="0">
      <selection activeCell="K16" sqref="K16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52</v>
      </c>
      <c r="B1" s="2" t="s">
        <v>18</v>
      </c>
      <c r="C1" s="2" t="s">
        <v>27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7</v>
      </c>
    </row>
    <row r="2" spans="1:8" ht="20.100000000000001" customHeight="1">
      <c r="A2" s="3" t="s">
        <v>23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24</v>
      </c>
    </row>
    <row r="4" spans="1:8" ht="20.100000000000001" customHeight="1">
      <c r="A4" s="3" t="s">
        <v>25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26</v>
      </c>
    </row>
    <row r="6" spans="1:8" ht="20.100000000000001" customHeight="1">
      <c r="A6" s="3" t="s">
        <v>1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2</v>
      </c>
    </row>
    <row r="8" spans="1:8" ht="20.100000000000001" customHeight="1">
      <c r="A8" s="3" t="s">
        <v>3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4</v>
      </c>
    </row>
    <row r="10" spans="1:8" ht="20.100000000000001" customHeight="1">
      <c r="A10" s="3" t="s">
        <v>8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9</v>
      </c>
    </row>
    <row r="12" spans="1:8" ht="20.100000000000001" customHeight="1">
      <c r="A12" s="3" t="s">
        <v>10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66</v>
      </c>
    </row>
    <row r="14" spans="1:8" ht="20.100000000000001" customHeight="1">
      <c r="A14" s="3" t="s">
        <v>71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73</v>
      </c>
      <c r="H15" s="13"/>
    </row>
    <row r="16" spans="1:8" ht="20.100000000000001" customHeight="1">
      <c r="A16" s="3" t="s">
        <v>74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3">
        <f>SUM(Table3[[#This Row],[Passed]:[Untested]])</f>
        <v>259</v>
      </c>
    </row>
    <row r="17" spans="1:8" ht="20.100000000000001" customHeight="1">
      <c r="A17" s="3" t="s">
        <v>77</v>
      </c>
      <c r="H17" s="13"/>
    </row>
    <row r="18" spans="1:8" ht="20.100000000000001" customHeight="1">
      <c r="A18" s="3" t="s">
        <v>79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3">
        <f>SUM(Table3[[#This Row],[Passed]:[Untested]])</f>
        <v>285</v>
      </c>
    </row>
    <row r="19" spans="1:8" ht="20.100000000000001" customHeight="1">
      <c r="A19" s="3" t="s">
        <v>82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3">
        <f>SUM(Table3[[#This Row],[Passed]:[Untested]])</f>
        <v>162</v>
      </c>
    </row>
    <row r="20" spans="1:8" ht="20.100000000000001" customHeight="1">
      <c r="A20" s="3" t="s">
        <v>84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3">
        <f>SUM(Table3[[#This Row],[Passed]:[Untested]])</f>
        <v>246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4"/>
  <sheetViews>
    <sheetView zoomScaleNormal="100" workbookViewId="0">
      <selection activeCell="K27" sqref="K27"/>
    </sheetView>
  </sheetViews>
  <sheetFormatPr defaultColWidth="11.5546875" defaultRowHeight="15"/>
  <cols>
    <col min="1" max="1" width="15.33203125" customWidth="1"/>
    <col min="2" max="2" width="15.77734375" customWidth="1"/>
    <col min="3" max="4" width="17.21875" customWidth="1"/>
    <col min="5" max="5" width="15.88671875" customWidth="1"/>
    <col min="6" max="6" width="15" customWidth="1"/>
    <col min="7" max="7" width="14.33203125" customWidth="1"/>
    <col min="8" max="8" width="15.44140625" customWidth="1"/>
  </cols>
  <sheetData>
    <row r="1" spans="1:8">
      <c r="A1" t="s">
        <v>40</v>
      </c>
      <c r="B1" s="3" t="s">
        <v>29</v>
      </c>
      <c r="C1" s="3" t="s">
        <v>63</v>
      </c>
      <c r="D1" s="3" t="s">
        <v>28</v>
      </c>
      <c r="E1" s="3" t="s">
        <v>67</v>
      </c>
      <c r="F1" s="3" t="s">
        <v>68</v>
      </c>
      <c r="G1" s="3" t="s">
        <v>5</v>
      </c>
      <c r="H1" s="3" t="s">
        <v>7</v>
      </c>
    </row>
    <row r="2" spans="1:8">
      <c r="A2" t="s">
        <v>30</v>
      </c>
      <c r="B2">
        <v>2</v>
      </c>
      <c r="C2">
        <v>0</v>
      </c>
      <c r="D2">
        <v>0</v>
      </c>
      <c r="E2">
        <v>0</v>
      </c>
      <c r="F2">
        <v>0</v>
      </c>
      <c r="G2">
        <v>11</v>
      </c>
      <c r="H2">
        <f>SUM(Table7[[#This Row],[To Do]:[Done]])</f>
        <v>13</v>
      </c>
    </row>
    <row r="3" spans="1:8">
      <c r="A3" t="s">
        <v>31</v>
      </c>
      <c r="B3">
        <v>7</v>
      </c>
      <c r="C3">
        <v>0</v>
      </c>
      <c r="D3">
        <v>0</v>
      </c>
      <c r="E3">
        <v>0</v>
      </c>
      <c r="F3">
        <v>0</v>
      </c>
      <c r="G3">
        <v>59</v>
      </c>
      <c r="H3">
        <f>SUM(Table7[[#This Row],[To Do]:[Done]])</f>
        <v>66</v>
      </c>
    </row>
    <row r="4" spans="1:8">
      <c r="A4" t="s">
        <v>32</v>
      </c>
      <c r="B4">
        <v>7</v>
      </c>
      <c r="C4">
        <v>0</v>
      </c>
      <c r="D4">
        <v>0</v>
      </c>
      <c r="E4">
        <v>0</v>
      </c>
      <c r="F4">
        <v>0</v>
      </c>
      <c r="G4">
        <v>96</v>
      </c>
      <c r="H4">
        <f>SUM(Table7[[#This Row],[To Do]:[Done]])</f>
        <v>103</v>
      </c>
    </row>
    <row r="5" spans="1:8">
      <c r="A5" t="s">
        <v>33</v>
      </c>
      <c r="B5">
        <v>13</v>
      </c>
      <c r="C5">
        <v>0</v>
      </c>
      <c r="D5">
        <v>0</v>
      </c>
      <c r="E5">
        <v>0</v>
      </c>
      <c r="F5">
        <v>0</v>
      </c>
      <c r="G5">
        <v>88</v>
      </c>
      <c r="H5">
        <f>SUM(Table7[[#This Row],[To Do]:[Done]])</f>
        <v>101</v>
      </c>
    </row>
    <row r="6" spans="1:8">
      <c r="A6" t="s">
        <v>34</v>
      </c>
      <c r="B6">
        <v>8</v>
      </c>
      <c r="C6">
        <v>0</v>
      </c>
      <c r="D6">
        <v>0</v>
      </c>
      <c r="E6">
        <v>0</v>
      </c>
      <c r="F6">
        <v>0</v>
      </c>
      <c r="G6">
        <v>58</v>
      </c>
      <c r="H6">
        <f>SUM(Table7[[#This Row],[To Do]:[Done]])</f>
        <v>66</v>
      </c>
    </row>
    <row r="7" spans="1:8">
      <c r="A7" t="s">
        <v>35</v>
      </c>
      <c r="B7">
        <v>34</v>
      </c>
      <c r="C7">
        <v>0</v>
      </c>
      <c r="D7">
        <v>0</v>
      </c>
      <c r="E7">
        <v>0</v>
      </c>
      <c r="F7">
        <v>0</v>
      </c>
      <c r="G7">
        <v>159</v>
      </c>
      <c r="H7">
        <f>SUM(Table7[[#This Row],[To Do]:[Done]])</f>
        <v>193</v>
      </c>
    </row>
    <row r="8" spans="1:8">
      <c r="A8" t="s">
        <v>36</v>
      </c>
      <c r="B8">
        <v>34</v>
      </c>
      <c r="C8">
        <v>0</v>
      </c>
      <c r="D8">
        <v>0</v>
      </c>
      <c r="E8">
        <v>0</v>
      </c>
      <c r="F8">
        <v>0</v>
      </c>
      <c r="G8">
        <v>153</v>
      </c>
      <c r="H8">
        <f>SUM(Table7[[#This Row],[To Do]:[Done]])</f>
        <v>187</v>
      </c>
    </row>
    <row r="9" spans="1:8">
      <c r="A9" t="s">
        <v>37</v>
      </c>
      <c r="B9">
        <v>16</v>
      </c>
      <c r="C9">
        <v>0</v>
      </c>
      <c r="D9">
        <v>0</v>
      </c>
      <c r="E9">
        <v>0</v>
      </c>
      <c r="F9">
        <v>0</v>
      </c>
      <c r="G9">
        <v>75</v>
      </c>
      <c r="H9">
        <f>SUM(Table7[[#This Row],[To Do]:[Done]])</f>
        <v>91</v>
      </c>
    </row>
    <row r="10" spans="1:8">
      <c r="A10" t="s">
        <v>38</v>
      </c>
      <c r="B10">
        <v>18</v>
      </c>
      <c r="C10">
        <v>0</v>
      </c>
      <c r="D10">
        <v>1</v>
      </c>
      <c r="E10">
        <v>0</v>
      </c>
      <c r="F10">
        <v>0</v>
      </c>
      <c r="G10">
        <v>58</v>
      </c>
      <c r="H10">
        <f>SUM(Table7[[#This Row],[To Do]:[Done]])</f>
        <v>77</v>
      </c>
    </row>
    <row r="11" spans="1:8">
      <c r="A11" t="s">
        <v>39</v>
      </c>
      <c r="B11">
        <v>7</v>
      </c>
      <c r="C11">
        <v>0</v>
      </c>
      <c r="D11">
        <v>0</v>
      </c>
      <c r="E11">
        <v>0</v>
      </c>
      <c r="F11">
        <v>0</v>
      </c>
      <c r="G11">
        <v>46</v>
      </c>
      <c r="H11">
        <f>SUM(Table7[[#This Row],[To Do]:[Done]])</f>
        <v>53</v>
      </c>
    </row>
    <row r="12" spans="1:8">
      <c r="A12" t="s">
        <v>11</v>
      </c>
      <c r="B12">
        <v>18</v>
      </c>
      <c r="C12">
        <v>0</v>
      </c>
      <c r="D12">
        <v>2</v>
      </c>
      <c r="E12">
        <v>0</v>
      </c>
      <c r="F12">
        <v>0</v>
      </c>
      <c r="G12">
        <v>42</v>
      </c>
      <c r="H12">
        <f>SUM(Table7[[#This Row],[To Do]:[Done]])</f>
        <v>62</v>
      </c>
    </row>
    <row r="13" spans="1:8">
      <c r="A13" t="s">
        <v>12</v>
      </c>
      <c r="B13">
        <v>20</v>
      </c>
      <c r="C13">
        <v>0</v>
      </c>
      <c r="D13">
        <v>1</v>
      </c>
      <c r="E13">
        <v>0</v>
      </c>
      <c r="F13">
        <v>0</v>
      </c>
      <c r="G13">
        <v>30</v>
      </c>
      <c r="H13">
        <f>SUM(Table7[[#This Row],[To Do]:[Done]])</f>
        <v>51</v>
      </c>
    </row>
    <row r="14" spans="1:8">
      <c r="A14" t="s">
        <v>13</v>
      </c>
      <c r="B14">
        <v>26</v>
      </c>
      <c r="C14">
        <v>0</v>
      </c>
      <c r="D14">
        <v>0</v>
      </c>
      <c r="E14">
        <v>0</v>
      </c>
      <c r="F14">
        <v>0</v>
      </c>
      <c r="G14">
        <v>25</v>
      </c>
      <c r="H14">
        <f>SUM(Table7[[#This Row],[To Do]:[Done]])</f>
        <v>51</v>
      </c>
    </row>
    <row r="15" spans="1:8">
      <c r="A15" t="s">
        <v>14</v>
      </c>
      <c r="B15">
        <v>17</v>
      </c>
      <c r="C15">
        <v>0</v>
      </c>
      <c r="D15">
        <v>0</v>
      </c>
      <c r="E15">
        <v>0</v>
      </c>
      <c r="F15">
        <v>0</v>
      </c>
      <c r="G15">
        <v>53</v>
      </c>
      <c r="H15">
        <f>SUM(Table7[[#This Row],[To Do]:[Done]])</f>
        <v>70</v>
      </c>
    </row>
    <row r="16" spans="1:8">
      <c r="A16" t="s">
        <v>15</v>
      </c>
      <c r="B16">
        <v>10</v>
      </c>
      <c r="C16">
        <v>0</v>
      </c>
      <c r="D16">
        <v>0</v>
      </c>
      <c r="E16">
        <v>0</v>
      </c>
      <c r="F16">
        <v>0</v>
      </c>
      <c r="G16">
        <v>38</v>
      </c>
      <c r="H16">
        <f>SUM(Table7[[#This Row],[To Do]:[Done]])</f>
        <v>48</v>
      </c>
    </row>
    <row r="17" spans="1:8">
      <c r="A17" t="s">
        <v>16</v>
      </c>
      <c r="B17">
        <v>7</v>
      </c>
      <c r="C17">
        <v>0</v>
      </c>
      <c r="D17">
        <v>0</v>
      </c>
      <c r="E17">
        <v>1</v>
      </c>
      <c r="F17">
        <v>0</v>
      </c>
      <c r="G17">
        <v>30</v>
      </c>
      <c r="H17">
        <f>SUM(Table7[[#This Row],[To Do]:[Done]])</f>
        <v>38</v>
      </c>
    </row>
    <row r="18" spans="1:8">
      <c r="A18" t="s">
        <v>17</v>
      </c>
      <c r="B18">
        <v>13</v>
      </c>
      <c r="C18">
        <v>1</v>
      </c>
      <c r="D18">
        <v>1</v>
      </c>
      <c r="E18">
        <v>0</v>
      </c>
      <c r="F18">
        <v>0</v>
      </c>
      <c r="G18">
        <v>24</v>
      </c>
      <c r="H18">
        <f>SUM(Table7[[#This Row],[To Do]:[Done]])</f>
        <v>39</v>
      </c>
    </row>
    <row r="19" spans="1:8">
      <c r="A19" t="s">
        <v>65</v>
      </c>
      <c r="B19">
        <v>3</v>
      </c>
      <c r="C19">
        <v>0</v>
      </c>
      <c r="D19">
        <v>0</v>
      </c>
      <c r="E19">
        <v>0</v>
      </c>
      <c r="F19">
        <v>0</v>
      </c>
      <c r="G19">
        <v>0</v>
      </c>
      <c r="H19">
        <f>SUM(Table7[[#This Row],[To Do]:[Done]])</f>
        <v>3</v>
      </c>
    </row>
    <row r="20" spans="1:8">
      <c r="A20" t="s">
        <v>72</v>
      </c>
      <c r="B20">
        <v>16</v>
      </c>
      <c r="C20">
        <v>1</v>
      </c>
      <c r="D20">
        <v>0</v>
      </c>
      <c r="E20">
        <v>0</v>
      </c>
      <c r="F20">
        <v>0</v>
      </c>
      <c r="G20">
        <v>5</v>
      </c>
      <c r="H20" s="12">
        <f>SUM(Table7[[#This Row],[To Do]:[Done]])</f>
        <v>22</v>
      </c>
    </row>
    <row r="21" spans="1:8">
      <c r="A21" t="s">
        <v>75</v>
      </c>
      <c r="B21">
        <v>3</v>
      </c>
      <c r="C21">
        <v>0</v>
      </c>
      <c r="D21">
        <v>0</v>
      </c>
      <c r="E21">
        <v>0</v>
      </c>
      <c r="F21">
        <v>0</v>
      </c>
      <c r="G21">
        <v>8</v>
      </c>
      <c r="H21" s="12">
        <f>SUM(Table7[[#This Row],[To Do]:[Done]])</f>
        <v>11</v>
      </c>
    </row>
    <row r="22" spans="1:8">
      <c r="A22" t="s">
        <v>80</v>
      </c>
      <c r="B22">
        <v>5</v>
      </c>
      <c r="C22">
        <v>0</v>
      </c>
      <c r="D22">
        <v>0</v>
      </c>
      <c r="E22">
        <v>1</v>
      </c>
      <c r="F22">
        <v>0</v>
      </c>
      <c r="G22">
        <v>3</v>
      </c>
      <c r="H22" s="12">
        <f>SUM(Table7[[#This Row],[To Do]:[Done]])</f>
        <v>9</v>
      </c>
    </row>
    <row r="23" spans="1:8">
      <c r="A23" t="s">
        <v>81</v>
      </c>
      <c r="B23">
        <v>7</v>
      </c>
      <c r="C23">
        <v>0</v>
      </c>
      <c r="D23">
        <v>2</v>
      </c>
      <c r="E23">
        <v>2</v>
      </c>
      <c r="F23">
        <v>0</v>
      </c>
      <c r="G23">
        <v>3</v>
      </c>
      <c r="H23" s="12">
        <f>SUM(Table7[[#This Row],[To Do]:[Done]])</f>
        <v>14</v>
      </c>
    </row>
    <row r="24" spans="1:8">
      <c r="H24" s="12"/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H20"/>
  <sheetViews>
    <sheetView topLeftCell="A16" zoomScaleNormal="100" workbookViewId="0">
      <selection activeCell="J19" sqref="J19"/>
    </sheetView>
  </sheetViews>
  <sheetFormatPr defaultColWidth="11.5546875" defaultRowHeight="15"/>
  <cols>
    <col min="1" max="1" width="18.21875" customWidth="1"/>
    <col min="2" max="2" width="14.44140625" customWidth="1"/>
    <col min="3" max="3" width="23.21875" customWidth="1"/>
    <col min="4" max="4" width="23.109375" customWidth="1"/>
    <col min="5" max="5" width="18.109375" customWidth="1"/>
    <col min="6" max="7" width="20.109375" customWidth="1"/>
    <col min="8" max="8" width="14.21875" customWidth="1"/>
  </cols>
  <sheetData>
    <row r="1" spans="1:8" ht="21" thickBot="1">
      <c r="A1" s="6" t="s">
        <v>41</v>
      </c>
      <c r="B1" s="7" t="s">
        <v>42</v>
      </c>
      <c r="C1" s="7" t="s">
        <v>46</v>
      </c>
      <c r="D1" s="7" t="s">
        <v>69</v>
      </c>
      <c r="E1" s="7" t="s">
        <v>44</v>
      </c>
      <c r="F1" s="7" t="s">
        <v>43</v>
      </c>
      <c r="G1" s="8" t="s">
        <v>45</v>
      </c>
      <c r="H1" s="9" t="s">
        <v>7</v>
      </c>
    </row>
    <row r="2" spans="1:8" ht="18" thickBot="1">
      <c r="A2" s="4" t="s">
        <v>55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13</v>
      </c>
      <c r="H2" s="5">
        <v>1</v>
      </c>
    </row>
    <row r="3" spans="1:8" ht="18" thickBot="1">
      <c r="A3" s="4" t="s">
        <v>56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14</v>
      </c>
      <c r="H3" s="5">
        <v>1</v>
      </c>
    </row>
    <row r="4" spans="1:8" ht="18" thickBot="1">
      <c r="A4" s="4" t="s">
        <v>57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20</v>
      </c>
      <c r="H4" s="5">
        <v>3</v>
      </c>
    </row>
    <row r="5" spans="1:8" ht="18" thickBot="1">
      <c r="A5" s="4" t="s">
        <v>58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20</v>
      </c>
      <c r="H5" s="5">
        <v>2</v>
      </c>
    </row>
    <row r="6" spans="1:8" ht="18" thickBot="1">
      <c r="A6" s="4" t="s">
        <v>59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16</v>
      </c>
      <c r="H6" s="5">
        <v>2</v>
      </c>
    </row>
    <row r="7" spans="1:8" ht="18" thickBot="1">
      <c r="A7" s="4" t="s">
        <v>60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16</v>
      </c>
      <c r="H7" s="5">
        <v>2</v>
      </c>
    </row>
    <row r="8" spans="1:8" ht="18" thickBot="1">
      <c r="A8" s="4" t="s">
        <v>61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55</v>
      </c>
      <c r="H8" s="5">
        <v>4</v>
      </c>
    </row>
    <row r="9" spans="1:8" ht="18" thickBot="1">
      <c r="A9" s="4" t="s">
        <v>62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35</v>
      </c>
      <c r="H9" s="5">
        <v>4</v>
      </c>
    </row>
    <row r="10" spans="1:8" ht="18" thickBot="1">
      <c r="A10" s="4" t="s">
        <v>47</v>
      </c>
      <c r="B10" s="5">
        <v>0</v>
      </c>
      <c r="C10" s="5">
        <v>1</v>
      </c>
      <c r="D10" s="5">
        <v>0</v>
      </c>
      <c r="E10" s="5">
        <v>0</v>
      </c>
      <c r="F10" s="5">
        <v>0</v>
      </c>
      <c r="G10" s="5">
        <v>39</v>
      </c>
      <c r="H10" s="5">
        <v>2</v>
      </c>
    </row>
    <row r="11" spans="1:8" ht="18" thickBot="1">
      <c r="A11" s="4" t="s">
        <v>48</v>
      </c>
      <c r="B11" s="5">
        <v>0</v>
      </c>
      <c r="C11" s="5">
        <v>1</v>
      </c>
      <c r="D11" s="5">
        <v>0</v>
      </c>
      <c r="E11" s="5">
        <v>0</v>
      </c>
      <c r="F11" s="5">
        <v>0</v>
      </c>
      <c r="G11" s="5">
        <v>39</v>
      </c>
      <c r="H11" s="5">
        <v>6</v>
      </c>
    </row>
    <row r="12" spans="1:8" ht="18" thickBot="1">
      <c r="A12" s="4" t="s">
        <v>49</v>
      </c>
      <c r="B12" s="5">
        <v>0</v>
      </c>
      <c r="C12" s="5">
        <v>1</v>
      </c>
      <c r="D12" s="5">
        <v>0</v>
      </c>
      <c r="E12" s="5">
        <v>0</v>
      </c>
      <c r="F12" s="5">
        <v>0</v>
      </c>
      <c r="G12" s="5">
        <v>45</v>
      </c>
      <c r="H12" s="5">
        <v>7</v>
      </c>
    </row>
    <row r="13" spans="1:8" ht="18" thickBot="1">
      <c r="A13" s="4" t="s">
        <v>50</v>
      </c>
      <c r="B13" s="5">
        <v>1</v>
      </c>
      <c r="C13" s="5">
        <v>1</v>
      </c>
      <c r="D13" s="5">
        <v>0</v>
      </c>
      <c r="E13" s="5">
        <v>0</v>
      </c>
      <c r="F13" s="5">
        <v>0</v>
      </c>
      <c r="G13" s="5">
        <v>17</v>
      </c>
      <c r="H13" s="5">
        <v>1</v>
      </c>
    </row>
    <row r="14" spans="1:8" ht="18" thickBot="1">
      <c r="A14" s="4" t="s">
        <v>51</v>
      </c>
      <c r="B14" s="5">
        <v>2</v>
      </c>
      <c r="C14" s="5">
        <v>1</v>
      </c>
      <c r="D14" s="5">
        <v>0</v>
      </c>
      <c r="E14" s="5">
        <v>0</v>
      </c>
      <c r="F14" s="5">
        <v>0</v>
      </c>
      <c r="G14" s="5">
        <v>25</v>
      </c>
      <c r="H14" s="5">
        <v>4</v>
      </c>
    </row>
    <row r="15" spans="1:8" ht="18" thickBot="1">
      <c r="A15" s="4" t="s">
        <v>53</v>
      </c>
      <c r="B15" s="5">
        <v>3</v>
      </c>
      <c r="C15" s="5">
        <v>0</v>
      </c>
      <c r="D15" s="5">
        <v>0</v>
      </c>
      <c r="E15" s="5">
        <v>0</v>
      </c>
      <c r="F15" s="5">
        <v>0</v>
      </c>
      <c r="G15" s="5">
        <v>45</v>
      </c>
      <c r="H15" s="5">
        <v>5</v>
      </c>
    </row>
    <row r="16" spans="1:8" ht="18" thickBot="1">
      <c r="A16" s="4" t="s">
        <v>54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24</v>
      </c>
      <c r="H16" s="5">
        <v>1</v>
      </c>
    </row>
    <row r="17" spans="1:8" ht="18" thickBot="1">
      <c r="A17" s="4" t="s">
        <v>70</v>
      </c>
      <c r="B17" s="5">
        <v>1</v>
      </c>
      <c r="C17" s="5">
        <v>0</v>
      </c>
      <c r="D17" s="5">
        <v>0</v>
      </c>
      <c r="E17" s="5">
        <v>0</v>
      </c>
      <c r="F17" s="5">
        <v>0</v>
      </c>
      <c r="G17" s="5">
        <v>42</v>
      </c>
      <c r="H17" s="5">
        <v>0</v>
      </c>
    </row>
    <row r="18" spans="1:8" ht="18" thickBot="1">
      <c r="A18" s="4" t="s">
        <v>76</v>
      </c>
      <c r="B18" s="5">
        <v>1</v>
      </c>
      <c r="C18" s="5">
        <v>0</v>
      </c>
      <c r="D18" s="5">
        <v>0</v>
      </c>
      <c r="E18" s="5">
        <v>0</v>
      </c>
      <c r="F18" s="5">
        <v>0</v>
      </c>
      <c r="G18" s="5">
        <v>34</v>
      </c>
      <c r="H18" s="5">
        <v>0</v>
      </c>
    </row>
    <row r="19" spans="1:8" ht="18" thickBot="1">
      <c r="A19" s="4" t="s">
        <v>78</v>
      </c>
      <c r="B19" s="5">
        <v>7</v>
      </c>
      <c r="C19" s="5">
        <v>0</v>
      </c>
      <c r="D19" s="5">
        <v>0</v>
      </c>
      <c r="E19" s="5">
        <v>3</v>
      </c>
      <c r="F19" s="5">
        <v>2</v>
      </c>
      <c r="G19" s="5">
        <v>1</v>
      </c>
      <c r="H19" s="5">
        <v>0</v>
      </c>
    </row>
    <row r="20" spans="1:8" ht="18" thickBot="1">
      <c r="A20" s="4" t="s">
        <v>83</v>
      </c>
      <c r="B20" s="5">
        <v>0</v>
      </c>
      <c r="C20" s="5">
        <v>2</v>
      </c>
      <c r="D20" s="5">
        <v>0</v>
      </c>
      <c r="E20" s="5">
        <v>0</v>
      </c>
      <c r="F20" s="5">
        <v>0</v>
      </c>
      <c r="G20" s="5">
        <v>1</v>
      </c>
      <c r="H20" s="5">
        <v>0</v>
      </c>
    </row>
  </sheetData>
  <phoneticPr fontId="1" type="noConversion"/>
  <hyperlinks>
    <hyperlink ref="B2" r:id="rId1" display="https://xrspace.atlassian.net/issues/?jql=created+%3E%3D+2025-01-01+AND+created+%3C%3D+2025-12-31+AND+type+%3D+Bug+AND+project+%3D+SOVA+AND+Sprint+%3D+869+AND+status+%3D+%22To+Do+%280%25%29%22" xr:uid="{BF7F4B0D-731A-44DE-B71A-1F6784592AAE}"/>
    <hyperlink ref="D2" r:id="rId2" display="https://xrspace.atlassian.net/issues/?jql=created+%3E%3D+2025-01-01+AND+created+%3C%3D+2025-12-31+AND+type+%3D+Bug+AND+project+%3D+SOVA+AND+Sprint+%3D+869+AND+status+%3D+%22In+Progress+%2850+%7E+70%25%29%22" xr:uid="{5679BD1D-D912-40AE-A2B9-08DC25467F9F}"/>
    <hyperlink ref="G2" r:id="rId3" display="https://xrspace.atlassian.net/issues/?jql=created+%3E%3D+2025-01-01+AND+created+%3C%3D+2025-12-31+AND+type+%3D+Bug+AND+project+%3D+SOVA+AND+Sprint+%3D+869+AND+status+%3D+%22Done+%28100%25%29%22" xr:uid="{5B50047D-3385-433B-938D-3216EFAF396E}"/>
    <hyperlink ref="E2" r:id="rId4" display="https://xrspace.atlassian.net/issues/?jql=created+%3E%3D+2025-01-01+AND+created+%3C%3D+2025-12-31+AND+type+%3D+Bug+AND+project+%3D+SOVA+AND+Sprint+%3D+869+AND+status+%3D+%22IN+REVIEW+%2880%25%29%22" xr:uid="{160DA5E9-04B1-4417-960C-8A145D152135}"/>
    <hyperlink ref="H2" r:id="rId5" display="https://xrspace.atlassian.net/issues/?jql=created+%3E%3D+2025-01-01+AND+created+%3C%3D+2025-12-31+AND+type+%3D+Bug+AND+project+%3D+SOVA+AND+Sprint+%3D+869+AND+status+%3D+%22WON%27T+DO+%28100%25%29%22" xr:uid="{E16CBB69-58D2-4D6A-91DF-0FEE27D0E71F}"/>
    <hyperlink ref="C2" r:id="rId6" display="https://xrspace.atlassian.net/issues/?jql=created+%3E%3D+2025-01-01+AND+created+%3C%3D+2025-12-31+AND+type+%3D+Bug+AND+project+%3D+SOVA+AND+Sprint+%3D+869+AND+status+%3D+%22STARTING+%2810+%7E+40%25%29%22" xr:uid="{3759F3B4-D11D-40C5-9AE0-196FB1A7D1D4}"/>
    <hyperlink ref="F2" r:id="rId7" display="https://xrspace.atlassian.net/issues/?jql=created+%3E%3D+2025-01-01+AND+created+%3C%3D+2025-12-31+AND+type+%3D+Bug+AND+project+%3D+SOVA+AND+Sprint+%3D+869+AND+status+%3D+%22READY+FOR+TESTING+%2890%25%29%22" xr:uid="{F8089C7D-457B-4316-91E0-C9CE65A9BC69}"/>
    <hyperlink ref="B3" r:id="rId8" display="https://xrspace.atlassian.net/issues/?jql=created+%3E%3D+2025-01-01+AND+created+%3C%3D+2025-12-31+AND+type+%3D+Bug+AND+project+%3D+SOVA+AND+Sprint+%3D+1397+AND+status+%3D+%22To+Do+%280%25%29%22" xr:uid="{105B2B1B-EEAD-4288-9C27-5CE9A7C614AF}"/>
    <hyperlink ref="D3" r:id="rId9" display="https://xrspace.atlassian.net/issues/?jql=created+%3E%3D+2025-01-01+AND+created+%3C%3D+2025-12-31+AND+type+%3D+Bug+AND+project+%3D+SOVA+AND+Sprint+%3D+1397+AND+status+%3D+%22In+Progress+%2850+%7E+70%25%29%22" xr:uid="{E80FA968-F459-4E77-B97B-08DDE0F7143C}"/>
    <hyperlink ref="G3" r:id="rId10" display="https://xrspace.atlassian.net/issues/?jql=created+%3E%3D+2025-01-01+AND+created+%3C%3D+2025-12-31+AND+type+%3D+Bug+AND+project+%3D+SOVA+AND+Sprint+%3D+1397+AND+status+%3D+%22Done+%28100%25%29%22" xr:uid="{E3C17FAC-050B-4C8B-A60B-F5A9635CFE66}"/>
    <hyperlink ref="E3" r:id="rId11" display="https://xrspace.atlassian.net/issues/?jql=created+%3E%3D+2025-01-01+AND+created+%3C%3D+2025-12-31+AND+type+%3D+Bug+AND+project+%3D+SOVA+AND+Sprint+%3D+1397+AND+status+%3D+%22IN+REVIEW+%2880%25%29%22" xr:uid="{DE806E21-F5B9-4C1D-87D8-BF633F0B189B}"/>
    <hyperlink ref="H3" r:id="rId12" display="https://xrspace.atlassian.net/issues/?jql=created+%3E%3D+2025-01-01+AND+created+%3C%3D+2025-12-31+AND+type+%3D+Bug+AND+project+%3D+SOVA+AND+Sprint+%3D+1397+AND+status+%3D+%22WON%27T+DO+%28100%25%29%22" xr:uid="{3DD98D74-AF2C-4B8A-9EA5-0174ECEC3B39}"/>
    <hyperlink ref="C3" r:id="rId13" display="https://xrspace.atlassian.net/issues/?jql=created+%3E%3D+2025-01-01+AND+created+%3C%3D+2025-12-31+AND+type+%3D+Bug+AND+project+%3D+SOVA+AND+Sprint+%3D+1397+AND+status+%3D+%22STARTING+%2810+%7E+40%25%29%22" xr:uid="{27CF4C65-6996-47E5-B17F-90194D737D7E}"/>
    <hyperlink ref="F3" r:id="rId14" display="https://xrspace.atlassian.net/issues/?jql=created+%3E%3D+2025-01-01+AND+created+%3C%3D+2025-12-31+AND+type+%3D+Bug+AND+project+%3D+SOVA+AND+Sprint+%3D+1397+AND+status+%3D+%22READY+FOR+TESTING+%2890%25%29%22" xr:uid="{667BE8CF-4D38-4A5C-B1B7-FD0ACCE430D7}"/>
    <hyperlink ref="B4" r:id="rId15" display="https://xrspace.atlassian.net/issues/?jql=created+%3E%3D+2025-01-01+AND+created+%3C%3D+2025-12-31+AND+type+%3D+Bug+AND+project+%3D+SOVA+AND+Sprint+%3D+1463+AND+status+%3D+%22To+Do+%280%25%29%22" xr:uid="{F6E3A54B-C92F-4ECA-8C8A-D7C7267DB2F3}"/>
    <hyperlink ref="D4" r:id="rId16" display="https://xrspace.atlassian.net/issues/?jql=created+%3E%3D+2025-01-01+AND+created+%3C%3D+2025-12-31+AND+type+%3D+Bug+AND+project+%3D+SOVA+AND+Sprint+%3D+1463+AND+status+%3D+%22In+Progress+%2850+%7E+70%25%29%22" xr:uid="{F55D718B-36AE-4C3D-B601-0E9B95AA380E}"/>
    <hyperlink ref="G4" r:id="rId17" display="https://xrspace.atlassian.net/issues/?jql=created+%3E%3D+2025-01-01+AND+created+%3C%3D+2025-12-31+AND+type+%3D+Bug+AND+project+%3D+SOVA+AND+Sprint+%3D+1463+AND+status+%3D+%22Done+%28100%25%29%22" xr:uid="{2AA6C819-ED16-4308-9CAF-4D3447513F9B}"/>
    <hyperlink ref="E4" r:id="rId18" display="https://xrspace.atlassian.net/issues/?jql=created+%3E%3D+2025-01-01+AND+created+%3C%3D+2025-12-31+AND+type+%3D+Bug+AND+project+%3D+SOVA+AND+Sprint+%3D+1463+AND+status+%3D+%22IN+REVIEW+%2880%25%29%22" xr:uid="{970C9540-5D64-4E02-B66C-240C1E4BC88C}"/>
    <hyperlink ref="H4" r:id="rId19" display="https://xrspace.atlassian.net/issues/?jql=created+%3E%3D+2025-01-01+AND+created+%3C%3D+2025-12-31+AND+type+%3D+Bug+AND+project+%3D+SOVA+AND+Sprint+%3D+1463+AND+status+%3D+%22WON%27T+DO+%28100%25%29%22" xr:uid="{B1E3F8FC-005B-4500-8D22-7777F2F529BF}"/>
    <hyperlink ref="C4" r:id="rId20" display="https://xrspace.atlassian.net/issues/?jql=created+%3E%3D+2025-01-01+AND+created+%3C%3D+2025-12-31+AND+type+%3D+Bug+AND+project+%3D+SOVA+AND+Sprint+%3D+1463+AND+status+%3D+%22STARTING+%2810+%7E+40%25%29%22" xr:uid="{EDF28899-9A61-43A7-B2C6-D732363D9458}"/>
    <hyperlink ref="F4" r:id="rId21" display="https://xrspace.atlassian.net/issues/?jql=created+%3E%3D+2025-01-01+AND+created+%3C%3D+2025-12-31+AND+type+%3D+Bug+AND+project+%3D+SOVA+AND+Sprint+%3D+1463+AND+status+%3D+%22READY+FOR+TESTING+%2890%25%29%22" xr:uid="{1BB2948F-27C2-451D-8ECD-EF5FBFD9C36C}"/>
    <hyperlink ref="B5" r:id="rId22" display="https://xrspace.atlassian.net/issues/?jql=created+%3E%3D+2025-01-01+AND+created+%3C%3D+2025-12-31+AND+type+%3D+Bug+AND+project+%3D+SOVA+AND+Sprint+%3D+1466+AND+status+%3D+%22To+Do+%280%25%29%22" xr:uid="{285D91C4-B3B9-41EF-A9FE-AD807C6DDA1E}"/>
    <hyperlink ref="D5" r:id="rId23" display="https://xrspace.atlassian.net/issues/?jql=created+%3E%3D+2025-01-01+AND+created+%3C%3D+2025-12-31+AND+type+%3D+Bug+AND+project+%3D+SOVA+AND+Sprint+%3D+1466+AND+status+%3D+%22In+Progress+%2850+%7E+70%25%29%22" xr:uid="{71A24E83-979D-47C5-BA42-09ADADE93BF4}"/>
    <hyperlink ref="G5" r:id="rId24" display="https://xrspace.atlassian.net/issues/?jql=created+%3E%3D+2025-01-01+AND+created+%3C%3D+2025-12-31+AND+type+%3D+Bug+AND+project+%3D+SOVA+AND+Sprint+%3D+1466+AND+status+%3D+%22Done+%28100%25%29%22" xr:uid="{82B376C6-12E7-421B-B331-AAC41AA66665}"/>
    <hyperlink ref="E5" r:id="rId25" display="https://xrspace.atlassian.net/issues/?jql=created+%3E%3D+2025-01-01+AND+created+%3C%3D+2025-12-31+AND+type+%3D+Bug+AND+project+%3D+SOVA+AND+Sprint+%3D+1466+AND+status+%3D+%22IN+REVIEW+%2880%25%29%22" xr:uid="{67E1DBA8-A6E3-4150-8A62-A1D3A39D3B40}"/>
    <hyperlink ref="H5" r:id="rId26" display="https://xrspace.atlassian.net/issues/?jql=created+%3E%3D+2025-01-01+AND+created+%3C%3D+2025-12-31+AND+type+%3D+Bug+AND+project+%3D+SOVA+AND+Sprint+%3D+1466+AND+status+%3D+%22WON%27T+DO+%28100%25%29%22" xr:uid="{F7A8ACB6-46EF-41E2-B790-737CD30FAA6D}"/>
    <hyperlink ref="C5" r:id="rId27" display="https://xrspace.atlassian.net/issues/?jql=created+%3E%3D+2025-01-01+AND+created+%3C%3D+2025-12-31+AND+type+%3D+Bug+AND+project+%3D+SOVA+AND+Sprint+%3D+1466+AND+status+%3D+%22STARTING+%2810+%7E+40%25%29%22" xr:uid="{37757788-8503-448E-8E52-BC67F472DE4E}"/>
    <hyperlink ref="F5" r:id="rId28" display="https://xrspace.atlassian.net/issues/?jql=created+%3E%3D+2025-01-01+AND+created+%3C%3D+2025-12-31+AND+type+%3D+Bug+AND+project+%3D+SOVA+AND+Sprint+%3D+1466+AND+status+%3D+%22READY+FOR+TESTING+%2890%25%29%22" xr:uid="{E0B1D0E4-30F7-47DD-98A9-8A01E0ECD8B2}"/>
    <hyperlink ref="B6" r:id="rId29" display="https://xrspace.atlassian.net/issues/?jql=created+%3E%3D+2025-01-01+AND+created+%3C%3D+2025-12-31+AND+type+%3D+Bug+AND+project+%3D+SOVA+AND+Sprint+%3D+1496+AND+status+%3D+%22To+Do+%280%25%29%22" xr:uid="{DC889254-F64D-4468-A079-0A8EE777D1F6}"/>
    <hyperlink ref="D6" r:id="rId30" display="https://xrspace.atlassian.net/issues/?jql=created+%3E%3D+2025-01-01+AND+created+%3C%3D+2025-12-31+AND+type+%3D+Bug+AND+project+%3D+SOVA+AND+Sprint+%3D+1496+AND+status+%3D+%22In+Progress+%2850+%7E+70%25%29%22" xr:uid="{73B8B548-3474-4383-A1E5-C1CC69E74764}"/>
    <hyperlink ref="G6" r:id="rId31" display="https://xrspace.atlassian.net/issues/?jql=created+%3E%3D+2025-01-01+AND+created+%3C%3D+2025-12-31+AND+type+%3D+Bug+AND+project+%3D+SOVA+AND+Sprint+%3D+1496+AND+status+%3D+%22Done+%28100%25%29%22" xr:uid="{36B1B732-501D-4483-8E96-9C90C62C75B1}"/>
    <hyperlink ref="E6" r:id="rId32" display="https://xrspace.atlassian.net/issues/?jql=created+%3E%3D+2025-01-01+AND+created+%3C%3D+2025-12-31+AND+type+%3D+Bug+AND+project+%3D+SOVA+AND+Sprint+%3D+1496+AND+status+%3D+%22IN+REVIEW+%2880%25%29%22" xr:uid="{C0871B3E-A95E-467A-BDA7-69F66FA2E2B2}"/>
    <hyperlink ref="H6" r:id="rId33" display="https://xrspace.atlassian.net/issues/?jql=created+%3E%3D+2025-01-01+AND+created+%3C%3D+2025-12-31+AND+type+%3D+Bug+AND+project+%3D+SOVA+AND+Sprint+%3D+1496+AND+status+%3D+%22WON%27T+DO+%28100%25%29%22" xr:uid="{BF2F86FA-09E7-4948-82EC-E58231EDCC40}"/>
    <hyperlink ref="C6" r:id="rId34" display="https://xrspace.atlassian.net/issues/?jql=created+%3E%3D+2025-01-01+AND+created+%3C%3D+2025-12-31+AND+type+%3D+Bug+AND+project+%3D+SOVA+AND+Sprint+%3D+1496+AND+status+%3D+%22STARTING+%2810+%7E+40%25%29%22" xr:uid="{4F0C2EBA-FA88-4F03-B277-EB0227D53330}"/>
    <hyperlink ref="F6" r:id="rId35" display="https://xrspace.atlassian.net/issues/?jql=created+%3E%3D+2025-01-01+AND+created+%3C%3D+2025-12-31+AND+type+%3D+Bug+AND+project+%3D+SOVA+AND+Sprint+%3D+1496+AND+status+%3D+%22READY+FOR+TESTING+%2890%25%29%22" xr:uid="{862F8DE2-BBB9-49B9-9D13-A1D8A440F5BA}"/>
    <hyperlink ref="B7" r:id="rId36" display="https://xrspace.atlassian.net/issues/?jql=created+%3E%3D+2025-01-01+AND+created+%3C%3D+2025-12-31+AND+type+%3D+Bug+AND+project+%3D+SOVA+AND+Sprint+%3D+1497+AND+status+%3D+%22To+Do+%280%25%29%22" xr:uid="{C08D42D6-4DE2-41B2-983E-963289271E54}"/>
    <hyperlink ref="D7" r:id="rId37" display="https://xrspace.atlassian.net/issues/?jql=created+%3E%3D+2025-01-01+AND+created+%3C%3D+2025-12-31+AND+type+%3D+Bug+AND+project+%3D+SOVA+AND+Sprint+%3D+1497+AND+status+%3D+%22In+Progress+%2850+%7E+70%25%29%22" xr:uid="{84CF3488-B61A-4B7E-8EBE-1104B6E86361}"/>
    <hyperlink ref="G7" r:id="rId38" display="https://xrspace.atlassian.net/issues/?jql=created+%3E%3D+2025-01-01+AND+created+%3C%3D+2025-12-31+AND+type+%3D+Bug+AND+project+%3D+SOVA+AND+Sprint+%3D+1497+AND+status+%3D+%22Done+%28100%25%29%22" xr:uid="{9F6750C4-874E-44D6-A6BB-30C825DB1FEF}"/>
    <hyperlink ref="E7" r:id="rId39" display="https://xrspace.atlassian.net/issues/?jql=created+%3E%3D+2025-01-01+AND+created+%3C%3D+2025-12-31+AND+type+%3D+Bug+AND+project+%3D+SOVA+AND+Sprint+%3D+1497+AND+status+%3D+%22IN+REVIEW+%2880%25%29%22" xr:uid="{4B135D4C-1825-493B-AAA0-535718E7CF15}"/>
    <hyperlink ref="H7" r:id="rId40" display="https://xrspace.atlassian.net/issues/?jql=created+%3E%3D+2025-01-01+AND+created+%3C%3D+2025-12-31+AND+type+%3D+Bug+AND+project+%3D+SOVA+AND+Sprint+%3D+1497+AND+status+%3D+%22WON%27T+DO+%28100%25%29%22" xr:uid="{030CA35E-0526-4C4D-ACA5-ED10B431AA46}"/>
    <hyperlink ref="C7" r:id="rId41" display="https://xrspace.atlassian.net/issues/?jql=created+%3E%3D+2025-01-01+AND+created+%3C%3D+2025-12-31+AND+type+%3D+Bug+AND+project+%3D+SOVA+AND+Sprint+%3D+1497+AND+status+%3D+%22STARTING+%2810+%7E+40%25%29%22" xr:uid="{BDE3BC01-B9A7-4A0C-8E36-C31E24A7C399}"/>
    <hyperlink ref="F7" r:id="rId42" display="https://xrspace.atlassian.net/issues/?jql=created+%3E%3D+2025-01-01+AND+created+%3C%3D+2025-12-31+AND+type+%3D+Bug+AND+project+%3D+SOVA+AND+Sprint+%3D+1497+AND+status+%3D+%22READY+FOR+TESTING+%2890%25%29%22" xr:uid="{43D00BA1-8E71-4EA5-9425-7C3864E42D5E}"/>
    <hyperlink ref="B8" r:id="rId43" display="https://xrspace.atlassian.net/issues/?jql=created+%3E%3D+2025-01-01+AND+created+%3C%3D+2025-12-31+AND+type+%3D+Bug+AND+project+%3D+SOVA+AND+Sprint+%3D+1498+AND+status+%3D+%22To+Do+%280%25%29%22" xr:uid="{9F9AC49D-AF96-4EF4-B60C-745175A60E6D}"/>
    <hyperlink ref="D8" r:id="rId44" display="https://xrspace.atlassian.net/issues/?jql=created+%3E%3D+2025-01-01+AND+created+%3C%3D+2025-12-31+AND+type+%3D+Bug+AND+project+%3D+SOVA+AND+Sprint+%3D+1498+AND+status+%3D+%22In+Progress+%2850+%7E+70%25%29%22" xr:uid="{9F2DE865-10C9-4CD5-9316-39868F420DC6}"/>
    <hyperlink ref="G8" r:id="rId45" display="https://xrspace.atlassian.net/issues/?jql=created+%3E%3D+2025-01-01+AND+created+%3C%3D+2025-12-31+AND+type+%3D+Bug+AND+project+%3D+SOVA+AND+Sprint+%3D+1498+AND+status+%3D+%22Done+%28100%25%29%22" xr:uid="{364E25D0-E903-4673-A7EB-E8C0B4B833E4}"/>
    <hyperlink ref="E8" r:id="rId46" display="https://xrspace.atlassian.net/issues/?jql=created+%3E%3D+2025-01-01+AND+created+%3C%3D+2025-12-31+AND+type+%3D+Bug+AND+project+%3D+SOVA+AND+Sprint+%3D+1498+AND+status+%3D+%22IN+REVIEW+%2880%25%29%22" xr:uid="{71985BF7-A89B-4A65-B96F-4EDD190365BF}"/>
    <hyperlink ref="H8" r:id="rId47" display="https://xrspace.atlassian.net/issues/?jql=created+%3E%3D+2025-01-01+AND+created+%3C%3D+2025-12-31+AND+type+%3D+Bug+AND+project+%3D+SOVA+AND+Sprint+%3D+1498+AND+status+%3D+%22WON%27T+DO+%28100%25%29%22" xr:uid="{DBD5EE49-92C6-4EDE-A03B-BA7C526C53D1}"/>
    <hyperlink ref="C8" r:id="rId48" display="https://xrspace.atlassian.net/issues/?jql=created+%3E%3D+2025-01-01+AND+created+%3C%3D+2025-12-31+AND+type+%3D+Bug+AND+project+%3D+SOVA+AND+Sprint+%3D+1498+AND+status+%3D+%22STARTING+%2810+%7E+40%25%29%22" xr:uid="{190E9336-E61A-46B1-9F0D-046B9403C9D3}"/>
    <hyperlink ref="F8" r:id="rId49" display="https://xrspace.atlassian.net/issues/?jql=created+%3E%3D+2025-01-01+AND+created+%3C%3D+2025-12-31+AND+type+%3D+Bug+AND+project+%3D+SOVA+AND+Sprint+%3D+1498+AND+status+%3D+%22READY+FOR+TESTING+%2890%25%29%22" xr:uid="{B7C4643E-3D28-48F9-A092-7CB03A7D08A2}"/>
    <hyperlink ref="B9" r:id="rId50" display="https://xrspace.atlassian.net/issues/?jql=created+%3E%3D+2025-01-01+AND+created+%3C%3D+2025-12-31+AND+type+%3D+Bug+AND+project+%3D+SOVA+AND+Sprint+%3D+1499+AND+status+%3D+%22To+Do+%280%25%29%22" xr:uid="{48C8D317-9E66-4D71-8C5A-2CD3406D098E}"/>
    <hyperlink ref="D9" r:id="rId51" display="https://xrspace.atlassian.net/issues/?jql=created+%3E%3D+2025-01-01+AND+created+%3C%3D+2025-12-31+AND+type+%3D+Bug+AND+project+%3D+SOVA+AND+Sprint+%3D+1499+AND+status+%3D+%22In+Progress+%2850+%7E+70%25%29%22" xr:uid="{F1F2C368-0696-4504-9406-0B6BBF233755}"/>
    <hyperlink ref="G9" r:id="rId52" display="https://xrspace.atlassian.net/issues/?jql=created+%3E%3D+2025-01-01+AND+created+%3C%3D+2025-12-31+AND+type+%3D+Bug+AND+project+%3D+SOVA+AND+Sprint+%3D+1499+AND+status+%3D+%22Done+%28100%25%29%22" xr:uid="{BE6A0BA6-373D-4753-8B9C-B47FBFC6BFFE}"/>
    <hyperlink ref="E9" r:id="rId53" display="https://xrspace.atlassian.net/issues/?jql=created+%3E%3D+2025-01-01+AND+created+%3C%3D+2025-12-31+AND+type+%3D+Bug+AND+project+%3D+SOVA+AND+Sprint+%3D+1499+AND+status+%3D+%22IN+REVIEW+%2880%25%29%22" xr:uid="{422C4C42-DFFA-40F9-B32F-A95E5117618E}"/>
    <hyperlink ref="H9" r:id="rId54" display="https://xrspace.atlassian.net/issues/?jql=created+%3E%3D+2025-01-01+AND+created+%3C%3D+2025-12-31+AND+type+%3D+Bug+AND+project+%3D+SOVA+AND+Sprint+%3D+1499+AND+status+%3D+%22WON%27T+DO+%28100%25%29%22" xr:uid="{DE9DEFAD-075E-46D2-AE19-BDF455148BB9}"/>
    <hyperlink ref="C9" r:id="rId55" display="https://xrspace.atlassian.net/issues/?jql=created+%3E%3D+2025-01-01+AND+created+%3C%3D+2025-12-31+AND+type+%3D+Bug+AND+project+%3D+SOVA+AND+Sprint+%3D+1499+AND+status+%3D+%22STARTING+%2810+%7E+40%25%29%22" xr:uid="{A11A60C3-6C35-4E83-8287-88A457D505CD}"/>
    <hyperlink ref="F9" r:id="rId56" display="https://xrspace.atlassian.net/issues/?jql=created+%3E%3D+2025-01-01+AND+created+%3C%3D+2025-12-31+AND+type+%3D+Bug+AND+project+%3D+SOVA+AND+Sprint+%3D+1499+AND+status+%3D+%22READY+FOR+TESTING+%2890%25%29%22" xr:uid="{C4C40EDD-D508-431B-93DC-D66565F07787}"/>
    <hyperlink ref="B10" r:id="rId57" display="https://xrspace.atlassian.net/issues/?jql=created+%3E%3D+2025-01-01+AND+created+%3C%3D+2025-12-31+AND+type+%3D+Bug+AND+project+%3D+SOVA+AND+Sprint+%3D+2156+AND+status+%3D+%22To+Do+%280%25%29%22" xr:uid="{F80524CB-2F6D-4C93-8BA8-4D32722F2BA5}"/>
    <hyperlink ref="D10" r:id="rId58" display="https://xrspace.atlassian.net/issues/?jql=created+%3E%3D+2025-01-01+AND+created+%3C%3D+2025-12-31+AND+type+%3D+Bug+AND+project+%3D+SOVA+AND+Sprint+%3D+2156+AND+status+%3D+%22In+Progress+%2850+%7E+70%25%29%22" xr:uid="{FE2F2BDD-D37D-4036-89F8-B946F1A383AD}"/>
    <hyperlink ref="G10" r:id="rId59" display="https://xrspace.atlassian.net/issues/?jql=created+%3E%3D+2025-01-01+AND+created+%3C%3D+2025-12-31+AND+type+%3D+Bug+AND+project+%3D+SOVA+AND+Sprint+%3D+2156+AND+status+%3D+%22Done+%28100%25%29%22" xr:uid="{97B13CD8-14C5-43AD-A017-BAA9F6509C2E}"/>
    <hyperlink ref="E10" r:id="rId60" display="https://xrspace.atlassian.net/issues/?jql=created+%3E%3D+2025-01-01+AND+created+%3C%3D+2025-12-31+AND+type+%3D+Bug+AND+project+%3D+SOVA+AND+Sprint+%3D+2156+AND+status+%3D+%22IN+REVIEW+%2880%25%29%22" xr:uid="{5DA2F967-FBC0-4B58-B868-F3836C3F5774}"/>
    <hyperlink ref="H10" r:id="rId61" display="https://xrspace.atlassian.net/issues/?jql=created+%3E%3D+2025-01-01+AND+created+%3C%3D+2025-12-31+AND+type+%3D+Bug+AND+project+%3D+SOVA+AND+Sprint+%3D+2156+AND+status+%3D+%22WON%27T+DO+%28100%25%29%22" xr:uid="{C23A41D0-D489-495D-A6A6-874DDA3F16F4}"/>
    <hyperlink ref="C10" r:id="rId62" display="https://xrspace.atlassian.net/issues/?jql=created+%3E%3D+2025-01-01+AND+created+%3C%3D+2025-12-31+AND+type+%3D+Bug+AND+project+%3D+SOVA+AND+Sprint+%3D+2156+AND+status+%3D+%22STARTING+%2810+%7E+40%25%29%22" xr:uid="{06B5169A-D501-4469-9A41-3C9A125A7BD1}"/>
    <hyperlink ref="F10" r:id="rId63" display="https://xrspace.atlassian.net/issues/?jql=created+%3E%3D+2025-01-01+AND+created+%3C%3D+2025-12-31+AND+type+%3D+Bug+AND+project+%3D+SOVA+AND+Sprint+%3D+2156+AND+status+%3D+%22READY+FOR+TESTING+%2890%25%29%22" xr:uid="{C1DDE2D6-DCAD-4D5B-8986-347B07AA9E76}"/>
    <hyperlink ref="B11" r:id="rId64" display="https://xrspace.atlassian.net/issues/?jql=created+%3E%3D+2025-01-01+AND+created+%3C%3D+2025-12-31+AND+type+%3D+Bug+AND+project+%3D+SOVA+AND+Sprint+%3D+2157+AND+status+%3D+%22To+Do+%280%25%29%22" xr:uid="{9D061ADE-C0FD-4138-A49A-58C525283414}"/>
    <hyperlink ref="D11" r:id="rId65" display="https://xrspace.atlassian.net/issues/?jql=created+%3E%3D+2025-01-01+AND+created+%3C%3D+2025-12-31+AND+type+%3D+Bug+AND+project+%3D+SOVA+AND+Sprint+%3D+2157+AND+status+%3D+%22In+Progress+%2850+%7E+70%25%29%22" xr:uid="{93CACFD6-56F0-4653-A1AB-29CBF12372EE}"/>
    <hyperlink ref="G11" r:id="rId66" display="https://xrspace.atlassian.net/issues/?jql=created+%3E%3D+2025-01-01+AND+created+%3C%3D+2025-12-31+AND+type+%3D+Bug+AND+project+%3D+SOVA+AND+Sprint+%3D+2157+AND+status+%3D+%22Done+%28100%25%29%22" xr:uid="{95D83537-0259-42FD-9540-C9E6F71A3D26}"/>
    <hyperlink ref="E11" r:id="rId67" display="https://xrspace.atlassian.net/issues/?jql=created+%3E%3D+2025-01-01+AND+created+%3C%3D+2025-12-31+AND+type+%3D+Bug+AND+project+%3D+SOVA+AND+Sprint+%3D+2157+AND+status+%3D+%22IN+REVIEW+%2880%25%29%22" xr:uid="{7D700B50-D3BD-441A-991B-DB00990C2D6F}"/>
    <hyperlink ref="H11" r:id="rId68" display="https://xrspace.atlassian.net/issues/?jql=created+%3E%3D+2025-01-01+AND+created+%3C%3D+2025-12-31+AND+type+%3D+Bug+AND+project+%3D+SOVA+AND+Sprint+%3D+2157+AND+status+%3D+%22WON%27T+DO+%28100%25%29%22" xr:uid="{D2580F48-14AB-49F6-8E10-FB4F318A87F1}"/>
    <hyperlink ref="C11" r:id="rId69" display="https://xrspace.atlassian.net/issues/?jql=created+%3E%3D+2025-01-01+AND+created+%3C%3D+2025-12-31+AND+type+%3D+Bug+AND+project+%3D+SOVA+AND+Sprint+%3D+2157+AND+status+%3D+%22STARTING+%2810+%7E+40%25%29%22" xr:uid="{74C40AE4-4FF6-44DF-A6F8-628348AA74E9}"/>
    <hyperlink ref="F11" r:id="rId70" display="https://xrspace.atlassian.net/issues/?jql=created+%3E%3D+2025-01-01+AND+created+%3C%3D+2025-12-31+AND+type+%3D+Bug+AND+project+%3D+SOVA+AND+Sprint+%3D+2157+AND+status+%3D+%22READY+FOR+TESTING+%2890%25%29%22" xr:uid="{5795270B-5F17-4AC5-AF2C-FB27A627FDA8}"/>
    <hyperlink ref="B12" r:id="rId71" display="https://xrspace.atlassian.net/issues/?jql=created+%3E%3D+2025-01-01+AND+created+%3C%3D+2025-12-31+AND+type+%3D+Bug+AND+project+%3D+SOVA+AND+Sprint+%3D+2618+AND+status+%3D+%22To+Do+%280%25%29%22" xr:uid="{C0547C4A-7F10-47D5-8F1E-674CB572D120}"/>
    <hyperlink ref="D12" r:id="rId72" display="https://xrspace.atlassian.net/issues/?jql=created+%3E%3D+2025-01-01+AND+created+%3C%3D+2025-12-31+AND+type+%3D+Bug+AND+project+%3D+SOVA+AND+Sprint+%3D+2618+AND+status+%3D+%22In+Progress+%2850+%7E+70%25%29%22" xr:uid="{196A58E6-2563-4A33-9B92-EA2524791425}"/>
    <hyperlink ref="G12" r:id="rId73" display="https://xrspace.atlassian.net/issues/?jql=created+%3E%3D+2025-01-01+AND+created+%3C%3D+2025-12-31+AND+type+%3D+Bug+AND+project+%3D+SOVA+AND+Sprint+%3D+2618+AND+status+%3D+%22Done+%28100%25%29%22" xr:uid="{839F56B8-0D65-4930-A62B-0B8F428ABBF0}"/>
    <hyperlink ref="E12" r:id="rId74" display="https://xrspace.atlassian.net/issues/?jql=created+%3E%3D+2025-01-01+AND+created+%3C%3D+2025-12-31+AND+type+%3D+Bug+AND+project+%3D+SOVA+AND+Sprint+%3D+2618+AND+status+%3D+%22IN+REVIEW+%2880%25%29%22" xr:uid="{90B1FBD9-8B32-493F-BC02-6DD55B932692}"/>
    <hyperlink ref="H12" r:id="rId75" display="https://xrspace.atlassian.net/issues/?jql=created+%3E%3D+2025-01-01+AND+created+%3C%3D+2025-12-31+AND+type+%3D+Bug+AND+project+%3D+SOVA+AND+Sprint+%3D+2618+AND+status+%3D+%22WON%27T+DO+%28100%25%29%22" xr:uid="{6451ADA7-5DAC-4C05-95FD-5CF1DEA7CAF1}"/>
    <hyperlink ref="C12" r:id="rId76" display="https://xrspace.atlassian.net/issues/?jql=created+%3E%3D+2025-01-01+AND+created+%3C%3D+2025-12-31+AND+type+%3D+Bug+AND+project+%3D+SOVA+AND+Sprint+%3D+2618+AND+status+%3D+%22STARTING+%2810+%7E+40%25%29%22" xr:uid="{191A0BBD-BBAF-453E-91CF-D9C5A6DF7C82}"/>
    <hyperlink ref="F12" r:id="rId77" display="https://xrspace.atlassian.net/issues/?jql=created+%3E%3D+2025-01-01+AND+created+%3C%3D+2025-12-31+AND+type+%3D+Bug+AND+project+%3D+SOVA+AND+Sprint+%3D+2618+AND+status+%3D+%22READY+FOR+TESTING+%2890%25%29%22" xr:uid="{502A2E0B-E94E-4938-88BA-FEE7E7E32171}"/>
    <hyperlink ref="B13" r:id="rId78" display="https://xrspace.atlassian.net/issues/?jql=created+%3E%3D+2025-01-01+AND+created+%3C%3D+2025-12-31+AND+type+%3D+Bug+AND+project+%3D+SOVA+AND+Sprint+%3D+2619+AND+status+%3D+%22To+Do+%280%25%29%22" xr:uid="{BF8C176B-22D3-4D9C-B4A3-31F172E83917}"/>
    <hyperlink ref="D13" r:id="rId79" display="https://xrspace.atlassian.net/issues/?jql=created+%3E%3D+2025-01-01+AND+created+%3C%3D+2025-12-31+AND+type+%3D+Bug+AND+project+%3D+SOVA+AND+Sprint+%3D+2619+AND+status+%3D+%22In+Progress+%2850+%7E+70%25%29%22" xr:uid="{2FE0B221-165A-4CE3-B6E2-9ED17FAB88F7}"/>
    <hyperlink ref="G13" r:id="rId80" display="https://xrspace.atlassian.net/issues/?jql=created+%3E%3D+2025-01-01+AND+created+%3C%3D+2025-12-31+AND+type+%3D+Bug+AND+project+%3D+SOVA+AND+Sprint+%3D+2619+AND+status+%3D+%22Done+%28100%25%29%22" xr:uid="{728D43CB-1372-4E76-B235-52436D5EEB65}"/>
    <hyperlink ref="E13" r:id="rId81" display="https://xrspace.atlassian.net/issues/?jql=created+%3E%3D+2025-01-01+AND+created+%3C%3D+2025-12-31+AND+type+%3D+Bug+AND+project+%3D+SOVA+AND+Sprint+%3D+2619+AND+status+%3D+%22IN+REVIEW+%2880%25%29%22" xr:uid="{4E6A380A-51F0-469F-8C29-14BD1806F486}"/>
    <hyperlink ref="H13" r:id="rId82" display="https://xrspace.atlassian.net/issues/?jql=created+%3E%3D+2025-01-01+AND+created+%3C%3D+2025-12-31+AND+type+%3D+Bug+AND+project+%3D+SOVA+AND+Sprint+%3D+2619+AND+status+%3D+%22WON%27T+DO+%28100%25%29%22" xr:uid="{03115AF0-BA08-473F-9EFA-E16F27F87754}"/>
    <hyperlink ref="C13" r:id="rId83" display="https://xrspace.atlassian.net/issues/?jql=created+%3E%3D+2025-01-01+AND+created+%3C%3D+2025-12-31+AND+type+%3D+Bug+AND+project+%3D+SOVA+AND+Sprint+%3D+2619+AND+status+%3D+%22STARTING+%2810+%7E+40%25%29%22" xr:uid="{92AC307B-0BF8-4F28-8F44-8ED60FD69492}"/>
    <hyperlink ref="F13" r:id="rId84" display="https://xrspace.atlassian.net/issues/?jql=created+%3E%3D+2025-01-01+AND+created+%3C%3D+2025-12-31+AND+type+%3D+Bug+AND+project+%3D+SOVA+AND+Sprint+%3D+2619+AND+status+%3D+%22READY+FOR+TESTING+%2890%25%29%22" xr:uid="{38E5669F-D579-4673-A8AF-10E704C3EC67}"/>
    <hyperlink ref="B14" r:id="rId85" display="https://xrspace.atlassian.net/issues/?jql=created+%3E%3D+2025-01-01+AND+created+%3C%3D+2025-12-31+AND+type+%3D+Bug+AND+project+%3D+SOVA+AND+Sprint+%3D+2882+AND+status+%3D+%22To+Do+%280%25%29%22" xr:uid="{6D7492EC-4C31-44F3-8C64-52AF1D8115AC}"/>
    <hyperlink ref="D14" r:id="rId86" display="https://xrspace.atlassian.net/issues/?jql=created+%3E%3D+2025-01-01+AND+created+%3C%3D+2025-12-31+AND+type+%3D+Bug+AND+project+%3D+SOVA+AND+Sprint+%3D+2882+AND+status+%3D+%22In+Progress+%2850+%7E+70%25%29%22" xr:uid="{0B260D11-89DC-491F-9949-0B2C94BBC716}"/>
    <hyperlink ref="G14" r:id="rId87" display="https://xrspace.atlassian.net/issues/?jql=created+%3E%3D+2025-01-01+AND+created+%3C%3D+2025-12-31+AND+type+%3D+Bug+AND+project+%3D+SOVA+AND+Sprint+%3D+2882+AND+status+%3D+%22Done+%28100%25%29%22" xr:uid="{CFC702A2-65B8-4559-AF82-23158026AE34}"/>
    <hyperlink ref="E14" r:id="rId88" display="https://xrspace.atlassian.net/issues/?jql=created+%3E%3D+2025-01-01+AND+created+%3C%3D+2025-12-31+AND+type+%3D+Bug+AND+project+%3D+SOVA+AND+Sprint+%3D+2882+AND+status+%3D+%22IN+REVIEW+%2880%25%29%22" xr:uid="{E10EB3B1-512D-4E30-A8FF-0CDC6DE1953F}"/>
    <hyperlink ref="H14" r:id="rId89" display="https://xrspace.atlassian.net/issues/?jql=created+%3E%3D+2025-01-01+AND+created+%3C%3D+2025-12-31+AND+type+%3D+Bug+AND+project+%3D+SOVA+AND+Sprint+%3D+2882+AND+status+%3D+%22WON%27T+DO+%28100%25%29%22" xr:uid="{F31BA730-BF1C-417A-80E9-4CC85AA5B76D}"/>
    <hyperlink ref="C14" r:id="rId90" display="https://xrspace.atlassian.net/issues/?jql=created+%3E%3D+2025-01-01+AND+created+%3C%3D+2025-12-31+AND+type+%3D+Bug+AND+project+%3D+SOVA+AND+Sprint+%3D+2882+AND+status+%3D+%22STARTING+%2810+%7E+40%25%29%22" xr:uid="{B53EB192-BE99-48BC-8C72-CDD021BA21F2}"/>
    <hyperlink ref="F14" r:id="rId91" display="https://xrspace.atlassian.net/issues/?jql=created+%3E%3D+2025-01-01+AND+created+%3C%3D+2025-12-31+AND+type+%3D+Bug+AND+project+%3D+SOVA+AND+Sprint+%3D+2882+AND+status+%3D+%22READY+FOR+TESTING+%2890%25%29%22" xr:uid="{718595DB-1946-493A-8E3A-890367BAD104}"/>
    <hyperlink ref="B15" r:id="rId92" display="https://xrspace.atlassian.net/issues/?jql=created+%3E%3D+2025-01-01+AND+created+%3C%3D+2025-12-31+AND+type+%3D+Bug+AND+project+%3D+SOVA+AND+Sprint+%3D+3213+AND+status+%3D+%22To+Do+%280%25%29%22" xr:uid="{83E837D8-7F59-4644-A7B3-0B4DB101B43F}"/>
    <hyperlink ref="D15" r:id="rId93" display="https://xrspace.atlassian.net/issues/?jql=created+%3E%3D+2025-01-01+AND+created+%3C%3D+2025-12-31+AND+type+%3D+Bug+AND+project+%3D+SOVA+AND+Sprint+%3D+3213+AND+status+%3D+%22In+Progress+%2850+%7E+70%25%29%22" xr:uid="{E105DC65-ADD8-40DA-8578-4FF2B901FEAB}"/>
    <hyperlink ref="G15" r:id="rId94" display="https://xrspace.atlassian.net/issues/?jql=created+%3E%3D+2025-01-01+AND+created+%3C%3D+2025-12-31+AND+type+%3D+Bug+AND+project+%3D+SOVA+AND+Sprint+%3D+3213+AND+status+%3D+%22Done+%28100%25%29%22" xr:uid="{DFCE7189-C3DA-4485-9A01-50BCAC1DFB0D}"/>
    <hyperlink ref="E15" r:id="rId95" display="https://xrspace.atlassian.net/issues/?jql=created+%3E%3D+2025-01-01+AND+created+%3C%3D+2025-12-31+AND+type+%3D+Bug+AND+project+%3D+SOVA+AND+Sprint+%3D+3213+AND+status+%3D+%22IN+REVIEW+%2880%25%29%22" xr:uid="{7B998F6E-154D-423B-AD63-AC2BEF95E448}"/>
    <hyperlink ref="H15" r:id="rId96" display="https://xrspace.atlassian.net/issues/?jql=created+%3E%3D+2025-01-01+AND+created+%3C%3D+2025-12-31+AND+type+%3D+Bug+AND+project+%3D+SOVA+AND+Sprint+%3D+3213+AND+status+%3D+%22WON%27T+DO+%28100%25%29%22" xr:uid="{BEB475C3-9169-4957-8805-0FE1946C455C}"/>
    <hyperlink ref="C15" r:id="rId97" display="https://xrspace.atlassian.net/issues/?jql=created+%3E%3D+2025-01-01+AND+created+%3C%3D+2025-12-31+AND+type+%3D+Bug+AND+project+%3D+SOVA+AND+Sprint+%3D+3213+AND+status+%3D+%22STARTING+%2810+%7E+40%25%29%22" xr:uid="{676B8A85-010D-461D-BE5A-320B2C43F81C}"/>
    <hyperlink ref="F15" r:id="rId98" display="https://xrspace.atlassian.net/issues/?jql=created+%3E%3D+2025-01-01+AND+created+%3C%3D+2025-12-31+AND+type+%3D+Bug+AND+project+%3D+SOVA+AND+Sprint+%3D+3213+AND+status+%3D+%22READY+FOR+TESTING+%2890%25%29%22" xr:uid="{CE1E4B31-3D9A-4B74-A986-A1209200DE68}"/>
    <hyperlink ref="B16" r:id="rId99" display="https://xrspace.atlassian.net/issues/?jql=created+%3E%3D+2025-01-01+AND+created+%3C%3D+2025-12-31+AND+type+%3D+Bug+AND+project+%3D+SOVA+AND+Sprint+%3D+3245+AND+status+%3D+%22To+Do+%280%25%29%22" xr:uid="{17D8D3E5-5321-48A4-BE0B-D84314175562}"/>
    <hyperlink ref="D16" r:id="rId100" display="https://xrspace.atlassian.net/issues/?jql=created+%3E%3D+2025-01-01+AND+created+%3C%3D+2025-12-31+AND+type+%3D+Bug+AND+project+%3D+SOVA+AND+Sprint+%3D+3245+AND+status+%3D+%22In+Progress+%2850+%7E+70%25%29%22" xr:uid="{44481FFC-F2B2-44F9-9C66-709BA81F3BC5}"/>
    <hyperlink ref="G16" r:id="rId101" display="https://xrspace.atlassian.net/issues/?jql=created+%3E%3D+2025-01-01+AND+created+%3C%3D+2025-12-31+AND+type+%3D+Bug+AND+project+%3D+SOVA+AND+Sprint+%3D+3245+AND+status+%3D+%22Done+%28100%25%29%22" xr:uid="{81160781-7128-4D59-AC84-993E9E3E0CFB}"/>
    <hyperlink ref="E16" r:id="rId102" display="https://xrspace.atlassian.net/issues/?jql=created+%3E%3D+2025-01-01+AND+created+%3C%3D+2025-12-31+AND+type+%3D+Bug+AND+project+%3D+SOVA+AND+Sprint+%3D+3245+AND+status+%3D+%22IN+REVIEW+%2880%25%29%22" xr:uid="{42C5D461-99FC-4164-BAF6-20F114552FED}"/>
    <hyperlink ref="H16" r:id="rId103" display="https://xrspace.atlassian.net/issues/?jql=created+%3E%3D+2025-01-01+AND+created+%3C%3D+2025-12-31+AND+type+%3D+Bug+AND+project+%3D+SOVA+AND+Sprint+%3D+3245+AND+status+%3D+%22WON%27T+DO+%28100%25%29%22" xr:uid="{47723F5E-5987-402A-B33F-F20A9B180B6F}"/>
    <hyperlink ref="C16" r:id="rId104" display="https://xrspace.atlassian.net/issues/?jql=created+%3E%3D+2025-01-01+AND+created+%3C%3D+2025-12-31+AND+type+%3D+Bug+AND+project+%3D+SOVA+AND+Sprint+%3D+3245+AND+status+%3D+%22STARTING+%2810+%7E+40%25%29%22" xr:uid="{71046C59-9FC4-49EB-A614-7F3AE27DCC08}"/>
    <hyperlink ref="F16" r:id="rId105" display="https://xrspace.atlassian.net/issues/?jql=created+%3E%3D+2025-01-01+AND+created+%3C%3D+2025-12-31+AND+type+%3D+Bug+AND+project+%3D+SOVA+AND+Sprint+%3D+3245+AND+status+%3D+%22READY+FOR+TESTING+%2890%25%29%22" xr:uid="{405935EB-61BA-477D-8699-15875F2D395A}"/>
    <hyperlink ref="B17" r:id="rId106" display="https://xrspace.atlassian.net/issues/?jql=created+%3E%3D+2025-01-01+AND+created+%3C%3D+2025-12-31+AND+type+%3D+Bug+AND+project+%3D+SOVA+AND+Sprint+%3D+3246+AND+status+%3D+%22To+Do+%280%25%29%22" xr:uid="{82497DEF-1C94-4B8F-9234-C47CDFF61D1D}"/>
    <hyperlink ref="D17" r:id="rId107" display="https://xrspace.atlassian.net/issues/?jql=created+%3E%3D+2025-01-01+AND+created+%3C%3D+2025-12-31+AND+type+%3D+Bug+AND+project+%3D+SOVA+AND+Sprint+%3D+3246+AND+status+%3D+%22In+Progress+%2850+%7E+70%25%29%22" xr:uid="{935DDBAB-D843-4C6E-B975-69ACD28C149D}"/>
    <hyperlink ref="G17" r:id="rId108" display="https://xrspace.atlassian.net/issues/?jql=created+%3E%3D+2025-01-01+AND+created+%3C%3D+2025-12-31+AND+type+%3D+Bug+AND+project+%3D+SOVA+AND+Sprint+%3D+3246+AND+status+%3D+%22Done+%28100%25%29%22" xr:uid="{30A53084-D4AE-47C2-ACCB-81C95F8FDF95}"/>
    <hyperlink ref="E17" r:id="rId109" display="https://xrspace.atlassian.net/issues/?jql=created+%3E%3D+2025-01-01+AND+created+%3C%3D+2025-12-31+AND+type+%3D+Bug+AND+project+%3D+SOVA+AND+Sprint+%3D+3246+AND+status+%3D+%22IN+REVIEW+%2880%25%29%22" xr:uid="{75DC8BF2-DDCA-468B-9BD3-8282B3FE7A97}"/>
    <hyperlink ref="H17" r:id="rId110" display="https://xrspace.atlassian.net/issues/?jql=created+%3E%3D+2025-01-01+AND+created+%3C%3D+2025-12-31+AND+type+%3D+Bug+AND+project+%3D+SOVA+AND+Sprint+%3D+3246+AND+status+%3D+%22WON%27T+DO+%28100%25%29%22" xr:uid="{4885E275-E837-4E4C-A9A2-F26BE4E518CE}"/>
    <hyperlink ref="C17" r:id="rId111" display="https://xrspace.atlassian.net/issues/?jql=created+%3E%3D+2025-01-01+AND+created+%3C%3D+2025-12-31+AND+type+%3D+Bug+AND+project+%3D+SOVA+AND+Sprint+%3D+3246+AND+status+%3D+%22STARTING+%2810+%7E+40%25%29%22" xr:uid="{406F0F9D-8C36-414C-8B11-B777F8790B52}"/>
    <hyperlink ref="F17" r:id="rId112" display="https://xrspace.atlassian.net/issues/?jql=created+%3E%3D+2025-01-01+AND+created+%3C%3D+2025-12-31+AND+type+%3D+Bug+AND+project+%3D+SOVA+AND+Sprint+%3D+3246+AND+status+%3D+%22READY+FOR+TESTING+%2890%25%29%22" xr:uid="{CC1DB992-D00D-4176-832F-5927C3B49EED}"/>
    <hyperlink ref="B18" r:id="rId113" display="https://xrspace.atlassian.net/issues/?jql=created+%3E%3D+2025-01-01+AND+created+%3C%3D+2025-12-31+AND+type+%3D+Bug+AND+project+%3D+SOVA+AND+Sprint+%3D+3575+AND+status+%3D+%22To+Do+%280%25%29%22" xr:uid="{65D24878-AC30-44C7-AEF5-271453C3A5E6}"/>
    <hyperlink ref="D18" r:id="rId114" display="https://xrspace.atlassian.net/issues/?jql=created+%3E%3D+2025-01-01+AND+created+%3C%3D+2025-12-31+AND+type+%3D+Bug+AND+project+%3D+SOVA+AND+Sprint+%3D+3575+AND+status+%3D+%22In+Progress+%2850+%7E+70%25%29%22" xr:uid="{F3852439-F86F-417F-9E37-C786942C8B64}"/>
    <hyperlink ref="G18" r:id="rId115" display="https://xrspace.atlassian.net/issues/?jql=created+%3E%3D+2025-01-01+AND+created+%3C%3D+2025-12-31+AND+type+%3D+Bug+AND+project+%3D+SOVA+AND+Sprint+%3D+3575+AND+status+%3D+%22Done+%28100%25%29%22" xr:uid="{BBACD593-936B-4554-8891-97C3BE48A493}"/>
    <hyperlink ref="E18" r:id="rId116" display="https://xrspace.atlassian.net/issues/?jql=created+%3E%3D+2025-01-01+AND+created+%3C%3D+2025-12-31+AND+type+%3D+Bug+AND+project+%3D+SOVA+AND+Sprint+%3D+3575+AND+status+%3D+%22IN+REVIEW+%2880%25%29%22" xr:uid="{01A672BF-DC1A-49C4-8933-58E729BB2313}"/>
    <hyperlink ref="H18" r:id="rId117" display="https://xrspace.atlassian.net/issues/?jql=created+%3E%3D+2025-01-01+AND+created+%3C%3D+2025-12-31+AND+type+%3D+Bug+AND+project+%3D+SOVA+AND+Sprint+%3D+3575+AND+status+%3D+%22WON%27T+DO+%28100%25%29%22" xr:uid="{3B363088-B6DB-4116-ABE8-AB146B3FB495}"/>
    <hyperlink ref="C18" r:id="rId118" display="https://xrspace.atlassian.net/issues/?jql=created+%3E%3D+2025-01-01+AND+created+%3C%3D+2025-12-31+AND+type+%3D+Bug+AND+project+%3D+SOVA+AND+Sprint+%3D+3575+AND+status+%3D+%22STARTING+%2810+%7E+40%25%29%22" xr:uid="{B90A10D5-FA32-49DB-B81F-2B0164382659}"/>
    <hyperlink ref="F18" r:id="rId119" display="https://xrspace.atlassian.net/issues/?jql=created+%3E%3D+2025-01-01+AND+created+%3C%3D+2025-12-31+AND+type+%3D+Bug+AND+project+%3D+SOVA+AND+Sprint+%3D+3575+AND+status+%3D+%22READY+FOR+TESTING+%2890%25%29%22" xr:uid="{61132B7F-050A-45BC-A60F-D4DD99133382}"/>
    <hyperlink ref="B19" r:id="rId120" display="https://xrspace.atlassian.net/issues/?jql=created+%3E%3D+2025-01-01+AND+created+%3C%3D+2025-12-31+AND+type+%3D+Bug+AND+project+%3D+SOVA+AND+Sprint+%3D+3608+AND+status+%3D+%22To+Do+%280%25%29%22" xr:uid="{53B39578-6021-4C1A-A593-EB3AFD47E021}"/>
    <hyperlink ref="D19" r:id="rId121" display="https://xrspace.atlassian.net/issues/?jql=created+%3E%3D+2025-01-01+AND+created+%3C%3D+2025-12-31+AND+type+%3D+Bug+AND+project+%3D+SOVA+AND+Sprint+%3D+3608+AND+status+%3D+%22In+Progress+%2850+%7E+70%25%29%22" xr:uid="{571E6877-F76F-4BDB-B36A-9EDE642C08B9}"/>
    <hyperlink ref="G19" r:id="rId122" display="https://xrspace.atlassian.net/issues/?jql=created+%3E%3D+2025-01-01+AND+created+%3C%3D+2025-12-31+AND+type+%3D+Bug+AND+project+%3D+SOVA+AND+Sprint+%3D+3608+AND+status+%3D+%22Done+%28100%25%29%22" xr:uid="{41A35FE5-8760-487F-BE21-31A0E7BD5F6F}"/>
    <hyperlink ref="E19" r:id="rId123" display="https://xrspace.atlassian.net/issues/?jql=created+%3E%3D+2025-01-01+AND+created+%3C%3D+2025-12-31+AND+type+%3D+Bug+AND+project+%3D+SOVA+AND+Sprint+%3D+3608+AND+status+%3D+%22IN+REVIEW+%2880%25%29%22" xr:uid="{96936A85-BEEE-43E3-8252-F5E416719A4B}"/>
    <hyperlink ref="H19" r:id="rId124" display="https://xrspace.atlassian.net/issues/?jql=created+%3E%3D+2025-01-01+AND+created+%3C%3D+2025-12-31+AND+type+%3D+Bug+AND+project+%3D+SOVA+AND+Sprint+%3D+3608+AND+status+%3D+%22WON%27T+DO+%28100%25%29%22" xr:uid="{45732215-4C5E-457C-AE23-31E81756226E}"/>
    <hyperlink ref="C19" r:id="rId125" display="https://xrspace.atlassian.net/issues/?jql=created+%3E%3D+2025-01-01+AND+created+%3C%3D+2025-12-31+AND+type+%3D+Bug+AND+project+%3D+SOVA+AND+Sprint+%3D+3608+AND+status+%3D+%22STARTING+%2810+%7E+40%25%29%22" xr:uid="{884FDAC1-F5D5-48F5-8894-B450F1A7018F}"/>
    <hyperlink ref="F19" r:id="rId126" display="https://xrspace.atlassian.net/issues/?jql=created+%3E%3D+2025-01-01+AND+created+%3C%3D+2025-12-31+AND+type+%3D+Bug+AND+project+%3D+SOVA+AND+Sprint+%3D+3608+AND+status+%3D+%22READY+FOR+TESTING+%2890%25%29%22" xr:uid="{8D0DB3C4-9717-41A9-962C-CEE471556D88}"/>
    <hyperlink ref="B20" r:id="rId127" display="https://xrspace.atlassian.net/issues/?jql=created+%3E%3D+2025-01-01+AND+created+%3C%3D+2025-12-31+AND+type+%3D+Bug+AND+project+%3D+SOVA+AND+Sprint+%3D+3872+AND+status+%3D+%22To+Do+%280%25%29%22" xr:uid="{7D58F560-FD19-4888-831D-0D9ECAE334C2}"/>
    <hyperlink ref="D20" r:id="rId128" display="https://xrspace.atlassian.net/issues/?jql=created+%3E%3D+2025-01-01+AND+created+%3C%3D+2025-12-31+AND+type+%3D+Bug+AND+project+%3D+SOVA+AND+Sprint+%3D+3872+AND+status+%3D+%22In+Progress+%2850+%7E+70%25%29%22" xr:uid="{D83C9DBD-9B32-4635-B618-A73D18750514}"/>
    <hyperlink ref="G20" r:id="rId129" display="https://xrspace.atlassian.net/issues/?jql=created+%3E%3D+2025-01-01+AND+created+%3C%3D+2025-12-31+AND+type+%3D+Bug+AND+project+%3D+SOVA+AND+Sprint+%3D+3872+AND+status+%3D+%22Done+%28100%25%29%22" xr:uid="{3002904C-51AE-4FC5-86C0-1283F77128F6}"/>
    <hyperlink ref="E20" r:id="rId130" display="https://xrspace.atlassian.net/issues/?jql=created+%3E%3D+2025-01-01+AND+created+%3C%3D+2025-12-31+AND+type+%3D+Bug+AND+project+%3D+SOVA+AND+Sprint+%3D+3872+AND+status+%3D+%22IN+REVIEW+%2880%25%29%22" xr:uid="{E278F7C4-E7D7-4EF8-93B2-B21D1E953030}"/>
    <hyperlink ref="H20" r:id="rId131" display="https://xrspace.atlassian.net/issues/?jql=created+%3E%3D+2025-01-01+AND+created+%3C%3D+2025-12-31+AND+type+%3D+Bug+AND+project+%3D+SOVA+AND+Sprint+%3D+3872+AND+status+%3D+%22WON%27T+DO+%28100%25%29%22" xr:uid="{65759ED8-E176-4649-95AD-7BE121E13B8F}"/>
    <hyperlink ref="C20" r:id="rId132" display="https://xrspace.atlassian.net/issues/?jql=created+%3E%3D+2025-01-01+AND+created+%3C%3D+2025-12-31+AND+type+%3D+Bug+AND+project+%3D+SOVA+AND+Sprint+%3D+3872+AND+status+%3D+%22STARTING+%2810+%7E+40%25%29%22" xr:uid="{4946B8D2-0CE4-4F7B-AFB4-E450AC7F7CCF}"/>
    <hyperlink ref="F20" r:id="rId133" display="https://xrspace.atlassian.net/issues/?jql=created+%3E%3D+2025-01-01+AND+created+%3C%3D+2025-12-31+AND+type+%3D+Bug+AND+project+%3D+SOVA+AND+Sprint+%3D+3872+AND+status+%3D+%22READY+FOR+TESTING+%2890%25%29%22" xr:uid="{3D26ED32-CDAC-4547-B742-84E52E916723}"/>
  </hyperlinks>
  <pageMargins left="0.7" right="0.7" top="0.75" bottom="0.75" header="0.3" footer="0.3"/>
  <pageSetup orientation="portrait" r:id="rId134"/>
  <drawing r:id="rId135"/>
  <tableParts count="1">
    <tablePart r:id="rId13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7"/>
  <sheetViews>
    <sheetView workbookViewId="0">
      <selection activeCell="G5" sqref="G5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64</v>
      </c>
      <c r="B1" s="2" t="s">
        <v>5</v>
      </c>
      <c r="C1" s="2" t="s">
        <v>6</v>
      </c>
      <c r="D1" s="2" t="s">
        <v>0</v>
      </c>
      <c r="E1" s="2" t="s">
        <v>7</v>
      </c>
    </row>
    <row r="2" spans="1:5" ht="30" customHeight="1">
      <c r="A2" s="2" t="s">
        <v>73</v>
      </c>
      <c r="B2" s="14">
        <v>0</v>
      </c>
      <c r="C2" s="14">
        <v>0</v>
      </c>
      <c r="D2" s="14">
        <v>91</v>
      </c>
      <c r="E2" s="14">
        <f>SUM(Table25[[#This Row],[Done]:[TODO (P1)]])</f>
        <v>91</v>
      </c>
    </row>
    <row r="3" spans="1:5" ht="30" customHeight="1">
      <c r="A3" s="3" t="s">
        <v>74</v>
      </c>
      <c r="B3" s="15">
        <v>0</v>
      </c>
      <c r="C3" s="15">
        <v>1</v>
      </c>
      <c r="D3" s="15">
        <v>90</v>
      </c>
      <c r="E3" s="15">
        <f>SUM(Table25[[#This Row],[Done]:[TODO (P1)]])</f>
        <v>91</v>
      </c>
    </row>
    <row r="4" spans="1:5" ht="30" customHeight="1">
      <c r="A4" s="2" t="s">
        <v>77</v>
      </c>
      <c r="B4" s="15">
        <v>0</v>
      </c>
      <c r="C4" s="15">
        <v>1</v>
      </c>
      <c r="D4" s="15">
        <v>90</v>
      </c>
      <c r="E4" s="15">
        <f>SUM(Table25[[#This Row],[Done]:[TODO (P1)]])</f>
        <v>91</v>
      </c>
    </row>
    <row r="5" spans="1:5" ht="30" customHeight="1">
      <c r="A5" s="3" t="s">
        <v>79</v>
      </c>
      <c r="B5" s="15">
        <v>0</v>
      </c>
      <c r="C5" s="15">
        <v>1</v>
      </c>
      <c r="D5" s="15">
        <v>90</v>
      </c>
      <c r="E5" s="15">
        <f>SUM(Table25[[#This Row],[Done]:[TODO (P1)]])</f>
        <v>91</v>
      </c>
    </row>
    <row r="6" spans="1:5" ht="30" customHeight="1">
      <c r="A6" s="3" t="s">
        <v>82</v>
      </c>
      <c r="B6" s="15">
        <v>5</v>
      </c>
      <c r="C6" s="15">
        <v>0</v>
      </c>
      <c r="D6" s="15">
        <v>77</v>
      </c>
      <c r="E6" s="15">
        <f>SUM(Table25[[#This Row],[Done]:[TODO (P1)]])</f>
        <v>82</v>
      </c>
    </row>
    <row r="7" spans="1:5" ht="30" customHeight="1">
      <c r="A7" s="3" t="s">
        <v>84</v>
      </c>
      <c r="B7" s="15">
        <v>5</v>
      </c>
      <c r="C7" s="15">
        <v>0</v>
      </c>
      <c r="D7" s="15">
        <v>77</v>
      </c>
      <c r="E7" s="15">
        <f>SUM(Table25[[#This Row],[Done]:[TODO (P1)]])</f>
        <v>82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2025-11-13T23:48:35Z</dcterms:modified>
</cp:coreProperties>
</file>