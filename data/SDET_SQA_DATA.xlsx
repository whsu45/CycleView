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93DF7603-9865-4C6A-82AB-E701A58DD6EC}" xr6:coauthVersionLast="47" xr6:coauthVersionMax="47" xr10:uidLastSave="{00000000-0000-0000-0000-000000000000}"/>
  <bookViews>
    <workbookView xWindow="-120" yWindow="-120" windowWidth="29040" windowHeight="15720" activeTab="4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" i="1" l="1"/>
  <c r="H18" i="4"/>
  <c r="H34" i="2"/>
  <c r="E21" i="6"/>
  <c r="H22" i="3"/>
  <c r="E20" i="1"/>
  <c r="H35" i="2"/>
  <c r="H32" i="2"/>
  <c r="H33" i="2"/>
  <c r="E20" i="6"/>
  <c r="E19" i="6"/>
  <c r="E19" i="1"/>
  <c r="H31" i="2"/>
  <c r="E18" i="1"/>
  <c r="H19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2" i="6"/>
  <c r="E18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E17" i="1"/>
  <c r="E17" i="6"/>
  <c r="H29" i="2"/>
  <c r="E16" i="1"/>
  <c r="E16" i="6"/>
  <c r="H28" i="2"/>
  <c r="H27" i="2"/>
  <c r="E15" i="1"/>
  <c r="E15" i="6"/>
  <c r="E14" i="1"/>
  <c r="E14" i="6"/>
  <c r="E13" i="6"/>
  <c r="H25" i="2"/>
  <c r="E13" i="1"/>
  <c r="E12" i="6"/>
  <c r="E12" i="1"/>
  <c r="E11" i="1"/>
  <c r="H24" i="2"/>
  <c r="H23" i="2"/>
  <c r="E10" i="1"/>
  <c r="E10" i="6"/>
  <c r="E9" i="1"/>
  <c r="H26" i="2"/>
  <c r="E9" i="6"/>
  <c r="H22" i="2"/>
  <c r="H21" i="2"/>
  <c r="E8" i="6"/>
  <c r="H19" i="2"/>
  <c r="E6" i="6"/>
  <c r="E7" i="1"/>
  <c r="E5" i="6"/>
  <c r="E8" i="1"/>
  <c r="H18" i="2"/>
  <c r="E7" i="6"/>
  <c r="E6" i="1"/>
  <c r="H20" i="2"/>
  <c r="E5" i="1"/>
  <c r="E4" i="1"/>
  <c r="E3" i="6"/>
  <c r="E2" i="6"/>
  <c r="E4" i="6"/>
  <c r="H16" i="2"/>
  <c r="E2" i="1"/>
  <c r="E3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<sst xmlns="http://schemas.openxmlformats.org/spreadsheetml/2006/main" count="177" uniqueCount="101">
  <si>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</si>
  <si>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</si>
  <si>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</si>
  <si>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</si>
  <si>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</si>
  <si>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</si>
  <si>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</si>
  <si>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</si>
  <si>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</si>
  <si>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</si>
  <si>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</si>
  <si>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</si>
  <si>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</si>
  <si>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</si>
  <si>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</si>
  <si>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</si>
  <si>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</si>
  <si>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</si>
  <si>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</si>
  <si>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</si>
  <si>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</si>
  <si>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</si>
  <si>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</si>
  <si>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</si>
  <si>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</si>
  <si>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</si>
  <si>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</si>
  <si>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</si>
  <si>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y25w30</t>
  </si>
  <si>
    <t>y25w32</t>
  </si>
  <si>
    <t>y25w34</t>
  </si>
  <si>
    <t>y25w36</t>
  </si>
  <si>
    <t>Versions</t>
  </si>
  <si>
    <t>y25w38</t>
  </si>
  <si>
    <t>y25w40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</si>
  <si>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</si>
  <si>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</si>
  <si>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</si>
  <si>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</si>
  <si>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</si>
  <si>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</si>
  <si>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</si>
  <si>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</si>
  <si>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</si>
  <si>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</si>
  <si>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</si>
  <si>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</si>
  <si>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</si>
  <si>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</si>
  <si>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</si>
  <si>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</si>
  <si>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</si>
  <si>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</si>
  <si>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</si>
  <si>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</si>
  <si>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</si>
  <si>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</si>
  <si>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</si>
  <si>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</si>
  <si>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</si>
  <si>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</si>
  <si>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</si>
  <si>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</si>
  <si>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</si>
  <si>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</si>
  <si>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</si>
  <si>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</si>
  <si>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</si>
  <si>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</si>
  <si>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</si>
  <si>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</si>
  <si>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</si>
  <si>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</si>
  <si>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</si>
  <si>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</si>
  <si>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</si>
  <si>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</si>
  <si>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</si>
  <si>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</si>
  <si>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</si>
  <si>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</si>
  <si>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</si>
  <si>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</si>
  <si>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</si>
  <si>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</si>
  <si>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</si>
  <si>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</si>
  <si>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</si>
  <si>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</si>
  <si>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26W06</t>
  </si>
  <si>
    <t>26W07</t>
  </si>
  <si>
    <t>26W10</t>
  </si>
  <si>
    <t>26W08</t>
  </si>
  <si>
    <t>v1.40</t>
  </si>
  <si>
    <t>y26w2</t>
  </si>
  <si>
    <t>y26w4</t>
  </si>
  <si>
    <t>y26w6</t>
  </si>
  <si>
    <t>y26w8</t>
  </si>
  <si>
    <t>y26w12</t>
  </si>
  <si>
    <t>Candidate</t>
  </si>
  <si>
    <t>26W11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</si>
</sst>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TestAutomationProgress!$A$2:$A$22</c:f>
              <c:strCache>
                <c:ptCount val="21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</c:strCache>
            </c:strRef>
          </c:cat>
          <c:val>
            <c:numRef>
              <c:f>TestAutomationProgress!$B$2:$B$22</c:f>
              <c:numCache>
                <c:formatCode>General</c:formatCode>
                <c:ptCount val="21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18</c:v>
                </c:pt>
                <c:pt idx="5">
                  <c:v>21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30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TestAutomationProgress!$A$2:$A$22</c:f>
              <c:strCache>
                <c:ptCount val="21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</c:strCache>
            </c:strRef>
          </c:cat>
          <c:val>
            <c:numRef>
              <c:f>TestAutomationProgress!$C$2:$C$22</c:f>
              <c:numCache>
                <c:formatCode>General</c:formatCode>
                <c:ptCount val="21"/>
                <c:pt idx="0">
                  <c:v>14</c:v>
                </c:pt>
                <c:pt idx="1">
                  <c:v>11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TestAutomationProgress!$A$2:$A$22</c:f>
              <c:strCache>
                <c:ptCount val="21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</c:strCache>
            </c:strRef>
          </c:cat>
          <c:val>
            <c:numRef>
              <c:f>TestAutomationProgress!$D$2:$D$22</c:f>
              <c:numCache>
                <c:formatCode>General</c:formatCode>
                <c:ptCount val="21"/>
                <c:pt idx="0">
                  <c:v>219</c:v>
                </c:pt>
                <c:pt idx="1">
                  <c:v>173</c:v>
                </c:pt>
                <c:pt idx="2">
                  <c:v>172</c:v>
                </c:pt>
                <c:pt idx="3">
                  <c:v>168</c:v>
                </c:pt>
                <c:pt idx="4">
                  <c:v>166</c:v>
                </c:pt>
                <c:pt idx="5">
                  <c:v>160</c:v>
                </c:pt>
                <c:pt idx="6">
                  <c:v>160</c:v>
                </c:pt>
                <c:pt idx="7">
                  <c:v>161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161</c:v>
                </c:pt>
                <c:pt idx="17">
                  <c:v>161</c:v>
                </c:pt>
                <c:pt idx="18">
                  <c:v>161</c:v>
                </c:pt>
                <c:pt idx="19">
                  <c:v>161</c:v>
                </c:pt>
                <c:pt idx="20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'Humi-TestResult'!$B$2:$B$19</c:f>
              <c:numCache>
                <c:formatCode>General</c:formatCode>
                <c:ptCount val="18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  <c:pt idx="17">
                  <c:v>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'Humi-TestResult'!$C$2:$C$19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'Humi-TestResult'!$D$2:$D$19</c:f>
              <c:numCache>
                <c:formatCode>General</c:formatCode>
                <c:ptCount val="18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'Humi-TestResult'!$E$2:$E$19</c:f>
              <c:numCache>
                <c:formatCode>General</c:formatCode>
                <c:ptCount val="18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'Humi-TestResult'!$F$2:$F$19</c:f>
              <c:numCache>
                <c:formatCode>General</c:formatCode>
                <c:ptCount val="1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'Humi-TestResult'!$G$2:$G$19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'Humi-TestResult'!$H$2:$H$19</c:f>
              <c:numCache>
                <c:formatCode>General</c:formatCode>
                <c:ptCount val="18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  <c:pt idx="17">
                  <c:v>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'SOVA-TestResult'!$B$2:$B$35</c:f>
              <c:numCache>
                <c:formatCode>General</c:formatCode>
                <c:ptCount val="34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  <c:pt idx="33">
                  <c:v>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'SOVA-TestResult'!$C$2:$C$35</c:f>
              <c:numCache>
                <c:formatCode>General</c:formatCode>
                <c:ptCount val="34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'SOVA-TestResult'!$D$2:$D$35</c:f>
              <c:numCache>
                <c:formatCode>General</c:formatCode>
                <c:ptCount val="34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'SOVA-TestResult'!$E$2:$E$35</c:f>
              <c:numCache>
                <c:formatCode>General</c:formatCode>
                <c:ptCount val="34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'SOVA-TestResult'!$F$2:$F$35</c:f>
              <c:numCache>
                <c:formatCode>General</c:formatCode>
                <c:ptCount val="34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  <c:pt idx="3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'SOVA-TestResult'!$G$2:$G$35</c:f>
              <c:numCache>
                <c:formatCode>General</c:formatCode>
                <c:ptCount val="34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'SOVA-TestResult'!$A$2:$A$35</c:f>
              <c:strCache>
                <c:ptCount val="34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</c:strCache>
            </c:strRef>
          </c:cat>
          <c:val>
            <c:numRef>
              <c:f>'SOVA-TestResult'!$H$2:$H$35</c:f>
              <c:numCache>
                <c:formatCode>General</c:formatCode>
                <c:ptCount val="34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  <c:pt idx="33">
                  <c:v>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'Humi-BugTrend'!$B$2:$B$22</c:f>
              <c:numCache>
                <c:formatCode>General</c:formatCode>
                <c:ptCount val="21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11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'Humi-BugTrend'!$E$2:$E$22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'Humi-BugTrend'!$G$2:$G$22</c:f>
              <c:numCache>
                <c:formatCode>General</c:formatCode>
                <c:ptCount val="21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'Humi-BugTrend'!$H$2:$H$22</c:f>
              <c:numCache>
                <c:formatCode>General</c:formatCode>
                <c:ptCount val="21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51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9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'SOVA-BugTrend'!$B$2:$B$20</c:f>
              <c:numCache>
                <c:formatCode>General</c:formatCode>
                <c:ptCount val="19"/>
                <c:pt idx="0">
                  <c:v>27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2</c:v>
                </c:pt>
                <c:pt idx="14">
                  <c:v>3</c:v>
                </c:pt>
                <c:pt idx="15">
                  <c:v>7</c:v>
                </c:pt>
                <c:pt idx="16">
                  <c:v>6</c:v>
                </c:pt>
                <c:pt idx="17">
                  <c:v>9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'SOVA-BugTrend'!$D$2:$D$20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'SOVA-BugTrend'!$E$2:$E$20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'SOVA-BugTrend'!$F$2:$F$20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'SOVA-BugTrend'!$G$2:$G$20</c:f>
              <c:numCache>
                <c:formatCode>General</c:formatCode>
                <c:ptCount val="19"/>
                <c:pt idx="0">
                  <c:v>5</c:v>
                </c:pt>
                <c:pt idx="1">
                  <c:v>39</c:v>
                </c:pt>
                <c:pt idx="2">
                  <c:v>45</c:v>
                </c:pt>
                <c:pt idx="3">
                  <c:v>18</c:v>
                </c:pt>
                <c:pt idx="4">
                  <c:v>25</c:v>
                </c:pt>
                <c:pt idx="5">
                  <c:v>45</c:v>
                </c:pt>
                <c:pt idx="6">
                  <c:v>24</c:v>
                </c:pt>
                <c:pt idx="7">
                  <c:v>43</c:v>
                </c:pt>
                <c:pt idx="8">
                  <c:v>35</c:v>
                </c:pt>
                <c:pt idx="9">
                  <c:v>29</c:v>
                </c:pt>
                <c:pt idx="10">
                  <c:v>39</c:v>
                </c:pt>
                <c:pt idx="11">
                  <c:v>31</c:v>
                </c:pt>
                <c:pt idx="12">
                  <c:v>29</c:v>
                </c:pt>
                <c:pt idx="13">
                  <c:v>29</c:v>
                </c:pt>
                <c:pt idx="14">
                  <c:v>31</c:v>
                </c:pt>
                <c:pt idx="15">
                  <c:v>25</c:v>
                </c:pt>
                <c:pt idx="16">
                  <c:v>11</c:v>
                </c:pt>
                <c:pt idx="17">
                  <c:v>11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'SOVA-BugTrend'!$H$2:$H$20</c:f>
              <c:numCache>
                <c:formatCode>General</c:formatCode>
                <c:ptCount val="19"/>
                <c:pt idx="0">
                  <c:v>3</c:v>
                </c:pt>
                <c:pt idx="1">
                  <c:v>6</c:v>
                </c:pt>
                <c:pt idx="2">
                  <c:v>7</c:v>
                </c:pt>
                <c:pt idx="3">
                  <c:v>1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9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</c:strCache>
            </c:strRef>
          </c:cat>
          <c:val>
            <c:numRef>
              <c:f>'SOVA-BugTrend'!$I$2:$I$20</c:f>
              <c:numCache>
                <c:formatCode>General</c:formatCode>
                <c:ptCount val="19"/>
                <c:pt idx="0">
                  <c:v>35</c:v>
                </c:pt>
                <c:pt idx="1">
                  <c:v>46</c:v>
                </c:pt>
                <c:pt idx="2">
                  <c:v>53</c:v>
                </c:pt>
                <c:pt idx="3">
                  <c:v>20</c:v>
                </c:pt>
                <c:pt idx="4">
                  <c:v>32</c:v>
                </c:pt>
                <c:pt idx="5">
                  <c:v>53</c:v>
                </c:pt>
                <c:pt idx="6">
                  <c:v>25</c:v>
                </c:pt>
                <c:pt idx="7">
                  <c:v>43</c:v>
                </c:pt>
                <c:pt idx="8">
                  <c:v>35</c:v>
                </c:pt>
                <c:pt idx="9">
                  <c:v>29</c:v>
                </c:pt>
                <c:pt idx="10">
                  <c:v>44</c:v>
                </c:pt>
                <c:pt idx="11">
                  <c:v>36</c:v>
                </c:pt>
                <c:pt idx="12">
                  <c:v>36</c:v>
                </c:pt>
                <c:pt idx="13">
                  <c:v>31</c:v>
                </c:pt>
                <c:pt idx="14">
                  <c:v>36</c:v>
                </c:pt>
                <c:pt idx="15">
                  <c:v>37</c:v>
                </c:pt>
                <c:pt idx="16">
                  <c:v>26</c:v>
                </c:pt>
                <c:pt idx="17">
                  <c:v>31</c:v>
                </c:pt>
                <c:pt idx="18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24</xdr:row>
      <xdr:rowOff>171448</xdr:rowOff>
    </xdr:from>
    <xdr:to>
      <xdr:col>8</xdr:col>
      <xdr:colOff>95250</xdr:colOff>
      <xdr:row>53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23</xdr:row>
      <xdr:rowOff>28575</xdr:rowOff>
    </xdr:from>
    <xdr:to>
      <xdr:col>6</xdr:col>
      <xdr:colOff>1057275</xdr:colOff>
      <xdr:row>51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38</xdr:row>
      <xdr:rowOff>69662</xdr:rowOff>
    </xdr:from>
    <xdr:to>
      <xdr:col>6</xdr:col>
      <xdr:colOff>1057275</xdr:colOff>
      <xdr:row>67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22</xdr:row>
      <xdr:rowOff>142875</xdr:rowOff>
    </xdr:from>
    <xdr:to>
      <xdr:col>8</xdr:col>
      <xdr:colOff>428625</xdr:colOff>
      <xdr:row>51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24</xdr:row>
      <xdr:rowOff>12700</xdr:rowOff>
    </xdr:from>
    <xdr:to>
      <xdr:col>8</xdr:col>
      <xdr:colOff>219075</xdr:colOff>
      <xdr:row>53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2" totalsRowShown="0" headerRowDxfId="35">
  <autoFilter ref="A1:E22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9" totalsRowShown="0" headerRowDxfId="33">
  <autoFilter ref="A1:H19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5" totalsRowShown="0" headerRowDxfId="31">
  <autoFilter ref="A1:H35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2" totalsRowShown="0" headerRowDxfId="29">
  <autoFilter ref="A1:H22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0" totalsRowShown="0" headerRowDxfId="20" dataDxfId="18" headerRowBorderDxfId="19" tableBorderDxfId="17" totalsRowBorderDxfId="16" dataCellStyle="Hyperlink">
  <autoFilter ref="A1:I20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2" totalsRowShown="0" headerRowDxfId="6" dataDxfId="5">
  <autoFilter ref="A1:E22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4910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34" Type="http://schemas.openxmlformats.org/officeDocument/2006/relationships/printerSettings" Target="../printerSettings/printerSettings3.bin"/><Relationship Id="rId80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4910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135" Type="http://schemas.openxmlformats.org/officeDocument/2006/relationships/drawing" Target="../drawings/drawing5.xml"/><Relationship Id="rId13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4910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4910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136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4910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4910+AND+status+%3D+%22In+Progress+%2850+%7E+7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4910+AND+status+%3D+%22Done+%28100%25%29%22" TargetMode="External"/><Relationship Id="rId4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2"/>
  <sheetViews>
    <sheetView zoomScaleNormal="100" workbookViewId="0">
      <selection activeCell="I21" sqref="I21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15</v>
      </c>
      <c r="C2">
        <v>14</v>
      </c>
      <c r="D2">
        <v>219</v>
      </c>
      <c r="E2">
        <f>SUM(Table2[[#This Row],[Done]:[TODO (P1)]])</f>
        <v>248</v>
      </c>
    </row>
    <row r="3" spans="1:5" ht="21.95" customHeight="1">
      <c r="A3" t="s">
        <v>56</v>
      </c>
      <c r="B3">
        <v>12</v>
      </c>
      <c r="C3">
        <v>11</v>
      </c>
      <c r="D3">
        <v>173</v>
      </c>
      <c r="E3">
        <f>SUM(Table2[[#This Row],[Done]:[TODO (P1)]])</f>
        <v>196</v>
      </c>
    </row>
    <row r="4" spans="1:5" ht="21.95" customHeight="1">
      <c r="A4" t="s">
        <v>57</v>
      </c>
      <c r="B4">
        <v>13</v>
      </c>
      <c r="C4">
        <v>11</v>
      </c>
      <c r="D4">
        <v>172</v>
      </c>
      <c r="E4" s="12">
        <f>SUM(Table2[[#This Row],[Done]:[TODO (P1)]])</f>
        <v>196</v>
      </c>
    </row>
    <row r="5" spans="1:5" ht="21.95" customHeight="1">
      <c r="A5" t="s">
        <v>58</v>
      </c>
      <c r="B5">
        <v>15</v>
      </c>
      <c r="C5">
        <v>12</v>
      </c>
      <c r="D5">
        <v>168</v>
      </c>
      <c r="E5" s="12">
        <f>SUM(Table2[[#This Row],[Done]:[TODO (P1)]])</f>
        <v>195</v>
      </c>
    </row>
    <row r="6" spans="1:5" ht="21.95" customHeight="1">
      <c r="A6" t="s">
        <v>59</v>
      </c>
      <c r="B6">
        <v>18</v>
      </c>
      <c r="C6">
        <v>11</v>
      </c>
      <c r="D6">
        <v>166</v>
      </c>
      <c r="E6" s="12">
        <f>SUM(Table2[[#This Row],[Done]:[TODO (P1)]])</f>
        <v>195</v>
      </c>
    </row>
    <row r="7" spans="1:5" ht="21.95" customHeight="1">
      <c r="A7" t="s">
        <v>60</v>
      </c>
      <c r="B7">
        <v>21</v>
      </c>
      <c r="C7">
        <v>14</v>
      </c>
      <c r="D7">
        <v>160</v>
      </c>
      <c r="E7" s="12">
        <f>SUM(Table2[[#This Row],[Done]:[TODO (P1)]])</f>
        <v>195</v>
      </c>
    </row>
    <row r="8" spans="1:5" ht="21.95" customHeight="1">
      <c r="A8" t="s">
        <v>61</v>
      </c>
      <c r="B8">
        <v>22</v>
      </c>
      <c r="C8">
        <v>14</v>
      </c>
      <c r="D8">
        <v>160</v>
      </c>
      <c r="E8" s="12">
        <f>SUM(Table2[[#This Row],[Done]:[TODO (P1)]])</f>
        <v>196</v>
      </c>
    </row>
    <row r="9" spans="1:5" ht="21.95" customHeight="1">
      <c r="A9" t="s">
        <v>62</v>
      </c>
      <c r="B9">
        <v>25</v>
      </c>
      <c r="C9">
        <v>10</v>
      </c>
      <c r="D9">
        <v>161</v>
      </c>
      <c r="E9" s="12">
        <f>SUM(Table2[[#This Row],[Done]:[TODO (P1)]])</f>
        <v>196</v>
      </c>
    </row>
    <row r="10" spans="1:5" ht="21.95" customHeight="1">
      <c r="A10" t="s">
        <v>64</v>
      </c>
      <c r="B10">
        <v>28</v>
      </c>
      <c r="C10">
        <v>8</v>
      </c>
      <c r="D10">
        <v>160</v>
      </c>
      <c r="E10" s="12">
        <f>SUM(Table2[[#This Row],[Done]:[TODO (P1)]])</f>
        <v>196</v>
      </c>
    </row>
    <row r="11" spans="1:5" ht="21.95" customHeight="1">
      <c r="A11" t="s">
        <v>65</v>
      </c>
      <c r="B11">
        <v>30</v>
      </c>
      <c r="C11">
        <v>6</v>
      </c>
      <c r="D11">
        <v>160</v>
      </c>
      <c r="E11" s="12">
        <f>SUM(Table2[[#This Row],[Done]:[TODO (P1)]])</f>
        <v>196</v>
      </c>
    </row>
    <row r="12" spans="1:5" ht="21.95" customHeight="1">
      <c r="A12" t="s">
        <v>66</v>
      </c>
      <c r="B12">
        <v>32</v>
      </c>
      <c r="C12">
        <v>5</v>
      </c>
      <c r="D12">
        <v>160</v>
      </c>
      <c r="E12" s="12">
        <f>SUM(Table2[[#This Row],[Done]:[TODO (P1)]])</f>
        <v>197</v>
      </c>
    </row>
    <row r="13" spans="1:5" ht="21.95" customHeight="1">
      <c r="A13" t="s">
        <v>67</v>
      </c>
      <c r="B13">
        <v>32</v>
      </c>
      <c r="C13">
        <v>5</v>
      </c>
      <c r="D13">
        <v>160</v>
      </c>
      <c r="E13" s="12">
        <f>SUM(Table2[[#This Row],[Done]:[TODO (P1)]])</f>
        <v>197</v>
      </c>
    </row>
    <row r="14" spans="1:5" ht="21.95" customHeight="1">
      <c r="A14" t="s">
        <v>55</v>
      </c>
      <c r="B14">
        <v>32</v>
      </c>
      <c r="C14">
        <v>3</v>
      </c>
      <c r="D14">
        <v>162</v>
      </c>
      <c r="E14" s="12">
        <f>SUM(Table2[[#This Row],[Done]:[TODO (P1)]])</f>
        <v>197</v>
      </c>
    </row>
    <row r="15" spans="1:5" ht="21.95" customHeight="1">
      <c r="A15" t="s">
        <v>68</v>
      </c>
      <c r="B15">
        <v>32</v>
      </c>
      <c r="C15">
        <v>3</v>
      </c>
      <c r="D15">
        <v>162</v>
      </c>
      <c r="E15" s="12">
        <f>SUM(Table2[[#This Row],[Done]:[TODO (P1)]])</f>
        <v>197</v>
      </c>
    </row>
    <row r="16" spans="1:5" ht="21.95" customHeight="1">
      <c r="A16" t="s">
        <v>83</v>
      </c>
      <c r="B16">
        <v>32</v>
      </c>
      <c r="C16">
        <v>3</v>
      </c>
      <c r="D16">
        <v>162</v>
      </c>
      <c r="E16" s="12">
        <f>SUM(Table2[[#This Row],[Done]:[TODO (P1)]])</f>
        <v>197</v>
      </c>
    </row>
    <row r="17" spans="1:5" ht="21.95" customHeight="1">
      <c r="A17" t="s">
        <v>84</v>
      </c>
      <c r="B17">
        <v>32</v>
      </c>
      <c r="C17">
        <v>1</v>
      </c>
      <c r="D17">
        <v>162</v>
      </c>
      <c r="E17" s="12">
        <f>SUM(Table2[[#This Row],[Done]:[TODO (P1)]])</f>
        <v>195</v>
      </c>
    </row>
    <row r="18" spans="1:5" ht="21.95" customHeight="1">
      <c r="A18" t="s">
        <v>85</v>
      </c>
      <c r="B18">
        <v>32</v>
      </c>
      <c r="C18">
        <v>2</v>
      </c>
      <c r="D18">
        <v>161</v>
      </c>
      <c r="E18" s="12">
        <f>SUM(Table2[[#This Row],[Done]:[TODO (P1)]])</f>
        <v>195</v>
      </c>
    </row>
    <row r="19" spans="1:5" ht="21.95" customHeight="1">
      <c r="A19" t="s">
        <v>89</v>
      </c>
      <c r="B19">
        <v>31</v>
      </c>
      <c r="C19">
        <v>3</v>
      </c>
      <c r="D19">
        <v>161</v>
      </c>
      <c r="E19" s="12">
        <f>SUM(Table2[[#This Row],[Done]:[TODO (P1)]])</f>
        <v>195</v>
      </c>
    </row>
    <row r="20" spans="1:5" ht="21.95" customHeight="1">
      <c r="A20" t="s">
        <v>90</v>
      </c>
      <c r="B20">
        <v>31</v>
      </c>
      <c r="C20">
        <v>3</v>
      </c>
      <c r="D20">
        <v>161</v>
      </c>
      <c r="E20" s="12">
        <f>SUM(Table2[[#This Row],[Done]:[TODO (P1)]])</f>
        <v>195</v>
      </c>
    </row>
    <row r="21" spans="1:5" ht="21.95" customHeight="1">
      <c r="A21" t="s">
        <v>91</v>
      </c>
      <c r="B21">
        <v>31</v>
      </c>
      <c r="C21">
        <v>3</v>
      </c>
      <c r="D21">
        <v>161</v>
      </c>
      <c r="E21" s="12">
        <f>SUM(Table2[[#This Row],[Done]:[TODO (P1)]])</f>
        <v>195</v>
      </c>
    </row>
    <row r="22" spans="1:5" ht="21.95" customHeight="1">
      <c r="A22" t="s">
        <v>100</v>
      </c>
      <c r="B22">
        <v>37</v>
      </c>
      <c r="C22">
        <v>1</v>
      </c>
      <c r="D22">
        <v>160</v>
      </c>
      <c r="E22" s="12">
        <v>198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9"/>
  <sheetViews>
    <sheetView zoomScaleNormal="100" workbookViewId="0">
      <selection activeCell="J17" sqref="J17"/>
    </sheetView>
  </sheetViews>
  <sheetFormatPr defaultColWidth="11.5546875" defaultRowHeight="15"/>
  <cols>
    <col min="1" max="1" width="9.109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37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43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46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47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49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52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53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82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87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  <row r="19" spans="1:8" ht="21.95" customHeight="1">
      <c r="A19" t="s">
        <v>93</v>
      </c>
      <c r="B19">
        <v>186</v>
      </c>
      <c r="C19">
        <v>0</v>
      </c>
      <c r="D19">
        <v>0</v>
      </c>
      <c r="E19">
        <v>13</v>
      </c>
      <c r="F19">
        <v>23</v>
      </c>
      <c r="G19">
        <v>375</v>
      </c>
      <c r="H19">
        <f>SUM(Table1[[#This Row],[Passed]:[Untested]])</f>
        <v>597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5"/>
  <sheetViews>
    <sheetView zoomScaleNormal="100" workbookViewId="0">
      <selection activeCell="G36" sqref="G36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78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79</v>
      </c>
    </row>
    <row r="4" spans="1:8" ht="20.100000000000001" customHeight="1">
      <c r="A4" s="3" t="s">
        <v>80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81</v>
      </c>
    </row>
    <row r="6" spans="1:8" ht="20.100000000000001" customHeight="1">
      <c r="A6" s="3" t="s">
        <v>69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70</v>
      </c>
    </row>
    <row r="8" spans="1:8" ht="20.100000000000001" customHeight="1">
      <c r="A8" s="3" t="s">
        <v>71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72</v>
      </c>
    </row>
    <row r="10" spans="1:8" ht="20.100000000000001" customHeight="1">
      <c r="A10" s="3" t="s">
        <v>73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74</v>
      </c>
    </row>
    <row r="12" spans="1:8" ht="20.100000000000001" customHeight="1">
      <c r="A12" s="3" t="s">
        <v>75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76</v>
      </c>
    </row>
    <row r="14" spans="1:8" ht="20.100000000000001" customHeight="1">
      <c r="A14" s="3" t="s">
        <v>77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56</v>
      </c>
      <c r="H15" s="12"/>
    </row>
    <row r="16" spans="1:8" ht="20.100000000000001" customHeight="1">
      <c r="A16" s="3" t="s">
        <v>57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58</v>
      </c>
      <c r="H17" s="12"/>
    </row>
    <row r="18" spans="1:8" ht="20.100000000000001" customHeight="1">
      <c r="A18" s="3" t="s">
        <v>59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60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61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63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64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65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66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67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55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68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83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84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89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90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92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91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  <row r="35" spans="1:8" ht="20.100000000000001" customHeight="1">
      <c r="A35" s="3" t="s">
        <v>100</v>
      </c>
      <c r="B35">
        <v>694</v>
      </c>
      <c r="C35">
        <v>0</v>
      </c>
      <c r="D35">
        <v>2</v>
      </c>
      <c r="E35">
        <v>0</v>
      </c>
      <c r="F35">
        <v>7</v>
      </c>
      <c r="G35">
        <v>0</v>
      </c>
      <c r="H35" s="12">
        <f>SUM(Table3[[#This Row],[Passed]:[Untested]])</f>
        <v>703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2"/>
  <sheetViews>
    <sheetView zoomScaleNormal="100" workbookViewId="0">
      <selection activeCell="J21" sqref="J21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35</v>
      </c>
      <c r="D1" s="3" t="s">
        <v>17</v>
      </c>
      <c r="E1" s="3" t="s">
        <v>38</v>
      </c>
      <c r="F1" s="3" t="s">
        <v>39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t="s">
        <v>37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t="s">
        <v>42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t="s">
        <v>46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t="s">
        <v>47</v>
      </c>
      <c r="B15">
        <v>11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51</v>
      </c>
    </row>
    <row r="16" spans="1:8">
      <c r="A16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t="s">
        <v>52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t="s">
        <v>53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t="s">
        <v>82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t="s">
        <v>86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>
        <f>SUM(Table7[[#This Row],[To Do]:[Done]])</f>
        <v>9</v>
      </c>
    </row>
    <row r="21" spans="1:8">
      <c r="A21" t="s">
        <v>87</v>
      </c>
      <c r="B21">
        <v>2</v>
      </c>
      <c r="C21">
        <v>0</v>
      </c>
      <c r="D21">
        <v>0</v>
      </c>
      <c r="E21">
        <v>0</v>
      </c>
      <c r="F21">
        <v>0</v>
      </c>
      <c r="G21">
        <v>7</v>
      </c>
      <c r="H21">
        <f>SUM(Table7[[#This Row],[To Do]:[Done]])</f>
        <v>9</v>
      </c>
    </row>
    <row r="22" spans="1:8">
      <c r="A22" t="s">
        <v>93</v>
      </c>
      <c r="B22">
        <v>10</v>
      </c>
      <c r="C22">
        <v>3</v>
      </c>
      <c r="D22">
        <v>0</v>
      </c>
      <c r="E22">
        <v>7</v>
      </c>
      <c r="F22">
        <v>0</v>
      </c>
      <c r="G22">
        <v>7</v>
      </c>
      <c r="H22" s="12">
        <f>SUM(Table7[[#This Row],[To Do]:[Done]])</f>
        <v>27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0"/>
  <sheetViews>
    <sheetView tabSelected="1" zoomScaleNormal="100" workbookViewId="0">
      <selection activeCell="A2" sqref="A2:XFD2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40</v>
      </c>
      <c r="E1" s="7" t="s">
        <v>25</v>
      </c>
      <c r="F1" s="7" t="s">
        <v>54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99</v>
      </c>
      <c r="B2" s="5">
        <v>27</v>
      </c>
      <c r="C2" s="5">
        <v>0</v>
      </c>
      <c r="D2" s="5">
        <v>0</v>
      </c>
      <c r="E2" s="5">
        <v>0</v>
      </c>
      <c r="F2" s="5">
        <v>0</v>
      </c>
      <c r="G2" s="5">
        <v>5</v>
      </c>
      <c r="H2" s="5">
        <v>3</v>
      </c>
      <c r="I2" s="15">
        <f>SUM(Table5[[#This Row],[To Do (0%)]:[WON''T DO (100%)]])</f>
        <v>35</v>
      </c>
    </row>
    <row r="3" spans="1:9" ht="18" thickBot="1">
      <c r="A3" s="4" t="s">
        <v>28</v>
      </c>
      <c r="B3" s="5">
        <v>1</v>
      </c>
      <c r="C3" s="5">
        <v>0</v>
      </c>
      <c r="D3" s="5">
        <v>0</v>
      </c>
      <c r="E3" s="5">
        <v>0</v>
      </c>
      <c r="F3" s="5">
        <v>0</v>
      </c>
      <c r="G3" s="5">
        <v>39</v>
      </c>
      <c r="H3" s="5">
        <v>6</v>
      </c>
      <c r="I3" s="5">
        <f>SUM(Table5[[#This Row],[To Do (0%)]:[WON''T DO (100%)]])</f>
        <v>46</v>
      </c>
    </row>
    <row r="4" spans="1:9" ht="18" thickBot="1">
      <c r="A4" s="4" t="s">
        <v>29</v>
      </c>
      <c r="B4" s="5">
        <v>1</v>
      </c>
      <c r="C4" s="5">
        <v>0</v>
      </c>
      <c r="D4" s="5">
        <v>0</v>
      </c>
      <c r="E4" s="5">
        <v>0</v>
      </c>
      <c r="F4" s="5">
        <v>0</v>
      </c>
      <c r="G4" s="5">
        <v>45</v>
      </c>
      <c r="H4" s="5">
        <v>7</v>
      </c>
      <c r="I4" s="5">
        <f>SUM(Table5[[#This Row],[To Do (0%)]:[WON''T DO (100%)]])</f>
        <v>53</v>
      </c>
    </row>
    <row r="5" spans="1:9" ht="18" thickBot="1">
      <c r="A5" s="4" t="s">
        <v>30</v>
      </c>
      <c r="B5" s="5">
        <v>1</v>
      </c>
      <c r="C5" s="5">
        <v>0</v>
      </c>
      <c r="D5" s="5">
        <v>0</v>
      </c>
      <c r="E5" s="5">
        <v>0</v>
      </c>
      <c r="F5" s="5">
        <v>0</v>
      </c>
      <c r="G5" s="5">
        <v>18</v>
      </c>
      <c r="H5" s="5">
        <v>1</v>
      </c>
      <c r="I5" s="5">
        <f>SUM(Table5[[#This Row],[To Do (0%)]:[WON''T DO (100%)]])</f>
        <v>20</v>
      </c>
    </row>
    <row r="6" spans="1:9" ht="18" thickBot="1">
      <c r="A6" s="4" t="s">
        <v>31</v>
      </c>
      <c r="B6" s="5">
        <v>3</v>
      </c>
      <c r="C6" s="5">
        <v>0</v>
      </c>
      <c r="D6" s="5">
        <v>0</v>
      </c>
      <c r="E6" s="5">
        <v>0</v>
      </c>
      <c r="F6" s="5">
        <v>0</v>
      </c>
      <c r="G6" s="5">
        <v>25</v>
      </c>
      <c r="H6" s="5">
        <v>4</v>
      </c>
      <c r="I6" s="5">
        <f>SUM(Table5[[#This Row],[To Do (0%)]:[WON''T DO (100%)]])</f>
        <v>32</v>
      </c>
    </row>
    <row r="7" spans="1:9" ht="18" thickBot="1">
      <c r="A7" s="4" t="s">
        <v>33</v>
      </c>
      <c r="B7" s="5">
        <v>3</v>
      </c>
      <c r="C7" s="5">
        <v>0</v>
      </c>
      <c r="D7" s="5">
        <v>0</v>
      </c>
      <c r="E7" s="5">
        <v>0</v>
      </c>
      <c r="F7" s="5">
        <v>0</v>
      </c>
      <c r="G7" s="5">
        <v>45</v>
      </c>
      <c r="H7" s="5">
        <v>5</v>
      </c>
      <c r="I7" s="5">
        <f>SUM(Table5[[#This Row],[To Do (0%)]:[WON''T DO (100%)]])</f>
        <v>53</v>
      </c>
    </row>
    <row r="8" spans="1:9" ht="18" thickBot="1">
      <c r="A8" s="4" t="s">
        <v>34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24</v>
      </c>
      <c r="H8" s="5">
        <v>1</v>
      </c>
      <c r="I8" s="5">
        <f>SUM(Table5[[#This Row],[To Do (0%)]:[WON''T DO (100%)]])</f>
        <v>25</v>
      </c>
    </row>
    <row r="9" spans="1:9" ht="18" thickBot="1">
      <c r="A9" s="4" t="s">
        <v>41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43</v>
      </c>
      <c r="H9" s="5">
        <v>0</v>
      </c>
      <c r="I9" s="5">
        <f>SUM(Table5[[#This Row],[To Do (0%)]:[WON''T DO (100%)]])</f>
        <v>43</v>
      </c>
    </row>
    <row r="10" spans="1:9" ht="18" thickBot="1">
      <c r="A10" s="4" t="s">
        <v>44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35</v>
      </c>
      <c r="H10" s="5">
        <v>0</v>
      </c>
      <c r="I10" s="5">
        <f>SUM(Table5[[#This Row],[To Do (0%)]:[WON''T DO (100%)]])</f>
        <v>35</v>
      </c>
    </row>
    <row r="11" spans="1:9" ht="18" thickBot="1">
      <c r="A11" s="4" t="s">
        <v>45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29</v>
      </c>
      <c r="H11" s="5">
        <v>0</v>
      </c>
      <c r="I11" s="5">
        <f>SUM(Table5[[#This Row],[To Do (0%)]:[WON''T DO (100%)]])</f>
        <v>29</v>
      </c>
    </row>
    <row r="12" spans="1:9" ht="18" thickBot="1">
      <c r="A12" s="4" t="s">
        <v>48</v>
      </c>
      <c r="B12" s="5">
        <v>4</v>
      </c>
      <c r="C12" s="5">
        <v>0</v>
      </c>
      <c r="D12" s="5">
        <v>0</v>
      </c>
      <c r="E12" s="5">
        <v>0</v>
      </c>
      <c r="F12" s="5">
        <v>0</v>
      </c>
      <c r="G12" s="5">
        <v>39</v>
      </c>
      <c r="H12" s="5">
        <v>1</v>
      </c>
      <c r="I12" s="5">
        <f>SUM(Table5[[#This Row],[To Do (0%)]:[WON''T DO (100%)]])</f>
        <v>44</v>
      </c>
    </row>
    <row r="13" spans="1:9" ht="18" thickBot="1">
      <c r="A13" s="4" t="s">
        <v>50</v>
      </c>
      <c r="B13" s="5">
        <v>4</v>
      </c>
      <c r="C13" s="5">
        <v>0</v>
      </c>
      <c r="D13" s="5">
        <v>0</v>
      </c>
      <c r="E13" s="5">
        <v>0</v>
      </c>
      <c r="F13" s="5">
        <v>0</v>
      </c>
      <c r="G13" s="5">
        <v>31</v>
      </c>
      <c r="H13" s="5">
        <v>1</v>
      </c>
      <c r="I13" s="5">
        <f>SUM(Table5[[#This Row],[To Do (0%)]:[WON''T DO (100%)]])</f>
        <v>36</v>
      </c>
    </row>
    <row r="14" spans="1:9" ht="18" thickBot="1">
      <c r="A14" s="4" t="s">
        <v>51</v>
      </c>
      <c r="B14" s="5">
        <v>6</v>
      </c>
      <c r="C14" s="5">
        <v>0</v>
      </c>
      <c r="D14" s="5">
        <v>0</v>
      </c>
      <c r="E14" s="5">
        <v>0</v>
      </c>
      <c r="F14" s="5">
        <v>0</v>
      </c>
      <c r="G14" s="5">
        <v>29</v>
      </c>
      <c r="H14" s="5">
        <v>1</v>
      </c>
      <c r="I14" s="5">
        <f>SUM(Table5[[#This Row],[To Do (0%)]:[WON''T DO (100%)]])</f>
        <v>36</v>
      </c>
    </row>
    <row r="15" spans="1:9" ht="18" thickBot="1">
      <c r="A15" s="4" t="s">
        <v>94</v>
      </c>
      <c r="B15" s="5">
        <v>2</v>
      </c>
      <c r="C15" s="5">
        <v>0</v>
      </c>
      <c r="D15" s="5">
        <v>0</v>
      </c>
      <c r="E15" s="5">
        <v>0</v>
      </c>
      <c r="F15" s="5">
        <v>0</v>
      </c>
      <c r="G15" s="5">
        <v>29</v>
      </c>
      <c r="H15" s="5">
        <v>0</v>
      </c>
      <c r="I15" s="5">
        <f>SUM(Table5[[#This Row],[To Do (0%)]:[WON''T DO (100%)]])</f>
        <v>31</v>
      </c>
    </row>
    <row r="16" spans="1:9" ht="18" thickBot="1">
      <c r="A16" s="4" t="s">
        <v>95</v>
      </c>
      <c r="B16" s="5">
        <v>3</v>
      </c>
      <c r="C16" s="5">
        <v>0</v>
      </c>
      <c r="D16" s="5">
        <v>0</v>
      </c>
      <c r="E16" s="5">
        <v>0</v>
      </c>
      <c r="F16" s="5">
        <v>0</v>
      </c>
      <c r="G16" s="5">
        <v>31</v>
      </c>
      <c r="H16" s="5">
        <v>2</v>
      </c>
      <c r="I16" s="5">
        <f>SUM(Table5[[#This Row],[To Do (0%)]:[WON''T DO (100%)]])</f>
        <v>36</v>
      </c>
    </row>
    <row r="17" spans="1:9" ht="18" thickBot="1">
      <c r="A17" s="4" t="s">
        <v>96</v>
      </c>
      <c r="B17" s="5">
        <v>7</v>
      </c>
      <c r="C17" s="5">
        <v>0</v>
      </c>
      <c r="D17" s="5">
        <v>0</v>
      </c>
      <c r="E17" s="5">
        <v>0</v>
      </c>
      <c r="F17" s="5">
        <v>0</v>
      </c>
      <c r="G17" s="5">
        <v>25</v>
      </c>
      <c r="H17" s="5">
        <v>5</v>
      </c>
      <c r="I17" s="15">
        <f>SUM(Table5[[#This Row],[To Do (0%)]:[WON''T DO (100%)]])</f>
        <v>37</v>
      </c>
    </row>
    <row r="18" spans="1:9" ht="18" thickBot="1">
      <c r="A18" s="4" t="s">
        <v>97</v>
      </c>
      <c r="B18" s="5">
        <v>6</v>
      </c>
      <c r="C18" s="5">
        <v>1</v>
      </c>
      <c r="D18" s="5">
        <v>0</v>
      </c>
      <c r="E18" s="5">
        <v>0</v>
      </c>
      <c r="F18" s="5">
        <v>0</v>
      </c>
      <c r="G18" s="5">
        <v>11</v>
      </c>
      <c r="H18" s="5">
        <v>8</v>
      </c>
      <c r="I18" s="5">
        <f>SUM(Table5[[#This Row],[To Do (0%)]:[WON''T DO (100%)]])</f>
        <v>26</v>
      </c>
    </row>
    <row r="19" spans="1:9" ht="18" thickBot="1">
      <c r="A19" s="4" t="s">
        <v>88</v>
      </c>
      <c r="B19" s="5">
        <v>9</v>
      </c>
      <c r="C19" s="5">
        <v>1</v>
      </c>
      <c r="D19" s="5">
        <v>0</v>
      </c>
      <c r="E19" s="5">
        <v>0</v>
      </c>
      <c r="F19" s="5">
        <v>1</v>
      </c>
      <c r="G19" s="5">
        <v>11</v>
      </c>
      <c r="H19" s="5">
        <v>9</v>
      </c>
      <c r="I19" s="15">
        <f>SUM(Table5[[#This Row],[To Do (0%)]:[WON''T DO (100%)]])</f>
        <v>31</v>
      </c>
    </row>
    <row r="20" spans="1:9" ht="18" thickBot="1">
      <c r="A20" s="4" t="s">
        <v>98</v>
      </c>
      <c r="B20" s="5">
        <v>7</v>
      </c>
      <c r="C20" s="5">
        <v>0</v>
      </c>
      <c r="D20" s="5">
        <v>0</v>
      </c>
      <c r="E20" s="5">
        <v>0</v>
      </c>
      <c r="F20" s="5">
        <v>0</v>
      </c>
      <c r="G20" s="5">
        <v>2</v>
      </c>
      <c r="H20" s="5">
        <v>0</v>
      </c>
      <c r="I20" s="15">
        <f>SUM(Table5[[#This Row],[To Do (0%)]:[WON''T DO (100%)]])</f>
        <v>9</v>
      </c>
    </row>
  </sheetData>
  <phoneticPr fontId="1" type="noConversion"/>
  <hyperlinks>
    <hyperlink ref="B3" r:id="rId1" display="https://xrspace.atlassian.net/issues/?jql=created+%3E%3D+2025-02-01+AND+created+%3C%3D+2026-12-31+AND+type+%3D+Bug+AND+project+%3D+SOVA+AND+Sprint+%3D+2157+AND+status+%3D+%22To+Do+%280%25%29%22" xr:uid="{2098A1A6-8889-4C92-A3CB-A2E55B6D3D8E}"/>
    <hyperlink ref="D3" r:id="rId2" display="https://xrspace.atlassian.net/issues/?jql=created+%3E%3D+2025-02-01+AND+created+%3C%3D+2026-12-31+AND+type+%3D+Bug+AND+project+%3D+SOVA+AND+Sprint+%3D+2157+AND+status+%3D+%22In+Progress+%2850+%7E+70%25%29%22" xr:uid="{9EAA8D1F-7CF7-41EE-88AB-EDBE86EB076D}"/>
    <hyperlink ref="G3" r:id="rId3" display="https://xrspace.atlassian.net/issues/?jql=created+%3E%3D+2025-02-01+AND+created+%3C%3D+2026-12-31+AND+type+%3D+Bug+AND+project+%3D+SOVA+AND+Sprint+%3D+2157+AND+status+%3D+%22Done+%28100%25%29%22" xr:uid="{DBC6DD3B-9BC7-4C10-88FF-2B5167967149}"/>
    <hyperlink ref="E3" r:id="rId4" display="https://xrspace.atlassian.net/issues/?jql=created+%3E%3D+2025-02-01+AND+created+%3C%3D+2026-12-31+AND+type+%3D+Bug+AND+project+%3D+SOVA+AND+Sprint+%3D+2157+AND+status+%3D+%22IN+REVIEW+%2880%25%29%22" xr:uid="{FCA2616A-D863-4882-BB15-C4B378E280F5}"/>
    <hyperlink ref="H3" r:id="rId5" display="https://xrspace.atlassian.net/issues/?jql=created+%3E%3D+2025-02-01+AND+created+%3C%3D+2026-12-31+AND+type+%3D+Bug+AND+project+%3D+SOVA+AND+Sprint+%3D+2157+AND+status+%3D+%22WON%27T+DO+%28100%25%29%22" xr:uid="{CB97AE68-2BAC-451B-BF23-79219E5587D6}"/>
    <hyperlink ref="C3" r:id="rId6" display="https://xrspace.atlassian.net/issues/?jql=created+%3E%3D+2025-02-01+AND+created+%3C%3D+2026-12-31+AND+type+%3D+Bug+AND+project+%3D+SOVA+AND+Sprint+%3D+2157+AND+status+%3D+%22STARTING+%2810+%7E+40%25%29%22" xr:uid="{BCEF86E2-ECE2-4E4D-8E7B-AA56CBC06281}"/>
    <hyperlink ref="F3" r:id="rId7" display="https://xrspace.atlassian.net/issues/?jql=created+%3E%3D+2025-02-01+AND+created+%3C%3D+2026-12-31+AND+type+%3D+Bug+AND+project+%3D+SOVA+AND+Sprint+%3D+2157+AND+status+%3D+%22READY+FOR+TESTING+%2890%25%29%22" xr:uid="{E050DEF6-1EC3-40E7-870C-497C15C493B2}"/>
    <hyperlink ref="B4" r:id="rId8" display="https://xrspace.atlassian.net/issues/?jql=created+%3E%3D+2025-02-01+AND+created+%3C%3D+2026-12-31+AND+type+%3D+Bug+AND+project+%3D+SOVA+AND+Sprint+%3D+2618+AND+status+%3D+%22To+Do+%280%25%29%22" xr:uid="{A8547C96-C922-4DCC-8B56-1A75D8CDBCFD}"/>
    <hyperlink ref="D4" r:id="rId9" display="https://xrspace.atlassian.net/issues/?jql=created+%3E%3D+2025-02-01+AND+created+%3C%3D+2026-12-31+AND+type+%3D+Bug+AND+project+%3D+SOVA+AND+Sprint+%3D+2618+AND+status+%3D+%22In+Progress+%2850+%7E+70%25%29%22" xr:uid="{FED3049D-2DB4-4448-903E-999F0CEFF9EE}"/>
    <hyperlink ref="G4" r:id="rId10" display="https://xrspace.atlassian.net/issues/?jql=created+%3E%3D+2025-02-01+AND+created+%3C%3D+2026-12-31+AND+type+%3D+Bug+AND+project+%3D+SOVA+AND+Sprint+%3D+2618+AND+status+%3D+%22Done+%28100%25%29%22" xr:uid="{AF3FABA1-634F-45B4-8DFC-CDF64921E8AC}"/>
    <hyperlink ref="E4" r:id="rId11" display="https://xrspace.atlassian.net/issues/?jql=created+%3E%3D+2025-02-01+AND+created+%3C%3D+2026-12-31+AND+type+%3D+Bug+AND+project+%3D+SOVA+AND+Sprint+%3D+2618+AND+status+%3D+%22IN+REVIEW+%2880%25%29%22" xr:uid="{D8916A59-BB8F-45DA-BA5B-ED486AF5EE96}"/>
    <hyperlink ref="H4" r:id="rId12" display="https://xrspace.atlassian.net/issues/?jql=created+%3E%3D+2025-02-01+AND+created+%3C%3D+2026-12-31+AND+type+%3D+Bug+AND+project+%3D+SOVA+AND+Sprint+%3D+2618+AND+status+%3D+%22WON%27T+DO+%28100%25%29%22" xr:uid="{B46C0957-C280-46CF-8828-617816058567}"/>
    <hyperlink ref="C4" r:id="rId13" display="https://xrspace.atlassian.net/issues/?jql=created+%3E%3D+2025-02-01+AND+created+%3C%3D+2026-12-31+AND+type+%3D+Bug+AND+project+%3D+SOVA+AND+Sprint+%3D+2618+AND+status+%3D+%22STARTING+%2810+%7E+40%25%29%22" xr:uid="{352DB843-6A08-4252-870F-B50251198DEC}"/>
    <hyperlink ref="F4" r:id="rId14" display="https://xrspace.atlassian.net/issues/?jql=created+%3E%3D+2025-02-01+AND+created+%3C%3D+2026-12-31+AND+type+%3D+Bug+AND+project+%3D+SOVA+AND+Sprint+%3D+2618+AND+status+%3D+%22READY+FOR+TESTING+%2890%25%29%22" xr:uid="{05A76920-1938-4725-AF2E-8DC460F3316D}"/>
    <hyperlink ref="B5" r:id="rId15" display="https://xrspace.atlassian.net/issues/?jql=created+%3E%3D+2025-02-01+AND+created+%3C%3D+2026-12-31+AND+type+%3D+Bug+AND+project+%3D+SOVA+AND+Sprint+%3D+2619+AND+status+%3D+%22To+Do+%280%25%29%22" xr:uid="{250976D2-6154-4E2A-B642-B72AD64821E8}"/>
    <hyperlink ref="D5" r:id="rId16" display="https://xrspace.atlassian.net/issues/?jql=created+%3E%3D+2025-02-01+AND+created+%3C%3D+2026-12-31+AND+type+%3D+Bug+AND+project+%3D+SOVA+AND+Sprint+%3D+2619+AND+status+%3D+%22In+Progress+%2850+%7E+70%25%29%22" xr:uid="{38324CE7-95D8-46CE-BC43-70CCC5D8DF2A}"/>
    <hyperlink ref="G5" r:id="rId17" display="https://xrspace.atlassian.net/issues/?jql=created+%3E%3D+2025-02-01+AND+created+%3C%3D+2026-12-31+AND+type+%3D+Bug+AND+project+%3D+SOVA+AND+Sprint+%3D+2619+AND+status+%3D+%22Done+%28100%25%29%22" xr:uid="{EDFC2F6F-269C-4DF6-A765-5094DA3058B5}"/>
    <hyperlink ref="E5" r:id="rId18" display="https://xrspace.atlassian.net/issues/?jql=created+%3E%3D+2025-02-01+AND+created+%3C%3D+2026-12-31+AND+type+%3D+Bug+AND+project+%3D+SOVA+AND+Sprint+%3D+2619+AND+status+%3D+%22IN+REVIEW+%2880%25%29%22" xr:uid="{76626B7A-517E-4F0F-B4DC-D1296A83E3F4}"/>
    <hyperlink ref="H5" r:id="rId19" display="https://xrspace.atlassian.net/issues/?jql=created+%3E%3D+2025-02-01+AND+created+%3C%3D+2026-12-31+AND+type+%3D+Bug+AND+project+%3D+SOVA+AND+Sprint+%3D+2619+AND+status+%3D+%22WON%27T+DO+%28100%25%29%22" xr:uid="{FD7A051E-946E-47BD-9768-79228A37F43C}"/>
    <hyperlink ref="C5" r:id="rId20" display="https://xrspace.atlassian.net/issues/?jql=created+%3E%3D+2025-02-01+AND+created+%3C%3D+2026-12-31+AND+type+%3D+Bug+AND+project+%3D+SOVA+AND+Sprint+%3D+2619+AND+status+%3D+%22STARTING+%2810+%7E+40%25%29%22" xr:uid="{E950A481-D16C-4395-AEE5-180C18291C9D}"/>
    <hyperlink ref="F5" r:id="rId21" display="https://xrspace.atlassian.net/issues/?jql=created+%3E%3D+2025-02-01+AND+created+%3C%3D+2026-12-31+AND+type+%3D+Bug+AND+project+%3D+SOVA+AND+Sprint+%3D+2619+AND+status+%3D+%22READY+FOR+TESTING+%2890%25%29%22" xr:uid="{A38F6D4C-C630-4340-A9E7-750B603ADF0B}"/>
    <hyperlink ref="B6" r:id="rId22" display="https://xrspace.atlassian.net/issues/?jql=created+%3E%3D+2025-02-01+AND+created+%3C%3D+2026-12-31+AND+type+%3D+Bug+AND+project+%3D+SOVA+AND+Sprint+%3D+2882+AND+status+%3D+%22To+Do+%280%25%29%22" xr:uid="{FF1DA584-0E12-4B15-A181-CF9F4CBE527E}"/>
    <hyperlink ref="D6" r:id="rId23" display="https://xrspace.atlassian.net/issues/?jql=created+%3E%3D+2025-02-01+AND+created+%3C%3D+2026-12-31+AND+type+%3D+Bug+AND+project+%3D+SOVA+AND+Sprint+%3D+2882+AND+status+%3D+%22In+Progress+%2850+%7E+70%25%29%22" xr:uid="{C6ED564B-75AA-4ACC-B302-58CFA857765E}"/>
    <hyperlink ref="G6" r:id="rId24" display="https://xrspace.atlassian.net/issues/?jql=created+%3E%3D+2025-02-01+AND+created+%3C%3D+2026-12-31+AND+type+%3D+Bug+AND+project+%3D+SOVA+AND+Sprint+%3D+2882+AND+status+%3D+%22Done+%28100%25%29%22" xr:uid="{3DA03DC2-A0D0-4B06-AA76-6E0B658079ED}"/>
    <hyperlink ref="E6" r:id="rId25" display="https://xrspace.atlassian.net/issues/?jql=created+%3E%3D+2025-02-01+AND+created+%3C%3D+2026-12-31+AND+type+%3D+Bug+AND+project+%3D+SOVA+AND+Sprint+%3D+2882+AND+status+%3D+%22IN+REVIEW+%2880%25%29%22" xr:uid="{106C37AE-A68E-4F48-A07E-7EAA64E12229}"/>
    <hyperlink ref="H6" r:id="rId26" display="https://xrspace.atlassian.net/issues/?jql=created+%3E%3D+2025-02-01+AND+created+%3C%3D+2026-12-31+AND+type+%3D+Bug+AND+project+%3D+SOVA+AND+Sprint+%3D+2882+AND+status+%3D+%22WON%27T+DO+%28100%25%29%22" xr:uid="{E147D72E-931C-45E9-A252-9B5FF9CF975A}"/>
    <hyperlink ref="C6" r:id="rId27" display="https://xrspace.atlassian.net/issues/?jql=created+%3E%3D+2025-02-01+AND+created+%3C%3D+2026-12-31+AND+type+%3D+Bug+AND+project+%3D+SOVA+AND+Sprint+%3D+2882+AND+status+%3D+%22STARTING+%2810+%7E+40%25%29%22" xr:uid="{343CC96C-0DCE-4C22-8B2C-023A73743B9C}"/>
    <hyperlink ref="F6" r:id="rId28" display="https://xrspace.atlassian.net/issues/?jql=created+%3E%3D+2025-02-01+AND+created+%3C%3D+2026-12-31+AND+type+%3D+Bug+AND+project+%3D+SOVA+AND+Sprint+%3D+2882+AND+status+%3D+%22READY+FOR+TESTING+%2890%25%29%22" xr:uid="{5CEF0F43-E33B-4F38-B207-5DE2909D0E32}"/>
    <hyperlink ref="B7" r:id="rId29" display="https://xrspace.atlassian.net/issues/?jql=created+%3E%3D+2025-02-01+AND+created+%3C%3D+2026-12-31+AND+type+%3D+Bug+AND+project+%3D+SOVA+AND+Sprint+%3D+3213+AND+status+%3D+%22To+Do+%280%25%29%22" xr:uid="{6C3757A0-8C07-4470-8C51-9CE3B6A56ACD}"/>
    <hyperlink ref="D7" r:id="rId30" display="https://xrspace.atlassian.net/issues/?jql=created+%3E%3D+2025-02-01+AND+created+%3C%3D+2026-12-31+AND+type+%3D+Bug+AND+project+%3D+SOVA+AND+Sprint+%3D+3213+AND+status+%3D+%22In+Progress+%2850+%7E+70%25%29%22" xr:uid="{10092940-59A8-4EF8-9DFC-FFD46CC42D10}"/>
    <hyperlink ref="G7" r:id="rId31" display="https://xrspace.atlassian.net/issues/?jql=created+%3E%3D+2025-02-01+AND+created+%3C%3D+2026-12-31+AND+type+%3D+Bug+AND+project+%3D+SOVA+AND+Sprint+%3D+3213+AND+status+%3D+%22Done+%28100%25%29%22" xr:uid="{13423C3A-A10F-4205-A0ED-F2765660CB09}"/>
    <hyperlink ref="E7" r:id="rId32" display="https://xrspace.atlassian.net/issues/?jql=created+%3E%3D+2025-02-01+AND+created+%3C%3D+2026-12-31+AND+type+%3D+Bug+AND+project+%3D+SOVA+AND+Sprint+%3D+3213+AND+status+%3D+%22IN+REVIEW+%2880%25%29%22" xr:uid="{FD30451D-AD7B-43BD-A1E8-DC9026511FB3}"/>
    <hyperlink ref="H7" r:id="rId33" display="https://xrspace.atlassian.net/issues/?jql=created+%3E%3D+2025-02-01+AND+created+%3C%3D+2026-12-31+AND+type+%3D+Bug+AND+project+%3D+SOVA+AND+Sprint+%3D+3213+AND+status+%3D+%22WON%27T+DO+%28100%25%29%22" xr:uid="{F9C76BBD-A827-41C3-B699-02BFE13CB144}"/>
    <hyperlink ref="C7" r:id="rId34" display="https://xrspace.atlassian.net/issues/?jql=created+%3E%3D+2025-02-01+AND+created+%3C%3D+2026-12-31+AND+type+%3D+Bug+AND+project+%3D+SOVA+AND+Sprint+%3D+3213+AND+status+%3D+%22STARTING+%2810+%7E+40%25%29%22" xr:uid="{3D44B294-9CB3-4D8C-94EA-0712F35984D4}"/>
    <hyperlink ref="F7" r:id="rId35" display="https://xrspace.atlassian.net/issues/?jql=created+%3E%3D+2025-02-01+AND+created+%3C%3D+2026-12-31+AND+type+%3D+Bug+AND+project+%3D+SOVA+AND+Sprint+%3D+3213+AND+status+%3D+%22READY+FOR+TESTING+%2890%25%29%22" xr:uid="{B0E4B923-35A2-4832-BC3E-91AA92600FBD}"/>
    <hyperlink ref="B8" r:id="rId36" display="https://xrspace.atlassian.net/issues/?jql=created+%3E%3D+2025-02-01+AND+created+%3C%3D+2026-12-31+AND+type+%3D+Bug+AND+project+%3D+SOVA+AND+Sprint+%3D+3245+AND+status+%3D+%22To+Do+%280%25%29%22" xr:uid="{01B0FD6F-CC23-4D00-9D9E-76F1E1AEDBD0}"/>
    <hyperlink ref="D8" r:id="rId37" display="https://xrspace.atlassian.net/issues/?jql=created+%3E%3D+2025-02-01+AND+created+%3C%3D+2026-12-31+AND+type+%3D+Bug+AND+project+%3D+SOVA+AND+Sprint+%3D+3245+AND+status+%3D+%22In+Progress+%2850+%7E+70%25%29%22" xr:uid="{B5F3EE9B-875A-4A65-A261-3B24386685B8}"/>
    <hyperlink ref="G8" r:id="rId38" display="https://xrspace.atlassian.net/issues/?jql=created+%3E%3D+2025-02-01+AND+created+%3C%3D+2026-12-31+AND+type+%3D+Bug+AND+project+%3D+SOVA+AND+Sprint+%3D+3245+AND+status+%3D+%22Done+%28100%25%29%22" xr:uid="{E8318C55-09B2-493E-974F-1CF36998BA66}"/>
    <hyperlink ref="E8" r:id="rId39" display="https://xrspace.atlassian.net/issues/?jql=created+%3E%3D+2025-02-01+AND+created+%3C%3D+2026-12-31+AND+type+%3D+Bug+AND+project+%3D+SOVA+AND+Sprint+%3D+3245+AND+status+%3D+%22IN+REVIEW+%2880%25%29%22" xr:uid="{A30C6BD3-67C3-4FA7-AFA4-2B517ABD5F04}"/>
    <hyperlink ref="H8" r:id="rId40" display="https://xrspace.atlassian.net/issues/?jql=created+%3E%3D+2025-02-01+AND+created+%3C%3D+2026-12-31+AND+type+%3D+Bug+AND+project+%3D+SOVA+AND+Sprint+%3D+3245+AND+status+%3D+%22WON%27T+DO+%28100%25%29%22" xr:uid="{FB9D9197-6ED3-4753-B25F-4AC2BBC19043}"/>
    <hyperlink ref="C8" r:id="rId41" display="https://xrspace.atlassian.net/issues/?jql=created+%3E%3D+2025-02-01+AND+created+%3C%3D+2026-12-31+AND+type+%3D+Bug+AND+project+%3D+SOVA+AND+Sprint+%3D+3245+AND+status+%3D+%22STARTING+%2810+%7E+40%25%29%22" xr:uid="{3495E31B-F66B-4054-AF05-0BD3FFB7BF9C}"/>
    <hyperlink ref="F8" r:id="rId42" display="https://xrspace.atlassian.net/issues/?jql=created+%3E%3D+2025-02-01+AND+created+%3C%3D+2026-12-31+AND+type+%3D+Bug+AND+project+%3D+SOVA+AND+Sprint+%3D+3245+AND+status+%3D+%22READY+FOR+TESTING+%2890%25%29%22" xr:uid="{0D7C3972-708B-40CD-B784-03F46CD089BD}"/>
    <hyperlink ref="B9" r:id="rId43" display="https://xrspace.atlassian.net/issues/?jql=created+%3E%3D+2025-02-01+AND+created+%3C%3D+2026-12-31+AND+type+%3D+Bug+AND+project+%3D+SOVA+AND+Sprint+%3D+3246+AND+status+%3D+%22To+Do+%280%25%29%22" xr:uid="{6BC05550-BC9B-4846-8497-41B623C90180}"/>
    <hyperlink ref="D9" r:id="rId44" display="https://xrspace.atlassian.net/issues/?jql=created+%3E%3D+2025-02-01+AND+created+%3C%3D+2026-12-31+AND+type+%3D+Bug+AND+project+%3D+SOVA+AND+Sprint+%3D+3246+AND+status+%3D+%22In+Progress+%2850+%7E+70%25%29%22" xr:uid="{844EA776-4BB8-4E32-93F8-397C8B5EED8B}"/>
    <hyperlink ref="G9" r:id="rId45" display="https://xrspace.atlassian.net/issues/?jql=created+%3E%3D+2025-02-01+AND+created+%3C%3D+2026-12-31+AND+type+%3D+Bug+AND+project+%3D+SOVA+AND+Sprint+%3D+3246+AND+status+%3D+%22Done+%28100%25%29%22" xr:uid="{39273C42-E20D-4F46-8ADB-5B533107BD2E}"/>
    <hyperlink ref="E9" r:id="rId46" display="https://xrspace.atlassian.net/issues/?jql=created+%3E%3D+2025-02-01+AND+created+%3C%3D+2026-12-31+AND+type+%3D+Bug+AND+project+%3D+SOVA+AND+Sprint+%3D+3246+AND+status+%3D+%22IN+REVIEW+%2880%25%29%22" xr:uid="{D624BCB2-2F04-41B3-9E4D-5A98C308BA1E}"/>
    <hyperlink ref="H9" r:id="rId47" display="https://xrspace.atlassian.net/issues/?jql=created+%3E%3D+2025-02-01+AND+created+%3C%3D+2026-12-31+AND+type+%3D+Bug+AND+project+%3D+SOVA+AND+Sprint+%3D+3246+AND+status+%3D+%22WON%27T+DO+%28100%25%29%22" xr:uid="{B6A9F8CD-90ED-44A9-B8C7-CEC09D2BCB38}"/>
    <hyperlink ref="C9" r:id="rId48" display="https://xrspace.atlassian.net/issues/?jql=created+%3E%3D+2025-02-01+AND+created+%3C%3D+2026-12-31+AND+type+%3D+Bug+AND+project+%3D+SOVA+AND+Sprint+%3D+3246+AND+status+%3D+%22STARTING+%2810+%7E+40%25%29%22" xr:uid="{D7E5BFA7-2477-4334-83F6-F83C0606EB0D}"/>
    <hyperlink ref="F9" r:id="rId49" display="https://xrspace.atlassian.net/issues/?jql=created+%3E%3D+2025-02-01+AND+created+%3C%3D+2026-12-31+AND+type+%3D+Bug+AND+project+%3D+SOVA+AND+Sprint+%3D+3246+AND+status+%3D+%22READY+FOR+TESTING+%2890%25%29%22" xr:uid="{701F7D0D-BE65-4455-9589-AAED281D0342}"/>
    <hyperlink ref="B10" r:id="rId50" display="https://xrspace.atlassian.net/issues/?jql=created+%3E%3D+2025-02-01+AND+created+%3C%3D+2026-12-31+AND+type+%3D+Bug+AND+project+%3D+SOVA+AND+Sprint+%3D+3575+AND+status+%3D+%22To+Do+%280%25%29%22" xr:uid="{619373AF-7C61-474D-BD8F-ED9F06BE4505}"/>
    <hyperlink ref="D10" r:id="rId51" display="https://xrspace.atlassian.net/issues/?jql=created+%3E%3D+2025-02-01+AND+created+%3C%3D+2026-12-31+AND+type+%3D+Bug+AND+project+%3D+SOVA+AND+Sprint+%3D+3575+AND+status+%3D+%22In+Progress+%2850+%7E+70%25%29%22" xr:uid="{CD6EB295-4333-4F74-9619-7B7ABA121619}"/>
    <hyperlink ref="G10" r:id="rId52" display="https://xrspace.atlassian.net/issues/?jql=created+%3E%3D+2025-02-01+AND+created+%3C%3D+2026-12-31+AND+type+%3D+Bug+AND+project+%3D+SOVA+AND+Sprint+%3D+3575+AND+status+%3D+%22Done+%28100%25%29%22" xr:uid="{5F5E4D8E-9A4D-424C-9A71-E223145814AA}"/>
    <hyperlink ref="E10" r:id="rId53" display="https://xrspace.atlassian.net/issues/?jql=created+%3E%3D+2025-02-01+AND+created+%3C%3D+2026-12-31+AND+type+%3D+Bug+AND+project+%3D+SOVA+AND+Sprint+%3D+3575+AND+status+%3D+%22IN+REVIEW+%2880%25%29%22" xr:uid="{C2D365FE-0441-4D9B-A7ED-4AAB5FDD3B9E}"/>
    <hyperlink ref="H10" r:id="rId54" display="https://xrspace.atlassian.net/issues/?jql=created+%3E%3D+2025-02-01+AND+created+%3C%3D+2026-12-31+AND+type+%3D+Bug+AND+project+%3D+SOVA+AND+Sprint+%3D+3575+AND+status+%3D+%22WON%27T+DO+%28100%25%29%22" xr:uid="{5613175A-3F78-4156-B335-CE769839F3CF}"/>
    <hyperlink ref="C10" r:id="rId55" display="https://xrspace.atlassian.net/issues/?jql=created+%3E%3D+2025-02-01+AND+created+%3C%3D+2026-12-31+AND+type+%3D+Bug+AND+project+%3D+SOVA+AND+Sprint+%3D+3575+AND+status+%3D+%22STARTING+%2810+%7E+40%25%29%22" xr:uid="{A326096C-1175-41AD-BCF1-66DC5D1B78FE}"/>
    <hyperlink ref="F10" r:id="rId56" display="https://xrspace.atlassian.net/issues/?jql=created+%3E%3D+2025-02-01+AND+created+%3C%3D+2026-12-31+AND+type+%3D+Bug+AND+project+%3D+SOVA+AND+Sprint+%3D+3575+AND+status+%3D+%22READY+FOR+TESTING+%2890%25%29%22" xr:uid="{C02C81D8-59C5-4CDD-B62C-9AF4F20A8A6C}"/>
    <hyperlink ref="B11" r:id="rId57" display="https://xrspace.atlassian.net/issues/?jql=created+%3E%3D+2025-02-01+AND+created+%3C%3D+2026-12-31+AND+type+%3D+Bug+AND+project+%3D+SOVA+AND+Sprint+%3D+3608+AND+status+%3D+%22To+Do+%280%25%29%22" xr:uid="{3A6DA921-DBCD-4035-9876-3BFC3C1604B6}"/>
    <hyperlink ref="D11" r:id="rId58" display="https://xrspace.atlassian.net/issues/?jql=created+%3E%3D+2025-02-01+AND+created+%3C%3D+2026-12-31+AND+type+%3D+Bug+AND+project+%3D+SOVA+AND+Sprint+%3D+3608+AND+status+%3D+%22In+Progress+%2850+%7E+70%25%29%22" xr:uid="{94F8DAD5-B42F-40E2-B1D7-D80D84B33543}"/>
    <hyperlink ref="G11" r:id="rId59" display="https://xrspace.atlassian.net/issues/?jql=created+%3E%3D+2025-02-01+AND+created+%3C%3D+2026-12-31+AND+type+%3D+Bug+AND+project+%3D+SOVA+AND+Sprint+%3D+3608+AND+status+%3D+%22Done+%28100%25%29%22" xr:uid="{77E9140C-0EA5-4A41-9784-8D472DE3C2B1}"/>
    <hyperlink ref="E11" r:id="rId60" display="https://xrspace.atlassian.net/issues/?jql=created+%3E%3D+2025-02-01+AND+created+%3C%3D+2026-12-31+AND+type+%3D+Bug+AND+project+%3D+SOVA+AND+Sprint+%3D+3608+AND+status+%3D+%22IN+REVIEW+%2880%25%29%22" xr:uid="{4299E878-8E8A-428A-9046-C997F0269E03}"/>
    <hyperlink ref="H11" r:id="rId61" display="https://xrspace.atlassian.net/issues/?jql=created+%3E%3D+2025-02-01+AND+created+%3C%3D+2026-12-31+AND+type+%3D+Bug+AND+project+%3D+SOVA+AND+Sprint+%3D+3608+AND+status+%3D+%22WON%27T+DO+%28100%25%29%22" xr:uid="{4723CA69-5BF8-4A4B-8267-F3ACFA391F3C}"/>
    <hyperlink ref="C11" r:id="rId62" display="https://xrspace.atlassian.net/issues/?jql=created+%3E%3D+2025-02-01+AND+created+%3C%3D+2026-12-31+AND+type+%3D+Bug+AND+project+%3D+SOVA+AND+Sprint+%3D+3608+AND+status+%3D+%22STARTING+%2810+%7E+40%25%29%22" xr:uid="{A40A325B-7D4A-4394-9C22-935AA91F4AD7}"/>
    <hyperlink ref="F11" r:id="rId63" display="https://xrspace.atlassian.net/issues/?jql=created+%3E%3D+2025-02-01+AND+created+%3C%3D+2026-12-31+AND+type+%3D+Bug+AND+project+%3D+SOVA+AND+Sprint+%3D+3608+AND+status+%3D+%22READY+FOR+TESTING+%2890%25%29%22" xr:uid="{9496E075-C7A0-49C6-8EF2-27618CDD47D3}"/>
    <hyperlink ref="B12" r:id="rId64" display="https://xrspace.atlassian.net/issues/?jql=created+%3E%3D+2025-02-01+AND+created+%3C%3D+2026-12-31+AND+type+%3D+Bug+AND+project+%3D+SOVA+AND+Sprint+%3D+3872+AND+status+%3D+%22To+Do+%280%25%29%22" xr:uid="{48ED178E-576D-4FE2-9261-52E00F8095B7}"/>
    <hyperlink ref="D12" r:id="rId65" display="https://xrspace.atlassian.net/issues/?jql=created+%3E%3D+2025-02-01+AND+created+%3C%3D+2026-12-31+AND+type+%3D+Bug+AND+project+%3D+SOVA+AND+Sprint+%3D+3872+AND+status+%3D+%22In+Progress+%2850+%7E+70%25%29%22" xr:uid="{8D6973E4-22A4-49E7-BF52-BB5A93EFE469}"/>
    <hyperlink ref="G12" r:id="rId66" display="https://xrspace.atlassian.net/issues/?jql=created+%3E%3D+2025-02-01+AND+created+%3C%3D+2026-12-31+AND+type+%3D+Bug+AND+project+%3D+SOVA+AND+Sprint+%3D+3872+AND+status+%3D+%22Done+%28100%25%29%22" xr:uid="{459AECEF-7BB9-43A4-9907-4B349F578D90}"/>
    <hyperlink ref="E12" r:id="rId67" display="https://xrspace.atlassian.net/issues/?jql=created+%3E%3D+2025-02-01+AND+created+%3C%3D+2026-12-31+AND+type+%3D+Bug+AND+project+%3D+SOVA+AND+Sprint+%3D+3872+AND+status+%3D+%22IN+REVIEW+%2880%25%29%22" xr:uid="{397F7BE1-3330-4F0F-B7FF-BAA8A473D4D3}"/>
    <hyperlink ref="H12" r:id="rId68" display="https://xrspace.atlassian.net/issues/?jql=created+%3E%3D+2025-02-01+AND+created+%3C%3D+2026-12-31+AND+type+%3D+Bug+AND+project+%3D+SOVA+AND+Sprint+%3D+3872+AND+status+%3D+%22WON%27T+DO+%28100%25%29%22" xr:uid="{268FDFB4-B5D0-499A-835E-984AC9AF6E93}"/>
    <hyperlink ref="C12" r:id="rId69" display="https://xrspace.atlassian.net/issues/?jql=created+%3E%3D+2025-02-01+AND+created+%3C%3D+2026-12-31+AND+type+%3D+Bug+AND+project+%3D+SOVA+AND+Sprint+%3D+3872+AND+status+%3D+%22STARTING+%2810+%7E+40%25%29%22" xr:uid="{5C054285-8A65-44A5-8D9D-36D87E227862}"/>
    <hyperlink ref="F12" r:id="rId70" display="https://xrspace.atlassian.net/issues/?jql=created+%3E%3D+2025-02-01+AND+created+%3C%3D+2026-12-31+AND+type+%3D+Bug+AND+project+%3D+SOVA+AND+Sprint+%3D+3872+AND+status+%3D+%22READY+FOR+TESTING+%2890%25%29%22" xr:uid="{DD8939FB-5003-4B8A-AB10-4A75C98835A6}"/>
    <hyperlink ref="B13" r:id="rId71" display="https://xrspace.atlassian.net/issues/?jql=created+%3E%3D+2025-02-01+AND+created+%3C%3D+2026-12-31+AND+type+%3D+Bug+AND+project+%3D+SOVA+AND+Sprint+%3D+3873+AND+status+%3D+%22To+Do+%280%25%29%22" xr:uid="{67CD9936-68E3-48D8-82E8-13946174F58F}"/>
    <hyperlink ref="D13" r:id="rId72" display="https://xrspace.atlassian.net/issues/?jql=created+%3E%3D+2025-02-01+AND+created+%3C%3D+2026-12-31+AND+type+%3D+Bug+AND+project+%3D+SOVA+AND+Sprint+%3D+3873+AND+status+%3D+%22In+Progress+%2850+%7E+70%25%29%22" xr:uid="{A7B80407-4A1F-423C-8D21-86FB57E2574D}"/>
    <hyperlink ref="G13" r:id="rId73" display="https://xrspace.atlassian.net/issues/?jql=created+%3E%3D+2025-02-01+AND+created+%3C%3D+2026-12-31+AND+type+%3D+Bug+AND+project+%3D+SOVA+AND+Sprint+%3D+3873+AND+status+%3D+%22Done+%28100%25%29%22" xr:uid="{C6B54D5D-59AC-4D5E-94C6-D1784C9F9E30}"/>
    <hyperlink ref="E13" r:id="rId74" display="https://xrspace.atlassian.net/issues/?jql=created+%3E%3D+2025-02-01+AND+created+%3C%3D+2026-12-31+AND+type+%3D+Bug+AND+project+%3D+SOVA+AND+Sprint+%3D+3873+AND+status+%3D+%22IN+REVIEW+%2880%25%29%22" xr:uid="{E35AC702-AB7D-43D6-AA9B-D692621C0CA0}"/>
    <hyperlink ref="H13" r:id="rId75" display="https://xrspace.atlassian.net/issues/?jql=created+%3E%3D+2025-02-01+AND+created+%3C%3D+2026-12-31+AND+type+%3D+Bug+AND+project+%3D+SOVA+AND+Sprint+%3D+3873+AND+status+%3D+%22WON%27T+DO+%28100%25%29%22" xr:uid="{5173B969-834B-47DE-A35E-547B7DB21A05}"/>
    <hyperlink ref="C13" r:id="rId76" display="https://xrspace.atlassian.net/issues/?jql=created+%3E%3D+2025-02-01+AND+created+%3C%3D+2026-12-31+AND+type+%3D+Bug+AND+project+%3D+SOVA+AND+Sprint+%3D+3873+AND+status+%3D+%22STARTING+%2810+%7E+40%25%29%22" xr:uid="{121BA981-889A-474D-A7CB-6703A006D212}"/>
    <hyperlink ref="F13" r:id="rId77" display="https://xrspace.atlassian.net/issues/?jql=created+%3E%3D+2025-02-01+AND+created+%3C%3D+2026-12-31+AND+type+%3D+Bug+AND+project+%3D+SOVA+AND+Sprint+%3D+3873+AND+status+%3D+%22READY+FOR+TESTING+%2890%25%29%22" xr:uid="{56C692DD-5B6F-4781-834A-4B060DDA9382}"/>
    <hyperlink ref="B14" r:id="rId78" display="https://xrspace.atlassian.net/issues/?jql=created+%3E%3D+2025-02-01+AND+created+%3C%3D+2026-12-31+AND+type+%3D+Bug+AND+project+%3D+SOVA+AND+Sprint+%3D+4140+AND+status+%3D+%22To+Do+%280%25%29%22" xr:uid="{36C9018F-7B2A-4710-8779-79CFB61BA540}"/>
    <hyperlink ref="D14" r:id="rId79" display="https://xrspace.atlassian.net/issues/?jql=created+%3E%3D+2025-02-01+AND+created+%3C%3D+2026-12-31+AND+type+%3D+Bug+AND+project+%3D+SOVA+AND+Sprint+%3D+4140+AND+status+%3D+%22In+Progress+%2850+%7E+70%25%29%22" xr:uid="{D0CADD27-E665-4D5C-B9FC-6A1F52E74A52}"/>
    <hyperlink ref="G14" r:id="rId80" display="https://xrspace.atlassian.net/issues/?jql=created+%3E%3D+2025-02-01+AND+created+%3C%3D+2026-12-31+AND+type+%3D+Bug+AND+project+%3D+SOVA+AND+Sprint+%3D+4140+AND+status+%3D+%22Done+%28100%25%29%22" xr:uid="{4D23686B-C993-4BC2-8A4D-25E709D734FE}"/>
    <hyperlink ref="E14" r:id="rId81" display="https://xrspace.atlassian.net/issues/?jql=created+%3E%3D+2025-02-01+AND+created+%3C%3D+2026-12-31+AND+type+%3D+Bug+AND+project+%3D+SOVA+AND+Sprint+%3D+4140+AND+status+%3D+%22IN+REVIEW+%2880%25%29%22" xr:uid="{C7C090F8-0274-47E7-87BB-458914A781D2}"/>
    <hyperlink ref="H14" r:id="rId82" display="https://xrspace.atlassian.net/issues/?jql=created+%3E%3D+2025-02-01+AND+created+%3C%3D+2026-12-31+AND+type+%3D+Bug+AND+project+%3D+SOVA+AND+Sprint+%3D+4140+AND+status+%3D+%22WON%27T+DO+%28100%25%29%22" xr:uid="{448CF223-F09F-4B3F-A43C-6D764BBCF623}"/>
    <hyperlink ref="C14" r:id="rId83" display="https://xrspace.atlassian.net/issues/?jql=created+%3E%3D+2025-02-01+AND+created+%3C%3D+2026-12-31+AND+type+%3D+Bug+AND+project+%3D+SOVA+AND+Sprint+%3D+4140+AND+status+%3D+%22STARTING+%2810+%7E+40%25%29%22" xr:uid="{34DAFD5D-EC0A-421F-B329-AC164A7172B1}"/>
    <hyperlink ref="F14" r:id="rId84" display="https://xrspace.atlassian.net/issues/?jql=created+%3E%3D+2025-02-01+AND+created+%3C%3D+2026-12-31+AND+type+%3D+Bug+AND+project+%3D+SOVA+AND+Sprint+%3D+4140+AND+status+%3D+%22READY+FOR+TESTING+%2890%25%29%22" xr:uid="{DFDB4905-7093-4C01-A03D-F02F620303AD}"/>
    <hyperlink ref="B15" r:id="rId85" display="https://xrspace.atlassian.net/issues/?jql=created+%3E%3D+2025-02-01+AND+created+%3C%3D+2026-12-31+AND+type+%3D+Bug+AND+project+%3D+SOVA+AND+Sprint+%3D+4206+AND+status+%3D+%22To+Do+%280%25%29%22" xr:uid="{87E4291E-6331-472E-ADD4-1D6E923A0490}"/>
    <hyperlink ref="D15" r:id="rId86" display="https://xrspace.atlassian.net/issues/?jql=created+%3E%3D+2025-02-01+AND+created+%3C%3D+2026-12-31+AND+type+%3D+Bug+AND+project+%3D+SOVA+AND+Sprint+%3D+4206+AND+status+%3D+%22In+Progress+%2850+%7E+70%25%29%22" xr:uid="{28DDF373-2708-48F5-B42F-0F7D41CFACA0}"/>
    <hyperlink ref="G15" r:id="rId87" display="https://xrspace.atlassian.net/issues/?jql=created+%3E%3D+2025-02-01+AND+created+%3C%3D+2026-12-31+AND+type+%3D+Bug+AND+project+%3D+SOVA+AND+Sprint+%3D+4206+AND+status+%3D+%22Done+%28100%25%29%22" xr:uid="{45AF10FD-715F-424E-B4DD-C2C4ECC05DC7}"/>
    <hyperlink ref="E15" r:id="rId88" display="https://xrspace.atlassian.net/issues/?jql=created+%3E%3D+2025-02-01+AND+created+%3C%3D+2026-12-31+AND+type+%3D+Bug+AND+project+%3D+SOVA+AND+Sprint+%3D+4206+AND+status+%3D+%22IN+REVIEW+%2880%25%29%22" xr:uid="{AFB1243B-0C11-48CC-AD0B-04A64E608D37}"/>
    <hyperlink ref="H15" r:id="rId89" display="https://xrspace.atlassian.net/issues/?jql=created+%3E%3D+2025-02-01+AND+created+%3C%3D+2026-12-31+AND+type+%3D+Bug+AND+project+%3D+SOVA+AND+Sprint+%3D+4206+AND+status+%3D+%22WON%27T+DO+%28100%25%29%22" xr:uid="{E1D0107F-A51D-431D-826A-96EE83F82D10}"/>
    <hyperlink ref="C15" r:id="rId90" display="https://xrspace.atlassian.net/issues/?jql=created+%3E%3D+2025-02-01+AND+created+%3C%3D+2026-12-31+AND+type+%3D+Bug+AND+project+%3D+SOVA+AND+Sprint+%3D+4206+AND+status+%3D+%22STARTING+%2810+%7E+40%25%29%22" xr:uid="{C794848D-DEF4-4935-94A7-142EF140C27B}"/>
    <hyperlink ref="F15" r:id="rId91" display="https://xrspace.atlassian.net/issues/?jql=created+%3E%3D+2025-02-01+AND+created+%3C%3D+2026-12-31+AND+type+%3D+Bug+AND+project+%3D+SOVA+AND+Sprint+%3D+4206+AND+status+%3D+%22READY+FOR+TESTING+%2890%25%29%22" xr:uid="{15FF5958-4F08-4CB4-82EF-DA9EFE83B742}"/>
    <hyperlink ref="B16" r:id="rId92" display="https://xrspace.atlassian.net/issues/?jql=created+%3E%3D+2025-02-01+AND+created+%3C%3D+2026-12-31+AND+type+%3D+Bug+AND+project+%3D+SOVA+AND+Sprint+%3D+4477+AND+status+%3D+%22To+Do+%280%25%29%22" xr:uid="{27CAA26C-245C-4133-AA97-B02BAABBEA3C}"/>
    <hyperlink ref="D16" r:id="rId93" display="https://xrspace.atlassian.net/issues/?jql=created+%3E%3D+2025-02-01+AND+created+%3C%3D+2026-12-31+AND+type+%3D+Bug+AND+project+%3D+SOVA+AND+Sprint+%3D+4477+AND+status+%3D+%22In+Progress+%2850+%7E+70%25%29%22" xr:uid="{54F21B84-6B34-4461-9818-63651934F699}"/>
    <hyperlink ref="G16" r:id="rId94" display="https://xrspace.atlassian.net/issues/?jql=created+%3E%3D+2025-02-01+AND+created+%3C%3D+2026-12-31+AND+type+%3D+Bug+AND+project+%3D+SOVA+AND+Sprint+%3D+4477+AND+status+%3D+%22Done+%28100%25%29%22" xr:uid="{030DB55D-CCF6-4FC7-AE94-4FE01EB48DB7}"/>
    <hyperlink ref="E16" r:id="rId95" display="https://xrspace.atlassian.net/issues/?jql=created+%3E%3D+2025-02-01+AND+created+%3C%3D+2026-12-31+AND+type+%3D+Bug+AND+project+%3D+SOVA+AND+Sprint+%3D+4477+AND+status+%3D+%22IN+REVIEW+%2880%25%29%22" xr:uid="{0426DD0E-19E0-4AFD-B584-38D24301B519}"/>
    <hyperlink ref="H16" r:id="rId96" display="https://xrspace.atlassian.net/issues/?jql=created+%3E%3D+2025-02-01+AND+created+%3C%3D+2026-12-31+AND+type+%3D+Bug+AND+project+%3D+SOVA+AND+Sprint+%3D+4477+AND+status+%3D+%22WON%27T+DO+%28100%25%29%22" xr:uid="{85A59889-912C-4062-9941-5144D4EC8098}"/>
    <hyperlink ref="C16" r:id="rId97" display="https://xrspace.atlassian.net/issues/?jql=created+%3E%3D+2025-02-01+AND+created+%3C%3D+2026-12-31+AND+type+%3D+Bug+AND+project+%3D+SOVA+AND+Sprint+%3D+4477+AND+status+%3D+%22STARTING+%2810+%7E+40%25%29%22" xr:uid="{9830EE91-67D8-4628-AC61-3887015B6C83}"/>
    <hyperlink ref="F16" r:id="rId98" display="https://xrspace.atlassian.net/issues/?jql=created+%3E%3D+2025-02-01+AND+created+%3C%3D+2026-12-31+AND+type+%3D+Bug+AND+project+%3D+SOVA+AND+Sprint+%3D+4477+AND+status+%3D+%22READY+FOR+TESTING+%2890%25%29%22" xr:uid="{C2A8D44E-8F43-428F-A19E-24B544363695}"/>
    <hyperlink ref="B17" r:id="rId99" display="https://xrspace.atlassian.net/issues/?jql=created+%3E%3D+2025-02-01+AND+created+%3C%3D+2026-12-31+AND+type+%3D+Bug+AND+project+%3D+SOVA+AND+Sprint+%3D+4478+AND+status+%3D+%22To+Do+%280%25%29%22" xr:uid="{7BA001F9-E81D-4980-923D-DF2519E63CD9}"/>
    <hyperlink ref="D17" r:id="rId100" display="https://xrspace.atlassian.net/issues/?jql=created+%3E%3D+2025-02-01+AND+created+%3C%3D+2026-12-31+AND+type+%3D+Bug+AND+project+%3D+SOVA+AND+Sprint+%3D+4478+AND+status+%3D+%22In+Progress+%2850+%7E+70%25%29%22" xr:uid="{A03629CE-FD91-49FB-BBC2-72DFCC00098D}"/>
    <hyperlink ref="G17" r:id="rId101" display="https://xrspace.atlassian.net/issues/?jql=created+%3E%3D+2025-02-01+AND+created+%3C%3D+2026-12-31+AND+type+%3D+Bug+AND+project+%3D+SOVA+AND+Sprint+%3D+4478+AND+status+%3D+%22Done+%28100%25%29%22" xr:uid="{49FAC30B-EB1D-45F1-845D-5F11DFEC9C0E}"/>
    <hyperlink ref="E17" r:id="rId102" display="https://xrspace.atlassian.net/issues/?jql=created+%3E%3D+2025-02-01+AND+created+%3C%3D+2026-12-31+AND+type+%3D+Bug+AND+project+%3D+SOVA+AND+Sprint+%3D+4478+AND+status+%3D+%22IN+REVIEW+%2880%25%29%22" xr:uid="{188A6A09-9ADF-41AD-BE22-C0F5ED3D5EE3}"/>
    <hyperlink ref="H17" r:id="rId103" display="https://xrspace.atlassian.net/issues/?jql=created+%3E%3D+2025-02-01+AND+created+%3C%3D+2026-12-31+AND+type+%3D+Bug+AND+project+%3D+SOVA+AND+Sprint+%3D+4478+AND+status+%3D+%22WON%27T+DO+%28100%25%29%22" xr:uid="{1F3B83B5-77AD-4D82-9170-9BF0A5B2B28F}"/>
    <hyperlink ref="C17" r:id="rId104" display="https://xrspace.atlassian.net/issues/?jql=created+%3E%3D+2025-02-01+AND+created+%3C%3D+2026-12-31+AND+type+%3D+Bug+AND+project+%3D+SOVA+AND+Sprint+%3D+4478+AND+status+%3D+%22STARTING+%2810+%7E+40%25%29%22" xr:uid="{938BA5CC-C3DB-4E69-AFB7-FDC8EBF1E2E9}"/>
    <hyperlink ref="F17" r:id="rId105" display="https://xrspace.atlassian.net/issues/?jql=created+%3E%3D+2025-02-01+AND+created+%3C%3D+2026-12-31+AND+type+%3D+Bug+AND+project+%3D+SOVA+AND+Sprint+%3D+4478+AND+status+%3D+%22READY+FOR+TESTING+%2890%25%29%22" xr:uid="{F2C514A6-75FE-400A-A5F7-94256B16D11B}"/>
    <hyperlink ref="B18" r:id="rId106" display="https://xrspace.atlassian.net/issues/?jql=created+%3E%3D+2025-02-01+AND+created+%3C%3D+2026-12-31+AND+type+%3D+Bug+AND+project+%3D+SOVA+AND+Sprint+%3D+4677+AND+status+%3D+%22To+Do+%280%25%29%22" xr:uid="{0F07ADFB-21CE-465D-96C3-CE1C00008903}"/>
    <hyperlink ref="D18" r:id="rId107" display="https://xrspace.atlassian.net/issues/?jql=created+%3E%3D+2025-02-01+AND+created+%3C%3D+2026-12-31+AND+type+%3D+Bug+AND+project+%3D+SOVA+AND+Sprint+%3D+4677+AND+status+%3D+%22In+Progress+%2850+%7E+70%25%29%22" xr:uid="{31F0EF54-D071-40D9-8E58-6FFAF87E78F3}"/>
    <hyperlink ref="G18" r:id="rId108" display="https://xrspace.atlassian.net/issues/?jql=created+%3E%3D+2025-02-01+AND+created+%3C%3D+2026-12-31+AND+type+%3D+Bug+AND+project+%3D+SOVA+AND+Sprint+%3D+4677+AND+status+%3D+%22Done+%28100%25%29%22" xr:uid="{D0424B80-BAB1-4BAA-B114-C8427E452F4C}"/>
    <hyperlink ref="E18" r:id="rId109" display="https://xrspace.atlassian.net/issues/?jql=created+%3E%3D+2025-02-01+AND+created+%3C%3D+2026-12-31+AND+type+%3D+Bug+AND+project+%3D+SOVA+AND+Sprint+%3D+4677+AND+status+%3D+%22IN+REVIEW+%2880%25%29%22" xr:uid="{ACA73AE9-0CCF-487D-B7DF-0025FD621B07}"/>
    <hyperlink ref="H18" r:id="rId110" display="https://xrspace.atlassian.net/issues/?jql=created+%3E%3D+2025-02-01+AND+created+%3C%3D+2026-12-31+AND+type+%3D+Bug+AND+project+%3D+SOVA+AND+Sprint+%3D+4677+AND+status+%3D+%22WON%27T+DO+%28100%25%29%22" xr:uid="{A01F75DE-47BE-4302-99D4-5F42CD9619AF}"/>
    <hyperlink ref="C18" r:id="rId111" display="https://xrspace.atlassian.net/issues/?jql=created+%3E%3D+2025-02-01+AND+created+%3C%3D+2026-12-31+AND+type+%3D+Bug+AND+project+%3D+SOVA+AND+Sprint+%3D+4677+AND+status+%3D+%22STARTING+%2810+%7E+40%25%29%22" xr:uid="{BC0D388A-7F38-426B-9DE6-F12EA01BB678}"/>
    <hyperlink ref="F18" r:id="rId112" display="https://xrspace.atlassian.net/issues/?jql=created+%3E%3D+2025-02-01+AND+created+%3C%3D+2026-12-31+AND+type+%3D+Bug+AND+project+%3D+SOVA+AND+Sprint+%3D+4677+AND+status+%3D+%22READY+FOR+TESTING+%2890%25%29%22" xr:uid="{4AA03DAB-799D-46AE-B13F-1730F652E41B}"/>
    <hyperlink ref="B19" r:id="rId113" display="https://xrspace.atlassian.net/issues/?jql=created+%3E%3D+2025-02-01+AND+created+%3C%3D+2026-12-31+AND+type+%3D+Bug+AND+project+%3D+SOVA+AND+Sprint+%3D+4678+AND+status+%3D+%22To+Do+%280%25%29%22" xr:uid="{30692E3E-53EB-4529-80F6-7ED39BA0B4DC}"/>
    <hyperlink ref="D19" r:id="rId114" display="https://xrspace.atlassian.net/issues/?jql=created+%3E%3D+2025-02-01+AND+created+%3C%3D+2026-12-31+AND+type+%3D+Bug+AND+project+%3D+SOVA+AND+Sprint+%3D+4678+AND+status+%3D+%22In+Progress+%2850+%7E+70%25%29%22" xr:uid="{0AB3B44E-A51D-4B70-AF79-D7C7AE842490}"/>
    <hyperlink ref="G19" r:id="rId115" display="https://xrspace.atlassian.net/issues/?jql=created+%3E%3D+2025-02-01+AND+created+%3C%3D+2026-12-31+AND+type+%3D+Bug+AND+project+%3D+SOVA+AND+Sprint+%3D+4678+AND+status+%3D+%22Done+%28100%25%29%22" xr:uid="{86DE956D-8A8C-4F12-96B3-DC4D6DC46406}"/>
    <hyperlink ref="E19" r:id="rId116" display="https://xrspace.atlassian.net/issues/?jql=created+%3E%3D+2025-02-01+AND+created+%3C%3D+2026-12-31+AND+type+%3D+Bug+AND+project+%3D+SOVA+AND+Sprint+%3D+4678+AND+status+%3D+%22IN+REVIEW+%2880%25%29%22" xr:uid="{F03549E5-B834-43DC-B085-88D1D882E4BA}"/>
    <hyperlink ref="H19" r:id="rId117" display="https://xrspace.atlassian.net/issues/?jql=created+%3E%3D+2025-02-01+AND+created+%3C%3D+2026-12-31+AND+type+%3D+Bug+AND+project+%3D+SOVA+AND+Sprint+%3D+4678+AND+status+%3D+%22WON%27T+DO+%28100%25%29%22" xr:uid="{F6491E77-460C-49FC-BDA9-C53A29FFA9FE}"/>
    <hyperlink ref="C19" r:id="rId118" display="https://xrspace.atlassian.net/issues/?jql=created+%3E%3D+2025-02-01+AND+created+%3C%3D+2026-12-31+AND+type+%3D+Bug+AND+project+%3D+SOVA+AND+Sprint+%3D+4678+AND+status+%3D+%22STARTING+%2810+%7E+40%25%29%22" xr:uid="{E7DDC3C1-8756-4E6F-9AFC-36BE1A9607E3}"/>
    <hyperlink ref="F19" r:id="rId119" display="https://xrspace.atlassian.net/issues/?jql=created+%3E%3D+2025-02-01+AND+created+%3C%3D+2026-12-31+AND+type+%3D+Bug+AND+project+%3D+SOVA+AND+Sprint+%3D+4678+AND+status+%3D+%22READY+FOR+TESTING+%2890%25%29%22" xr:uid="{B70B2D1F-3571-4E92-AB37-84EF75BA8A64}"/>
    <hyperlink ref="B20" r:id="rId120" display="https://xrspace.atlassian.net/issues/?jql=created+%3E%3D+2025-02-01+AND+created+%3C%3D+2026-12-31+AND+type+%3D+Bug+AND+project+%3D+SOVA+AND+Sprint+%3D+4910+AND+status+%3D+%22To+Do+%280%25%29%22" xr:uid="{C2DAE2E5-B540-434B-965C-892D1A1AD981}"/>
    <hyperlink ref="D20" r:id="rId121" display="https://xrspace.atlassian.net/issues/?jql=created+%3E%3D+2025-02-01+AND+created+%3C%3D+2026-12-31+AND+type+%3D+Bug+AND+project+%3D+SOVA+AND+Sprint+%3D+4910+AND+status+%3D+%22In+Progress+%2850+%7E+70%25%29%22" xr:uid="{7B6804BC-1A03-4945-8AA7-7D1CAB3B251E}"/>
    <hyperlink ref="G20" r:id="rId122" display="https://xrspace.atlassian.net/issues/?jql=created+%3E%3D+2025-02-01+AND+created+%3C%3D+2026-12-31+AND+type+%3D+Bug+AND+project+%3D+SOVA+AND+Sprint+%3D+4910+AND+status+%3D+%22Done+%28100%25%29%22" xr:uid="{5FFB9860-8BDB-40F3-9F6E-DD2A718DFA52}"/>
    <hyperlink ref="E20" r:id="rId123" display="https://xrspace.atlassian.net/issues/?jql=created+%3E%3D+2025-02-01+AND+created+%3C%3D+2026-12-31+AND+type+%3D+Bug+AND+project+%3D+SOVA+AND+Sprint+%3D+4910+AND+status+%3D+%22IN+REVIEW+%2880%25%29%22" xr:uid="{0D6F8698-56A6-44C3-895D-E1CEF41021E7}"/>
    <hyperlink ref="H20" r:id="rId124" display="https://xrspace.atlassian.net/issues/?jql=created+%3E%3D+2025-02-01+AND+created+%3C%3D+2026-12-31+AND+type+%3D+Bug+AND+project+%3D+SOVA+AND+Sprint+%3D+4910+AND+status+%3D+%22WON%27T+DO+%28100%25%29%22" xr:uid="{E06BC4A8-2BA0-4044-855D-231DC3CBE1BC}"/>
    <hyperlink ref="C20" r:id="rId125" display="https://xrspace.atlassian.net/issues/?jql=created+%3E%3D+2025-02-01+AND+created+%3C%3D+2026-12-31+AND+type+%3D+Bug+AND+project+%3D+SOVA+AND+Sprint+%3D+4910+AND+status+%3D+%22STARTING+%2810+%7E+40%25%29%22" xr:uid="{60AABD7A-ACA7-403B-893E-C64E0BEECDCE}"/>
    <hyperlink ref="F20" r:id="rId126" display="https://xrspace.atlassian.net/issues/?jql=created+%3E%3D+2025-02-01+AND+created+%3C%3D+2026-12-31+AND+type+%3D+Bug+AND+project+%3D+SOVA+AND+Sprint+%3D+4910+AND+status+%3D+%22READY+FOR+TESTING+%2890%25%29%22" xr:uid="{178C74E5-2E9E-44FF-B111-AFFD0A399EFA}"/>
    <hyperlink ref="B2" r:id="rId127" display="https://xrspace.atlassian.net/issues/?jql=created+%3E%3D+2025-02-01+AND+created+%3C%3D+2026-12-31+AND+type+%3D+Bug+AND+project+%3D+SOVA+AND+Sprint+%3D+2915+AND+status+%3D+%22To+Do+%280%25%29%22" xr:uid="{73E79908-50FD-48BA-99A9-7E9401523EA3}"/>
    <hyperlink ref="D2" r:id="rId128" display="https://xrspace.atlassian.net/issues/?jql=created+%3E%3D+2025-02-01+AND+created+%3C%3D+2026-12-31+AND+type+%3D+Bug+AND+project+%3D+SOVA+AND+Sprint+%3D+2915+AND+status+%3D+%22In+Progress+%2850+%7E+70%25%29%22" xr:uid="{EE7DA335-26CE-49F7-9491-0D7BC15BBBEB}"/>
    <hyperlink ref="G2" r:id="rId129" display="https://xrspace.atlassian.net/issues/?jql=created+%3E%3D+2025-02-01+AND+created+%3C%3D+2026-12-31+AND+type+%3D+Bug+AND+project+%3D+SOVA+AND+Sprint+%3D+2915+AND+status+%3D+%22Done+%28100%25%29%22" xr:uid="{3A869268-FCFD-4361-8026-93A81C74A8BF}"/>
    <hyperlink ref="E2" r:id="rId130" display="https://xrspace.atlassian.net/issues/?jql=created+%3E%3D+2025-02-01+AND+created+%3C%3D+2026-12-31+AND+type+%3D+Bug+AND+project+%3D+SOVA+AND+Sprint+%3D+2915+AND+status+%3D+%22IN+REVIEW+%2880%25%29%22" xr:uid="{74B92ECE-382C-4533-B495-EE482E18CC44}"/>
    <hyperlink ref="H2" r:id="rId131" display="https://xrspace.atlassian.net/issues/?jql=created+%3E%3D+2025-02-01+AND+created+%3C%3D+2026-12-31+AND+type+%3D+Bug+AND+project+%3D+SOVA+AND+Sprint+%3D+2915+AND+status+%3D+%22WON%27T+DO+%28100%25%29%22" xr:uid="{5A9A6CA3-829B-4476-8709-BBD86CE57582}"/>
    <hyperlink ref="C2" r:id="rId132" display="https://xrspace.atlassian.net/issues/?jql=created+%3E%3D+2025-02-01+AND+created+%3C%3D+2026-12-31+AND+type+%3D+Bug+AND+project+%3D+SOVA+AND+Sprint+%3D+2915+AND+status+%3D+%22STARTING+%2810+%7E+40%25%29%22" xr:uid="{E95C3346-5BB9-48BE-B1AD-03416E780588}"/>
    <hyperlink ref="F2" r:id="rId133" display="https://xrspace.atlassian.net/issues/?jql=created+%3E%3D+2025-02-01+AND+created+%3C%3D+2026-12-31+AND+type+%3D+Bug+AND+project+%3D+SOVA+AND+Sprint+%3D+2915+AND+status+%3D+%22READY+FOR+TESTING+%2890%25%29%22" xr:uid="{E7192020-943B-4345-99A3-24CE1248E5DE}"/>
  </hyperlinks>
  <pageMargins left="0.7" right="0.7" top="0.75" bottom="0.75" header="0.3" footer="0.3"/>
  <pageSetup orientation="portrait" r:id="rId134"/>
  <drawing r:id="rId135"/>
  <tableParts count="1">
    <tablePart r:id="rId13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2"/>
  <sheetViews>
    <sheetView workbookViewId="0">
      <selection activeCell="C26" sqref="C26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56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57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58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59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60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61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62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63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64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65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66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67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55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68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83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84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85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89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90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91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  <row r="22" spans="1:5" ht="20.100000000000001" customHeight="1">
      <c r="A22" s="3" t="s">
        <v>100</v>
      </c>
      <c r="B22" s="14">
        <v>98</v>
      </c>
      <c r="C22" s="14">
        <v>1</v>
      </c>
      <c r="D22" s="14">
        <v>14</v>
      </c>
      <c r="E22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2026-03-13T06:06:39Z</dcterms:modified>
</cp:coreProperties>
</file>